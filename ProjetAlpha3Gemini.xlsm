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ffefec6dde6af31b/Bureau OneDrive 1/Mario Kart World/Staff/Lounge/Correction Tab/"/>
    </mc:Choice>
  </mc:AlternateContent>
  <xr:revisionPtr revIDLastSave="4853" documentId="8_{C7A4B912-8AA2-4C19-AD65-3F36F30133C8}" xr6:coauthVersionLast="47" xr6:coauthVersionMax="47" xr10:uidLastSave="{034C2D09-1FF7-4E27-B336-B99ACB7DC196}"/>
  <bookViews>
    <workbookView xWindow="38280" yWindow="9795" windowWidth="20640" windowHeight="11160" firstSheet="1" activeTab="4" xr2:uid="{0C943324-049F-4263-9C85-AE9A53ECEA87}"/>
  </bookViews>
  <sheets>
    <sheet name="Player Integration" sheetId="2" r:id="rId1"/>
    <sheet name="12p" sheetId="7" r:id="rId2"/>
    <sheet name="Export" sheetId="12" r:id="rId3"/>
    <sheet name="Map and Points 12p" sheetId="4" r:id="rId4"/>
    <sheet name="Metadata" sheetId="11" r:id="rId5"/>
    <sheet name="TAB 1" sheetId="10" r:id="rId6"/>
    <sheet name="Exemple" sheetId="8" r:id="rId7"/>
    <sheet name="Archives" sheetId="13" r:id="rId8"/>
  </sheets>
  <definedNames>
    <definedName name="Table_10p">'Map and Points 12p'!$I$24:$K$36</definedName>
    <definedName name="Table_11p">'Map and Points 12p'!$E$24:$G$36</definedName>
    <definedName name="Table_12p">'Map and Points 12p'!$E$6:$G$18</definedName>
    <definedName name="Table_9p_or_less">'Map and Points 12p'!$I$6:$K$18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F11" i="11" l="1"/>
  <c r="BY11" i="11"/>
  <c r="BR11" i="11"/>
  <c r="BK11" i="11"/>
  <c r="BD11" i="11"/>
  <c r="AW11" i="11"/>
  <c r="AP11" i="11"/>
  <c r="AI11" i="11"/>
  <c r="AB11" i="11"/>
  <c r="U11" i="11"/>
  <c r="N11" i="11"/>
  <c r="G11" i="11"/>
  <c r="CF13" i="11"/>
  <c r="CF14" i="11"/>
  <c r="CF15" i="11"/>
  <c r="CF16" i="11"/>
  <c r="CF17" i="11"/>
  <c r="CF18" i="11"/>
  <c r="CF19" i="11"/>
  <c r="CF20" i="11"/>
  <c r="CF21" i="11"/>
  <c r="CF22" i="11"/>
  <c r="CF12" i="11"/>
  <c r="BY13" i="11"/>
  <c r="BY14" i="11"/>
  <c r="BY15" i="11"/>
  <c r="BY16" i="11"/>
  <c r="BY17" i="11"/>
  <c r="BY18" i="11"/>
  <c r="BY19" i="11"/>
  <c r="BY20" i="11"/>
  <c r="BY21" i="11"/>
  <c r="BY22" i="11"/>
  <c r="BY12" i="11"/>
  <c r="BR13" i="11"/>
  <c r="BR14" i="11"/>
  <c r="BR15" i="11"/>
  <c r="BR16" i="11"/>
  <c r="BR17" i="11"/>
  <c r="BR18" i="11"/>
  <c r="BR19" i="11"/>
  <c r="BR20" i="11"/>
  <c r="BR21" i="11"/>
  <c r="BR22" i="11"/>
  <c r="BR12" i="11"/>
  <c r="BK13" i="11"/>
  <c r="BK14" i="11"/>
  <c r="BK15" i="11"/>
  <c r="BK16" i="11"/>
  <c r="BK17" i="11"/>
  <c r="BK18" i="11"/>
  <c r="BK19" i="11"/>
  <c r="BK20" i="11"/>
  <c r="BK21" i="11"/>
  <c r="BK22" i="11"/>
  <c r="BK12" i="11"/>
  <c r="BD13" i="11"/>
  <c r="BD14" i="11"/>
  <c r="BD15" i="11"/>
  <c r="BD16" i="11"/>
  <c r="BD17" i="11"/>
  <c r="BD18" i="11"/>
  <c r="BD19" i="11"/>
  <c r="BD20" i="11"/>
  <c r="BD21" i="11"/>
  <c r="BD22" i="11"/>
  <c r="BD12" i="11"/>
  <c r="AW13" i="11"/>
  <c r="AW14" i="11"/>
  <c r="AW15" i="11"/>
  <c r="AW16" i="11"/>
  <c r="AW17" i="11"/>
  <c r="AW18" i="11"/>
  <c r="AW19" i="11"/>
  <c r="AW20" i="11"/>
  <c r="AW21" i="11"/>
  <c r="AW22" i="11"/>
  <c r="AW12" i="11"/>
  <c r="AP13" i="11"/>
  <c r="AP14" i="11"/>
  <c r="AP15" i="11"/>
  <c r="AP16" i="11"/>
  <c r="AP17" i="11"/>
  <c r="AP18" i="11"/>
  <c r="AP19" i="11"/>
  <c r="AP20" i="11"/>
  <c r="AP21" i="11"/>
  <c r="AP22" i="11"/>
  <c r="AP12" i="11"/>
  <c r="AI13" i="11"/>
  <c r="AI14" i="11"/>
  <c r="AI15" i="11"/>
  <c r="AI16" i="11"/>
  <c r="AI17" i="11"/>
  <c r="AI18" i="11"/>
  <c r="AI19" i="11"/>
  <c r="AI20" i="11"/>
  <c r="AI21" i="11"/>
  <c r="AI22" i="11"/>
  <c r="AI12" i="11"/>
  <c r="AB13" i="11"/>
  <c r="AB14" i="11"/>
  <c r="AB15" i="11"/>
  <c r="AB16" i="11"/>
  <c r="AB17" i="11"/>
  <c r="AB18" i="11"/>
  <c r="AB19" i="11"/>
  <c r="AB20" i="11"/>
  <c r="AB21" i="11"/>
  <c r="AB22" i="11"/>
  <c r="AB12" i="11"/>
  <c r="U13" i="11"/>
  <c r="U14" i="11"/>
  <c r="U15" i="11"/>
  <c r="U16" i="11"/>
  <c r="U17" i="11"/>
  <c r="U18" i="11"/>
  <c r="U19" i="11"/>
  <c r="U20" i="11"/>
  <c r="U21" i="11"/>
  <c r="U22" i="11"/>
  <c r="U12" i="11"/>
  <c r="N13" i="11"/>
  <c r="N14" i="11"/>
  <c r="N15" i="11"/>
  <c r="N16" i="11"/>
  <c r="N17" i="11"/>
  <c r="N18" i="11"/>
  <c r="N19" i="11"/>
  <c r="N20" i="11"/>
  <c r="N21" i="11"/>
  <c r="N22" i="11"/>
  <c r="N12" i="11"/>
  <c r="G13" i="11"/>
  <c r="G14" i="11"/>
  <c r="G15" i="11"/>
  <c r="G16" i="11"/>
  <c r="G17" i="11"/>
  <c r="G18" i="11"/>
  <c r="G19" i="11"/>
  <c r="G20" i="11"/>
  <c r="G21" i="11"/>
  <c r="G22" i="11"/>
  <c r="G12" i="11"/>
  <c r="AD9" i="7" a="1"/>
  <c r="AD9" i="7" s="1"/>
  <c r="AD10" i="7" a="1"/>
  <c r="AD10" i="7" s="1"/>
  <c r="AD11" i="7" a="1"/>
  <c r="AD11" i="7" s="1"/>
  <c r="AD12" i="7" a="1"/>
  <c r="AD12" i="7" s="1"/>
  <c r="AD13" i="7" a="1"/>
  <c r="AD13" i="7" s="1"/>
  <c r="AD14" i="7" a="1"/>
  <c r="AD14" i="7" s="1"/>
  <c r="AD15" i="7" a="1"/>
  <c r="AD15" i="7" s="1"/>
  <c r="AD16" i="7" a="1"/>
  <c r="AD16" i="7" s="1"/>
  <c r="AD17" i="7" a="1"/>
  <c r="AD17" i="7" s="1"/>
  <c r="BT13" i="11"/>
  <c r="BT14" i="11"/>
  <c r="BT15" i="11"/>
  <c r="BT16" i="11"/>
  <c r="BT17" i="11"/>
  <c r="BT18" i="11"/>
  <c r="BT19" i="11"/>
  <c r="CG19" i="11" s="1"/>
  <c r="BT20" i="11"/>
  <c r="CG20" i="11" s="1"/>
  <c r="BT21" i="11"/>
  <c r="BT22" i="11"/>
  <c r="BT12" i="11"/>
  <c r="CG14" i="11"/>
  <c r="CG15" i="11"/>
  <c r="CG16" i="11"/>
  <c r="CG17" i="11"/>
  <c r="CG18" i="11"/>
  <c r="CG21" i="11"/>
  <c r="CG22" i="11"/>
  <c r="AA18" i="7"/>
  <c r="W18" i="7"/>
  <c r="U18" i="7"/>
  <c r="S18" i="7"/>
  <c r="Q18" i="7"/>
  <c r="O18" i="7"/>
  <c r="M18" i="7"/>
  <c r="K18" i="7"/>
  <c r="I18" i="7"/>
  <c r="G18" i="7"/>
  <c r="AC22" i="7"/>
  <c r="Y22" i="7"/>
  <c r="W22" i="7"/>
  <c r="AA22" i="7"/>
  <c r="U22" i="7"/>
  <c r="S22" i="7"/>
  <c r="Q22" i="7"/>
  <c r="O22" i="7"/>
  <c r="M22" i="7"/>
  <c r="K22" i="7"/>
  <c r="I22" i="7"/>
  <c r="G22" i="7"/>
  <c r="E22" i="7"/>
  <c r="CA13" i="11"/>
  <c r="CA14" i="11"/>
  <c r="CA15" i="11"/>
  <c r="CA16" i="11"/>
  <c r="CA17" i="11"/>
  <c r="CA18" i="11"/>
  <c r="CA19" i="11"/>
  <c r="CA20" i="11"/>
  <c r="CA21" i="11"/>
  <c r="CA22" i="11"/>
  <c r="CA12" i="11"/>
  <c r="BM13" i="11"/>
  <c r="BM14" i="11"/>
  <c r="BM15" i="11"/>
  <c r="BM16" i="11"/>
  <c r="BM17" i="11"/>
  <c r="BM18" i="11"/>
  <c r="BM19" i="11"/>
  <c r="BM20" i="11"/>
  <c r="BM21" i="11"/>
  <c r="BM22" i="11"/>
  <c r="BM12" i="11"/>
  <c r="BF14" i="11"/>
  <c r="BF15" i="11"/>
  <c r="BF16" i="11"/>
  <c r="BF17" i="11"/>
  <c r="BF18" i="11"/>
  <c r="BF19" i="11"/>
  <c r="BF20" i="11"/>
  <c r="BF21" i="11"/>
  <c r="BF22" i="11"/>
  <c r="AY14" i="11"/>
  <c r="AY15" i="11"/>
  <c r="AY16" i="11"/>
  <c r="AY17" i="11"/>
  <c r="AY18" i="11"/>
  <c r="AY19" i="11"/>
  <c r="AY20" i="11"/>
  <c r="AY21" i="11"/>
  <c r="AY22" i="11"/>
  <c r="AR13" i="11"/>
  <c r="AR14" i="11"/>
  <c r="AR15" i="11"/>
  <c r="AR16" i="11"/>
  <c r="AR17" i="11"/>
  <c r="AR18" i="11"/>
  <c r="AR19" i="11"/>
  <c r="AR20" i="11"/>
  <c r="AR21" i="11"/>
  <c r="AR22" i="11"/>
  <c r="AR12" i="11"/>
  <c r="AK13" i="11"/>
  <c r="AK14" i="11"/>
  <c r="AK15" i="11"/>
  <c r="AK16" i="11"/>
  <c r="AK17" i="11"/>
  <c r="AK18" i="11"/>
  <c r="AK19" i="11"/>
  <c r="AK20" i="11"/>
  <c r="AK21" i="11"/>
  <c r="AK22" i="11"/>
  <c r="AK12" i="11"/>
  <c r="AD14" i="11"/>
  <c r="AD15" i="11"/>
  <c r="AD16" i="11"/>
  <c r="AD17" i="11"/>
  <c r="AD18" i="11"/>
  <c r="AD19" i="11"/>
  <c r="AD20" i="11"/>
  <c r="AD21" i="11"/>
  <c r="AD22" i="11"/>
  <c r="W13" i="11"/>
  <c r="W14" i="11"/>
  <c r="W15" i="11"/>
  <c r="W16" i="11"/>
  <c r="W17" i="11"/>
  <c r="W18" i="11"/>
  <c r="W19" i="11"/>
  <c r="W20" i="11"/>
  <c r="W21" i="11"/>
  <c r="W22" i="11"/>
  <c r="W12" i="11"/>
  <c r="P13" i="11"/>
  <c r="P14" i="11"/>
  <c r="P15" i="11"/>
  <c r="P16" i="11"/>
  <c r="P17" i="11"/>
  <c r="P18" i="11"/>
  <c r="P19" i="11"/>
  <c r="P20" i="11"/>
  <c r="P21" i="11"/>
  <c r="P22" i="11"/>
  <c r="P12" i="11"/>
  <c r="I13" i="11"/>
  <c r="I14" i="11"/>
  <c r="I15" i="11"/>
  <c r="I16" i="11"/>
  <c r="I17" i="11"/>
  <c r="I18" i="11"/>
  <c r="I19" i="11"/>
  <c r="I20" i="11"/>
  <c r="I21" i="11"/>
  <c r="I22" i="11"/>
  <c r="I12" i="11"/>
  <c r="B14" i="11"/>
  <c r="B15" i="11"/>
  <c r="B16" i="11"/>
  <c r="B17" i="11"/>
  <c r="B18" i="11"/>
  <c r="B19" i="11"/>
  <c r="B20" i="11"/>
  <c r="B21" i="11"/>
  <c r="B22" i="11"/>
  <c r="I11" i="11"/>
  <c r="AB35" i="7"/>
  <c r="Z35" i="7"/>
  <c r="X35" i="7"/>
  <c r="V35" i="7"/>
  <c r="T35" i="7"/>
  <c r="R35" i="7"/>
  <c r="P35" i="7"/>
  <c r="N35" i="7"/>
  <c r="L35" i="7"/>
  <c r="J35" i="7"/>
  <c r="H35" i="7"/>
  <c r="F35" i="7"/>
  <c r="AB34" i="7"/>
  <c r="Z34" i="7"/>
  <c r="X34" i="7"/>
  <c r="V34" i="7"/>
  <c r="T34" i="7"/>
  <c r="R34" i="7"/>
  <c r="P34" i="7"/>
  <c r="N34" i="7"/>
  <c r="L34" i="7"/>
  <c r="J34" i="7"/>
  <c r="H34" i="7"/>
  <c r="F34" i="7"/>
  <c r="AB33" i="7"/>
  <c r="Z33" i="7"/>
  <c r="X33" i="7"/>
  <c r="V33" i="7"/>
  <c r="T33" i="7"/>
  <c r="R33" i="7"/>
  <c r="P33" i="7"/>
  <c r="N33" i="7"/>
  <c r="L33" i="7"/>
  <c r="J33" i="7"/>
  <c r="H33" i="7"/>
  <c r="F33" i="7"/>
  <c r="AB32" i="7"/>
  <c r="Z32" i="7"/>
  <c r="X32" i="7"/>
  <c r="V32" i="7"/>
  <c r="T32" i="7"/>
  <c r="R32" i="7"/>
  <c r="P32" i="7"/>
  <c r="N32" i="7"/>
  <c r="L32" i="7"/>
  <c r="J32" i="7"/>
  <c r="H32" i="7"/>
  <c r="F32" i="7"/>
  <c r="AB31" i="7"/>
  <c r="Z31" i="7"/>
  <c r="X31" i="7"/>
  <c r="V31" i="7"/>
  <c r="T31" i="7"/>
  <c r="R31" i="7"/>
  <c r="P31" i="7"/>
  <c r="N31" i="7"/>
  <c r="L31" i="7"/>
  <c r="J31" i="7"/>
  <c r="H31" i="7"/>
  <c r="F31" i="7"/>
  <c r="AB30" i="7"/>
  <c r="Z30" i="7"/>
  <c r="X30" i="7"/>
  <c r="V30" i="7"/>
  <c r="T30" i="7"/>
  <c r="R30" i="7"/>
  <c r="P30" i="7"/>
  <c r="N30" i="7"/>
  <c r="L30" i="7"/>
  <c r="J30" i="7"/>
  <c r="H30" i="7"/>
  <c r="F30" i="7"/>
  <c r="AB29" i="7"/>
  <c r="Z29" i="7"/>
  <c r="X29" i="7"/>
  <c r="V29" i="7"/>
  <c r="T29" i="7"/>
  <c r="R29" i="7"/>
  <c r="P29" i="7"/>
  <c r="N29" i="7"/>
  <c r="L29" i="7"/>
  <c r="J29" i="7"/>
  <c r="H29" i="7"/>
  <c r="F29" i="7"/>
  <c r="BE11" i="11"/>
  <c r="AB52" i="11"/>
  <c r="V52" i="11"/>
  <c r="U52" i="11"/>
  <c r="O52" i="11"/>
  <c r="N52" i="11"/>
  <c r="H52" i="11"/>
  <c r="G52" i="11"/>
  <c r="A52" i="11"/>
  <c r="AB51" i="11"/>
  <c r="V51" i="11"/>
  <c r="U51" i="11"/>
  <c r="O51" i="11"/>
  <c r="N51" i="11"/>
  <c r="H51" i="11"/>
  <c r="G51" i="11"/>
  <c r="A51" i="11"/>
  <c r="V50" i="11"/>
  <c r="H50" i="11"/>
  <c r="AB49" i="11"/>
  <c r="V49" i="11"/>
  <c r="U49" i="11"/>
  <c r="O49" i="11"/>
  <c r="N49" i="11"/>
  <c r="H49" i="11"/>
  <c r="G49" i="11"/>
  <c r="A49" i="11"/>
  <c r="AB47" i="11"/>
  <c r="V47" i="11"/>
  <c r="U47" i="11"/>
  <c r="O47" i="11"/>
  <c r="N47" i="11"/>
  <c r="H47" i="11"/>
  <c r="G47" i="11"/>
  <c r="A47" i="11"/>
  <c r="AB46" i="11"/>
  <c r="V46" i="11"/>
  <c r="AA46" i="11" s="1"/>
  <c r="U46" i="11"/>
  <c r="O46" i="11"/>
  <c r="T46" i="11" s="1"/>
  <c r="N46" i="11"/>
  <c r="H46" i="11"/>
  <c r="M46" i="11" s="1"/>
  <c r="G46" i="11"/>
  <c r="A46" i="11"/>
  <c r="F46" i="11" s="1"/>
  <c r="V45" i="11"/>
  <c r="O45" i="11"/>
  <c r="T45" i="11" s="1"/>
  <c r="H45" i="11"/>
  <c r="M45" i="11" s="1"/>
  <c r="A45" i="11"/>
  <c r="F45" i="11" s="1"/>
  <c r="V44" i="11"/>
  <c r="AA44" i="11" s="1"/>
  <c r="O44" i="11"/>
  <c r="T44" i="11" s="1"/>
  <c r="H44" i="11"/>
  <c r="M44" i="11" s="1"/>
  <c r="A44" i="11"/>
  <c r="F44" i="11" s="1"/>
  <c r="V43" i="11"/>
  <c r="O43" i="11"/>
  <c r="T43" i="11" s="1"/>
  <c r="H43" i="11"/>
  <c r="M43" i="11" s="1"/>
  <c r="A43" i="11"/>
  <c r="F43" i="11" s="1"/>
  <c r="V42" i="11"/>
  <c r="AA42" i="11" s="1"/>
  <c r="O42" i="11"/>
  <c r="T42" i="11" s="1"/>
  <c r="H42" i="11"/>
  <c r="M42" i="11" s="1"/>
  <c r="A42" i="11"/>
  <c r="F42" i="11" s="1"/>
  <c r="V41" i="11"/>
  <c r="U41" i="11"/>
  <c r="O41" i="11"/>
  <c r="H41" i="11"/>
  <c r="M41" i="11" s="1"/>
  <c r="G41" i="11"/>
  <c r="A41" i="11"/>
  <c r="CF52" i="11"/>
  <c r="CB52" i="11"/>
  <c r="BZ52" i="11"/>
  <c r="CC52" i="11" s="1"/>
  <c r="BY52" i="11"/>
  <c r="BU52" i="11"/>
  <c r="BS52" i="11"/>
  <c r="BV52" i="11" s="1"/>
  <c r="BR52" i="11"/>
  <c r="BN52" i="11"/>
  <c r="BL52" i="11"/>
  <c r="BO52" i="11" s="1"/>
  <c r="BK52" i="11"/>
  <c r="BG52" i="11"/>
  <c r="BE52" i="11"/>
  <c r="BH52" i="11" s="1"/>
  <c r="BD52" i="11"/>
  <c r="AZ52" i="11"/>
  <c r="AX52" i="11"/>
  <c r="BA52" i="11" s="1"/>
  <c r="AW52" i="11"/>
  <c r="AS52" i="11"/>
  <c r="AQ52" i="11"/>
  <c r="AT52" i="11" s="1"/>
  <c r="AP52" i="11"/>
  <c r="AL52" i="11"/>
  <c r="AJ52" i="11"/>
  <c r="AM52" i="11" s="1"/>
  <c r="AI52" i="11"/>
  <c r="AE52" i="11"/>
  <c r="AC52" i="11"/>
  <c r="AF52" i="11" s="1"/>
  <c r="CF51" i="11"/>
  <c r="CB51" i="11"/>
  <c r="BZ51" i="11"/>
  <c r="CC51" i="11" s="1"/>
  <c r="BY51" i="11"/>
  <c r="BU51" i="11"/>
  <c r="BS51" i="11"/>
  <c r="BV51" i="11" s="1"/>
  <c r="BR51" i="11"/>
  <c r="BN51" i="11"/>
  <c r="BL51" i="11"/>
  <c r="BO51" i="11" s="1"/>
  <c r="BK51" i="11"/>
  <c r="BG51" i="11"/>
  <c r="BE51" i="11"/>
  <c r="BH51" i="11" s="1"/>
  <c r="BD51" i="11"/>
  <c r="AZ51" i="11"/>
  <c r="AX51" i="11"/>
  <c r="BA51" i="11" s="1"/>
  <c r="AW51" i="11"/>
  <c r="AS51" i="11"/>
  <c r="AQ51" i="11"/>
  <c r="AT51" i="11" s="1"/>
  <c r="AP51" i="11"/>
  <c r="AL51" i="11"/>
  <c r="AJ51" i="11"/>
  <c r="AM51" i="11" s="1"/>
  <c r="AI51" i="11"/>
  <c r="AE51" i="11"/>
  <c r="AC51" i="11"/>
  <c r="AF51" i="11" s="1"/>
  <c r="BZ50" i="11"/>
  <c r="BL50" i="11"/>
  <c r="AX50" i="11"/>
  <c r="AJ50" i="11"/>
  <c r="CF49" i="11"/>
  <c r="CB49" i="11"/>
  <c r="BZ49" i="11"/>
  <c r="CC49" i="11" s="1"/>
  <c r="BY49" i="11"/>
  <c r="BU49" i="11"/>
  <c r="BS49" i="11"/>
  <c r="BV49" i="11" s="1"/>
  <c r="BR49" i="11"/>
  <c r="BN49" i="11"/>
  <c r="BL49" i="11"/>
  <c r="BO49" i="11" s="1"/>
  <c r="BK49" i="11"/>
  <c r="BG49" i="11"/>
  <c r="BE49" i="11"/>
  <c r="BH49" i="11" s="1"/>
  <c r="BD49" i="11"/>
  <c r="AZ49" i="11"/>
  <c r="AX49" i="11"/>
  <c r="BA49" i="11" s="1"/>
  <c r="AW49" i="11"/>
  <c r="AS49" i="11"/>
  <c r="AQ49" i="11"/>
  <c r="AT49" i="11" s="1"/>
  <c r="AP49" i="11"/>
  <c r="AL49" i="11"/>
  <c r="AJ49" i="11"/>
  <c r="AM49" i="11" s="1"/>
  <c r="AI49" i="11"/>
  <c r="AE49" i="11"/>
  <c r="AC49" i="11"/>
  <c r="AF49" i="11" s="1"/>
  <c r="CF47" i="11"/>
  <c r="CB47" i="11"/>
  <c r="BZ47" i="11"/>
  <c r="CC47" i="11" s="1"/>
  <c r="CD47" i="11" s="1"/>
  <c r="BY47" i="11"/>
  <c r="BU47" i="11"/>
  <c r="BS47" i="11"/>
  <c r="BV47" i="11" s="1"/>
  <c r="BR47" i="11"/>
  <c r="BN47" i="11"/>
  <c r="BL47" i="11"/>
  <c r="BO47" i="11" s="1"/>
  <c r="BK47" i="11"/>
  <c r="BG47" i="11"/>
  <c r="BE47" i="11"/>
  <c r="BH47" i="11" s="1"/>
  <c r="BD47" i="11"/>
  <c r="AZ47" i="11"/>
  <c r="AX47" i="11"/>
  <c r="BA47" i="11" s="1"/>
  <c r="BB47" i="11" s="1"/>
  <c r="AW47" i="11"/>
  <c r="AS47" i="11"/>
  <c r="AQ47" i="11"/>
  <c r="AT47" i="11" s="1"/>
  <c r="AP47" i="11"/>
  <c r="AL47" i="11"/>
  <c r="AJ47" i="11"/>
  <c r="AM47" i="11" s="1"/>
  <c r="AI47" i="11"/>
  <c r="AE47" i="11"/>
  <c r="AC47" i="11"/>
  <c r="AF47" i="11" s="1"/>
  <c r="CF46" i="11"/>
  <c r="CB46" i="11"/>
  <c r="BZ46" i="11"/>
  <c r="CC46" i="11" s="1"/>
  <c r="CD46" i="11" s="1"/>
  <c r="BY46" i="11"/>
  <c r="BU46" i="11"/>
  <c r="BS46" i="11"/>
  <c r="BV46" i="11" s="1"/>
  <c r="BR46" i="11"/>
  <c r="BN46" i="11"/>
  <c r="BL46" i="11"/>
  <c r="BO46" i="11" s="1"/>
  <c r="BK46" i="11"/>
  <c r="BG46" i="11"/>
  <c r="BE46" i="11"/>
  <c r="BH46" i="11" s="1"/>
  <c r="BD46" i="11"/>
  <c r="AZ46" i="11"/>
  <c r="AX46" i="11"/>
  <c r="BA46" i="11" s="1"/>
  <c r="BB46" i="11" s="1"/>
  <c r="AW46" i="11"/>
  <c r="AS46" i="11"/>
  <c r="AQ46" i="11"/>
  <c r="AT46" i="11" s="1"/>
  <c r="AP46" i="11"/>
  <c r="AL46" i="11"/>
  <c r="AJ46" i="11"/>
  <c r="AM46" i="11" s="1"/>
  <c r="AI46" i="11"/>
  <c r="AE46" i="11"/>
  <c r="AC46" i="11"/>
  <c r="AF46" i="11" s="1"/>
  <c r="BZ45" i="11"/>
  <c r="BS45" i="11"/>
  <c r="BL45" i="11"/>
  <c r="BE45" i="11"/>
  <c r="AX45" i="11"/>
  <c r="AQ45" i="11"/>
  <c r="AJ45" i="11"/>
  <c r="AC45" i="11"/>
  <c r="BZ44" i="11"/>
  <c r="BS44" i="11"/>
  <c r="BL44" i="11"/>
  <c r="BE44" i="11"/>
  <c r="AX44" i="11"/>
  <c r="AQ44" i="11"/>
  <c r="AJ44" i="11"/>
  <c r="AC44" i="11"/>
  <c r="BZ43" i="11"/>
  <c r="BS43" i="11"/>
  <c r="BL43" i="11"/>
  <c r="BE43" i="11"/>
  <c r="AX43" i="11"/>
  <c r="AQ43" i="11"/>
  <c r="AJ43" i="11"/>
  <c r="AC43" i="11"/>
  <c r="BZ42" i="11"/>
  <c r="BS42" i="11"/>
  <c r="BL42" i="11"/>
  <c r="BE42" i="11"/>
  <c r="AX42" i="11"/>
  <c r="AQ42" i="11"/>
  <c r="AJ42" i="11"/>
  <c r="AC42" i="11"/>
  <c r="CF41" i="11"/>
  <c r="BZ41" i="11"/>
  <c r="BY41" i="11"/>
  <c r="BS41" i="11"/>
  <c r="BT41" i="11" s="1"/>
  <c r="Z36" i="7" s="1"/>
  <c r="AB41" i="11" s="1"/>
  <c r="BR41" i="11"/>
  <c r="BL41" i="11"/>
  <c r="BM41" i="11" s="1"/>
  <c r="X36" i="7" s="1"/>
  <c r="BK41" i="11"/>
  <c r="BE41" i="11"/>
  <c r="BD41" i="11"/>
  <c r="AX41" i="11"/>
  <c r="AW41" i="11"/>
  <c r="AQ41" i="11"/>
  <c r="AR41" i="11" s="1"/>
  <c r="R36" i="7" s="1"/>
  <c r="AP41" i="11"/>
  <c r="AJ41" i="11"/>
  <c r="AI41" i="11"/>
  <c r="AC41" i="11"/>
  <c r="V12" i="11"/>
  <c r="V13" i="11"/>
  <c r="V14" i="11"/>
  <c r="V15" i="11"/>
  <c r="V16" i="11"/>
  <c r="V17" i="11"/>
  <c r="V18" i="11"/>
  <c r="V19" i="11"/>
  <c r="V20" i="11"/>
  <c r="V21" i="11"/>
  <c r="V22" i="11"/>
  <c r="V11" i="11"/>
  <c r="O12" i="11"/>
  <c r="O13" i="11"/>
  <c r="O14" i="11"/>
  <c r="O15" i="11"/>
  <c r="O16" i="11"/>
  <c r="O17" i="11"/>
  <c r="O18" i="11"/>
  <c r="O19" i="11"/>
  <c r="O20" i="11"/>
  <c r="O21" i="11"/>
  <c r="O22" i="11"/>
  <c r="O11" i="11"/>
  <c r="H12" i="11"/>
  <c r="H13" i="11"/>
  <c r="H14" i="11"/>
  <c r="H15" i="11"/>
  <c r="H16" i="11"/>
  <c r="H17" i="11"/>
  <c r="H18" i="11"/>
  <c r="H19" i="11"/>
  <c r="H20" i="11"/>
  <c r="H21" i="11"/>
  <c r="H22" i="11"/>
  <c r="H11" i="11"/>
  <c r="BZ22" i="11"/>
  <c r="BZ21" i="11"/>
  <c r="BZ20" i="11"/>
  <c r="BZ19" i="11"/>
  <c r="BZ18" i="11"/>
  <c r="BZ17" i="11"/>
  <c r="BZ16" i="11"/>
  <c r="BZ15" i="11"/>
  <c r="BZ14" i="11"/>
  <c r="BZ13" i="11"/>
  <c r="BZ12" i="11"/>
  <c r="BZ11" i="11"/>
  <c r="BS22" i="11"/>
  <c r="BS21" i="11"/>
  <c r="BS20" i="11"/>
  <c r="BS19" i="11"/>
  <c r="BS18" i="11"/>
  <c r="BS17" i="11"/>
  <c r="BS16" i="11"/>
  <c r="BS15" i="11"/>
  <c r="BS14" i="11"/>
  <c r="BS13" i="11"/>
  <c r="BS12" i="11"/>
  <c r="BS11" i="11"/>
  <c r="BL22" i="11"/>
  <c r="BL21" i="11"/>
  <c r="BL20" i="11"/>
  <c r="BL19" i="11"/>
  <c r="BL18" i="11"/>
  <c r="BL17" i="11"/>
  <c r="BL16" i="11"/>
  <c r="BL15" i="11"/>
  <c r="BL14" i="11"/>
  <c r="BL13" i="11"/>
  <c r="BL12" i="11"/>
  <c r="BL11" i="11"/>
  <c r="BE22" i="11"/>
  <c r="BE21" i="11"/>
  <c r="BE20" i="11"/>
  <c r="BE19" i="11"/>
  <c r="BE18" i="11"/>
  <c r="BE17" i="11"/>
  <c r="BE16" i="11"/>
  <c r="BE15" i="11"/>
  <c r="BE14" i="11"/>
  <c r="BE13" i="11"/>
  <c r="BE12" i="11"/>
  <c r="BF13" i="11" s="1"/>
  <c r="AX22" i="11"/>
  <c r="AX21" i="11"/>
  <c r="AX20" i="11"/>
  <c r="AX19" i="11"/>
  <c r="AX18" i="11"/>
  <c r="AX17" i="11"/>
  <c r="AX16" i="11"/>
  <c r="AX15" i="11"/>
  <c r="AX14" i="11"/>
  <c r="AX13" i="11"/>
  <c r="AX12" i="11"/>
  <c r="AY12" i="11" s="1"/>
  <c r="AX11" i="11"/>
  <c r="AQ22" i="11"/>
  <c r="AQ21" i="11"/>
  <c r="AQ20" i="11"/>
  <c r="AQ19" i="11"/>
  <c r="AQ18" i="11"/>
  <c r="AQ17" i="11"/>
  <c r="AQ16" i="11"/>
  <c r="AQ15" i="11"/>
  <c r="AQ14" i="11"/>
  <c r="AQ13" i="11"/>
  <c r="AQ12" i="11"/>
  <c r="AQ11" i="11"/>
  <c r="AJ22" i="11"/>
  <c r="AJ21" i="11"/>
  <c r="AJ20" i="11"/>
  <c r="AJ19" i="11"/>
  <c r="AJ18" i="11"/>
  <c r="AJ17" i="11"/>
  <c r="AJ16" i="11"/>
  <c r="AJ15" i="11"/>
  <c r="AJ14" i="11"/>
  <c r="AJ13" i="11"/>
  <c r="AJ12" i="11"/>
  <c r="AJ11" i="11"/>
  <c r="AC22" i="11"/>
  <c r="AC21" i="11"/>
  <c r="AC20" i="11"/>
  <c r="AC19" i="11"/>
  <c r="AC18" i="11"/>
  <c r="AC17" i="11"/>
  <c r="AC16" i="11"/>
  <c r="AC15" i="11"/>
  <c r="AC14" i="11"/>
  <c r="AC13" i="11"/>
  <c r="AC12" i="11"/>
  <c r="AD12" i="11" s="1"/>
  <c r="AC11" i="11"/>
  <c r="AY11" i="11"/>
  <c r="T6" i="7" s="1"/>
  <c r="BF11" i="11"/>
  <c r="V6" i="7" s="1"/>
  <c r="BM11" i="11"/>
  <c r="X6" i="7" s="1"/>
  <c r="BT11" i="11"/>
  <c r="Z6" i="7" s="1"/>
  <c r="BF12" i="11" l="1"/>
  <c r="AY13" i="11"/>
  <c r="AD13" i="11"/>
  <c r="AM13" i="11"/>
  <c r="AT13" i="11"/>
  <c r="BA13" i="11"/>
  <c r="V7" i="7"/>
  <c r="BH13" i="11"/>
  <c r="V17" i="7"/>
  <c r="BO13" i="11"/>
  <c r="BV12" i="11"/>
  <c r="BV13" i="11"/>
  <c r="BV14" i="11"/>
  <c r="BV15" i="11"/>
  <c r="BV16" i="11"/>
  <c r="BV17" i="11"/>
  <c r="BV18" i="11"/>
  <c r="BV19" i="11"/>
  <c r="BV20" i="11"/>
  <c r="BV21" i="11"/>
  <c r="BV22" i="11"/>
  <c r="CC13" i="11"/>
  <c r="K11" i="11"/>
  <c r="K20" i="11"/>
  <c r="K19" i="11"/>
  <c r="K18" i="11"/>
  <c r="K13" i="11"/>
  <c r="K12" i="11"/>
  <c r="R11" i="11"/>
  <c r="J17" i="7"/>
  <c r="R20" i="11"/>
  <c r="J13" i="7"/>
  <c r="R15" i="11"/>
  <c r="AA11" i="11"/>
  <c r="W11" i="11"/>
  <c r="L11" i="7"/>
  <c r="Y14" i="11"/>
  <c r="Y12" i="11"/>
  <c r="AU46" i="11"/>
  <c r="BI46" i="11"/>
  <c r="AU47" i="11"/>
  <c r="BI47" i="11"/>
  <c r="BW47" i="11"/>
  <c r="BB49" i="11"/>
  <c r="BP49" i="11"/>
  <c r="CD49" i="11"/>
  <c r="AN51" i="11"/>
  <c r="BB51" i="11"/>
  <c r="BP51" i="11"/>
  <c r="AN52" i="11"/>
  <c r="F41" i="11"/>
  <c r="B41" i="11"/>
  <c r="F36" i="7" s="1"/>
  <c r="T41" i="11"/>
  <c r="P41" i="11"/>
  <c r="AA41" i="11"/>
  <c r="W41" i="11"/>
  <c r="L36" i="7" s="1"/>
  <c r="N41" i="11" s="1"/>
  <c r="AA43" i="11"/>
  <c r="W43" i="11"/>
  <c r="L38" i="7" s="1"/>
  <c r="AA45" i="11"/>
  <c r="W45" i="11"/>
  <c r="L40" i="7" s="1"/>
  <c r="F47" i="11"/>
  <c r="B47" i="11"/>
  <c r="C47" i="11" s="1" a="1"/>
  <c r="C47" i="11" s="1"/>
  <c r="M47" i="11"/>
  <c r="I47" i="11"/>
  <c r="T47" i="11"/>
  <c r="P47" i="11"/>
  <c r="AA47" i="11"/>
  <c r="W47" i="11"/>
  <c r="F49" i="11"/>
  <c r="M49" i="11"/>
  <c r="T49" i="11"/>
  <c r="AA49" i="11"/>
  <c r="M50" i="11"/>
  <c r="I50" i="11"/>
  <c r="AA50" i="11"/>
  <c r="W50" i="11"/>
  <c r="X50" i="11" s="1" a="1"/>
  <c r="X50" i="11" s="1"/>
  <c r="F51" i="11"/>
  <c r="M51" i="11"/>
  <c r="I51" i="11"/>
  <c r="T51" i="11"/>
  <c r="AA51" i="11"/>
  <c r="W51" i="11"/>
  <c r="X51" i="11" s="1" a="1"/>
  <c r="X51" i="11" s="1"/>
  <c r="F52" i="11"/>
  <c r="B52" i="11"/>
  <c r="M52" i="11"/>
  <c r="I52" i="11"/>
  <c r="J52" i="11" s="1" a="1"/>
  <c r="J52" i="11" s="1"/>
  <c r="T52" i="11"/>
  <c r="P52" i="11"/>
  <c r="AA52" i="11"/>
  <c r="W52" i="11"/>
  <c r="B43" i="11"/>
  <c r="F38" i="7" s="1"/>
  <c r="B45" i="11"/>
  <c r="F40" i="7" s="1"/>
  <c r="P42" i="11"/>
  <c r="P44" i="11"/>
  <c r="P46" i="11"/>
  <c r="I41" i="11"/>
  <c r="H36" i="7" s="1"/>
  <c r="I43" i="11"/>
  <c r="H38" i="7" s="1"/>
  <c r="I45" i="11"/>
  <c r="B42" i="11"/>
  <c r="F37" i="7" s="1"/>
  <c r="B44" i="11"/>
  <c r="F39" i="7" s="1"/>
  <c r="B46" i="11"/>
  <c r="W42" i="11"/>
  <c r="L37" i="7" s="1"/>
  <c r="W44" i="11"/>
  <c r="L39" i="7" s="1"/>
  <c r="W46" i="11"/>
  <c r="P43" i="11"/>
  <c r="P45" i="11"/>
  <c r="J40" i="7" s="1"/>
  <c r="J36" i="7"/>
  <c r="I42" i="11"/>
  <c r="H37" i="7" s="1"/>
  <c r="I44" i="11"/>
  <c r="H39" i="7" s="1"/>
  <c r="I46" i="11"/>
  <c r="J46" i="11" s="1" a="1"/>
  <c r="J46" i="11" s="1"/>
  <c r="V16" i="7"/>
  <c r="H15" i="7"/>
  <c r="V15" i="7"/>
  <c r="J14" i="7"/>
  <c r="V13" i="7"/>
  <c r="V12" i="7"/>
  <c r="J12" i="7"/>
  <c r="V11" i="7"/>
  <c r="V10" i="7"/>
  <c r="V9" i="7"/>
  <c r="T11" i="11"/>
  <c r="H12" i="7"/>
  <c r="J11" i="7"/>
  <c r="Y11" i="11"/>
  <c r="K17" i="11"/>
  <c r="R19" i="11"/>
  <c r="Y21" i="11"/>
  <c r="Y13" i="11"/>
  <c r="Z11" i="7"/>
  <c r="AC11" i="7" s="1"/>
  <c r="V14" i="7"/>
  <c r="H11" i="7"/>
  <c r="J7" i="7"/>
  <c r="J10" i="7"/>
  <c r="K16" i="11"/>
  <c r="R18" i="11"/>
  <c r="Y20" i="11"/>
  <c r="Z7" i="7"/>
  <c r="Z10" i="7"/>
  <c r="AC10" i="7" s="1"/>
  <c r="H7" i="7"/>
  <c r="H10" i="7"/>
  <c r="J9" i="7"/>
  <c r="K15" i="11"/>
  <c r="R17" i="11"/>
  <c r="Y19" i="11"/>
  <c r="Z17" i="7"/>
  <c r="AC17" i="7" s="1"/>
  <c r="Z9" i="7"/>
  <c r="AC9" i="7" s="1"/>
  <c r="H17" i="7"/>
  <c r="H9" i="7"/>
  <c r="J16" i="7"/>
  <c r="J8" i="7"/>
  <c r="K14" i="11"/>
  <c r="R16" i="11"/>
  <c r="Y18" i="11"/>
  <c r="Z16" i="7"/>
  <c r="AC16" i="7" s="1"/>
  <c r="Z8" i="7"/>
  <c r="M11" i="11"/>
  <c r="P11" i="11"/>
  <c r="H16" i="7"/>
  <c r="H8" i="7"/>
  <c r="J15" i="7"/>
  <c r="K21" i="11"/>
  <c r="Y17" i="11"/>
  <c r="Z15" i="7"/>
  <c r="AC15" i="7" s="1"/>
  <c r="R12" i="11"/>
  <c r="R14" i="11"/>
  <c r="Y16" i="11"/>
  <c r="Z14" i="7"/>
  <c r="AC14" i="7" s="1"/>
  <c r="H14" i="7"/>
  <c r="R21" i="11"/>
  <c r="R13" i="11"/>
  <c r="Y15" i="11"/>
  <c r="Z13" i="7"/>
  <c r="AC13" i="7" s="1"/>
  <c r="V8" i="7"/>
  <c r="H13" i="7"/>
  <c r="Z12" i="7"/>
  <c r="AC12" i="7" s="1"/>
  <c r="Y22" i="11"/>
  <c r="CC22" i="11"/>
  <c r="AB17" i="7"/>
  <c r="CC21" i="11"/>
  <c r="AB16" i="7"/>
  <c r="CC20" i="11"/>
  <c r="AB15" i="7"/>
  <c r="CC19" i="11"/>
  <c r="AB14" i="7"/>
  <c r="CC18" i="11"/>
  <c r="AB13" i="7"/>
  <c r="CC17" i="11"/>
  <c r="AB12" i="7"/>
  <c r="CC16" i="11"/>
  <c r="AB11" i="7"/>
  <c r="CC15" i="11"/>
  <c r="AB10" i="7"/>
  <c r="CC14" i="11"/>
  <c r="AB9" i="7"/>
  <c r="CC12" i="11"/>
  <c r="AB8" i="7"/>
  <c r="CA45" i="11" a="1"/>
  <c r="CA45" i="11" s="1"/>
  <c r="AB40" i="7" s="1"/>
  <c r="AB7" i="7"/>
  <c r="CE11" i="11"/>
  <c r="CC11" i="11"/>
  <c r="CA11" i="11"/>
  <c r="BX11" i="11"/>
  <c r="BV11" i="11"/>
  <c r="BT47" i="11" a="1"/>
  <c r="BT47" i="11" s="1"/>
  <c r="BT46" i="11" a="1"/>
  <c r="BT46" i="11" s="1"/>
  <c r="BT45" i="11" a="1"/>
  <c r="BT45" i="11" s="1"/>
  <c r="Z40" i="7" s="1"/>
  <c r="BT44" i="11" a="1"/>
  <c r="BT44" i="11" s="1"/>
  <c r="Z39" i="7" s="1"/>
  <c r="BT43" i="11" a="1"/>
  <c r="BT43" i="11" s="1"/>
  <c r="Z38" i="7" s="1"/>
  <c r="BT42" i="11" a="1"/>
  <c r="BT42" i="11" s="1"/>
  <c r="Z37" i="7" s="1"/>
  <c r="BO22" i="11"/>
  <c r="X17" i="7"/>
  <c r="BO21" i="11"/>
  <c r="X16" i="7"/>
  <c r="BO20" i="11"/>
  <c r="X15" i="7"/>
  <c r="X14" i="7"/>
  <c r="X13" i="7"/>
  <c r="X12" i="7"/>
  <c r="X11" i="7"/>
  <c r="X10" i="7"/>
  <c r="BO14" i="11"/>
  <c r="X9" i="7"/>
  <c r="BO12" i="11"/>
  <c r="X8" i="7"/>
  <c r="X7" i="7"/>
  <c r="BQ11" i="11"/>
  <c r="BO11" i="11"/>
  <c r="BJ11" i="11"/>
  <c r="BH11" i="11"/>
  <c r="BH22" i="11"/>
  <c r="BH21" i="11"/>
  <c r="BH20" i="11"/>
  <c r="BH19" i="11"/>
  <c r="BH18" i="11"/>
  <c r="BH17" i="11"/>
  <c r="BH16" i="11"/>
  <c r="BH15" i="11"/>
  <c r="BH14" i="11"/>
  <c r="BF47" i="11" a="1"/>
  <c r="BF47" i="11" s="1"/>
  <c r="BH12" i="11"/>
  <c r="BA14" i="11"/>
  <c r="BA12" i="11"/>
  <c r="BC11" i="11"/>
  <c r="BA11" i="11"/>
  <c r="AY44" i="11" a="1"/>
  <c r="AY44" i="11" s="1"/>
  <c r="T39" i="7" s="1"/>
  <c r="AY43" i="11" a="1"/>
  <c r="AY43" i="11" s="1"/>
  <c r="T38" i="7" s="1"/>
  <c r="AY42" i="11" a="1"/>
  <c r="AY42" i="11" s="1"/>
  <c r="T37" i="7" s="1"/>
  <c r="AT22" i="11"/>
  <c r="R17" i="7"/>
  <c r="AT21" i="11"/>
  <c r="R16" i="7"/>
  <c r="AT20" i="11"/>
  <c r="R15" i="7"/>
  <c r="AT19" i="11"/>
  <c r="R14" i="7"/>
  <c r="AT18" i="11"/>
  <c r="R13" i="7"/>
  <c r="AT17" i="11"/>
  <c r="R12" i="7"/>
  <c r="AT16" i="11"/>
  <c r="R11" i="7"/>
  <c r="AT15" i="11"/>
  <c r="R10" i="7"/>
  <c r="AT14" i="11"/>
  <c r="R9" i="7"/>
  <c r="AT12" i="11"/>
  <c r="R8" i="7"/>
  <c r="R7" i="7"/>
  <c r="AV11" i="11"/>
  <c r="AT11" i="11"/>
  <c r="AR11" i="11"/>
  <c r="AR47" i="11" a="1"/>
  <c r="AR47" i="11" s="1"/>
  <c r="AR46" i="11" a="1"/>
  <c r="AR46" i="11" s="1"/>
  <c r="AR45" i="11" a="1"/>
  <c r="AR45" i="11" s="1"/>
  <c r="R40" i="7" s="1"/>
  <c r="AR44" i="11" a="1"/>
  <c r="AR44" i="11" s="1"/>
  <c r="R39" i="7" s="1"/>
  <c r="AR43" i="11" a="1"/>
  <c r="AR43" i="11" s="1"/>
  <c r="R38" i="7" s="1"/>
  <c r="AR42" i="11" a="1"/>
  <c r="AR42" i="11" s="1"/>
  <c r="R37" i="7" s="1"/>
  <c r="AM22" i="11"/>
  <c r="AM21" i="11"/>
  <c r="AM20" i="11"/>
  <c r="AM19" i="11"/>
  <c r="AM18" i="11"/>
  <c r="AM17" i="11"/>
  <c r="AM15" i="11"/>
  <c r="AM14" i="11"/>
  <c r="AM12" i="11"/>
  <c r="AK45" i="11" a="1"/>
  <c r="AK45" i="11" s="1"/>
  <c r="P40" i="7" s="1"/>
  <c r="AO11" i="11"/>
  <c r="AM11" i="11"/>
  <c r="AK11" i="11"/>
  <c r="AF22" i="11"/>
  <c r="N17" i="7"/>
  <c r="AF21" i="11"/>
  <c r="N16" i="7"/>
  <c r="AF20" i="11"/>
  <c r="N15" i="7"/>
  <c r="AF19" i="11"/>
  <c r="N14" i="7"/>
  <c r="AF18" i="11"/>
  <c r="N13" i="7"/>
  <c r="AF17" i="11"/>
  <c r="N12" i="7"/>
  <c r="AF16" i="11"/>
  <c r="N11" i="7"/>
  <c r="AF15" i="11"/>
  <c r="N10" i="7"/>
  <c r="N9" i="7"/>
  <c r="AF14" i="11"/>
  <c r="AF13" i="11"/>
  <c r="AF12" i="11"/>
  <c r="N8" i="7"/>
  <c r="N7" i="7"/>
  <c r="AH11" i="11"/>
  <c r="AF11" i="11"/>
  <c r="AD11" i="11"/>
  <c r="C46" i="11" a="1"/>
  <c r="C46" i="11" s="1"/>
  <c r="J47" i="11" a="1"/>
  <c r="J47" i="11" s="1"/>
  <c r="X52" i="11" a="1"/>
  <c r="X52" i="11" s="1"/>
  <c r="Q46" i="11" a="1"/>
  <c r="Q46" i="11" s="1"/>
  <c r="Q47" i="11" a="1"/>
  <c r="Q47" i="11" s="1"/>
  <c r="J50" i="11" a="1"/>
  <c r="J50" i="11" s="1"/>
  <c r="J51" i="11" a="1"/>
  <c r="J51" i="11" s="1"/>
  <c r="C52" i="11" a="1"/>
  <c r="C52" i="11" s="1"/>
  <c r="D41" i="11"/>
  <c r="K41" i="11"/>
  <c r="R41" i="11"/>
  <c r="Y41" i="11"/>
  <c r="D42" i="11"/>
  <c r="K42" i="11"/>
  <c r="R42" i="11"/>
  <c r="Y42" i="11"/>
  <c r="D43" i="11"/>
  <c r="K43" i="11"/>
  <c r="R43" i="11"/>
  <c r="Y43" i="11"/>
  <c r="D44" i="11"/>
  <c r="K44" i="11"/>
  <c r="R44" i="11"/>
  <c r="Y44" i="11"/>
  <c r="D45" i="11"/>
  <c r="K45" i="11"/>
  <c r="R45" i="11"/>
  <c r="Y45" i="11"/>
  <c r="D46" i="11"/>
  <c r="E46" i="11" s="1"/>
  <c r="K46" i="11"/>
  <c r="L46" i="11" s="1"/>
  <c r="R46" i="11"/>
  <c r="Y46" i="11"/>
  <c r="D47" i="11"/>
  <c r="K47" i="11"/>
  <c r="R47" i="11"/>
  <c r="Y47" i="11"/>
  <c r="D49" i="11"/>
  <c r="K49" i="11"/>
  <c r="R49" i="11"/>
  <c r="Y49" i="11"/>
  <c r="K50" i="11"/>
  <c r="Y50" i="11"/>
  <c r="D51" i="11"/>
  <c r="K51" i="11"/>
  <c r="R51" i="11"/>
  <c r="Y51" i="11"/>
  <c r="Z51" i="11" s="1"/>
  <c r="D52" i="11"/>
  <c r="K52" i="11"/>
  <c r="L52" i="11" s="1"/>
  <c r="R52" i="11"/>
  <c r="Y52" i="11"/>
  <c r="X46" i="11" a="1"/>
  <c r="X46" i="11" s="1"/>
  <c r="Z46" i="11" s="1"/>
  <c r="X47" i="11" a="1"/>
  <c r="X47" i="11" s="1"/>
  <c r="Z47" i="11" s="1"/>
  <c r="Q52" i="11" a="1"/>
  <c r="Q52" i="11" s="1"/>
  <c r="S52" i="11" s="1"/>
  <c r="E47" i="11"/>
  <c r="Z50" i="11"/>
  <c r="BP46" i="11"/>
  <c r="CA47" i="11" a="1"/>
  <c r="CA47" i="11" s="1"/>
  <c r="BM42" i="11" a="1"/>
  <c r="BM42" i="11" s="1"/>
  <c r="X37" i="7" s="1"/>
  <c r="AK43" i="11" a="1"/>
  <c r="AK43" i="11" s="1"/>
  <c r="P38" i="7" s="1"/>
  <c r="BM43" i="11" a="1"/>
  <c r="BM43" i="11" s="1"/>
  <c r="X38" i="7" s="1"/>
  <c r="AK44" i="11" a="1"/>
  <c r="AK44" i="11" s="1"/>
  <c r="P39" i="7" s="1"/>
  <c r="BM44" i="11" a="1"/>
  <c r="BM44" i="11" s="1"/>
  <c r="X39" i="7" s="1"/>
  <c r="BM45" i="11" a="1"/>
  <c r="BM45" i="11" s="1"/>
  <c r="X40" i="7" s="1"/>
  <c r="BF46" i="11" a="1"/>
  <c r="BF46" i="11" s="1"/>
  <c r="AD41" i="11"/>
  <c r="N36" i="7" s="1"/>
  <c r="BF41" i="11"/>
  <c r="V36" i="7" s="1"/>
  <c r="AK46" i="11" a="1"/>
  <c r="AK46" i="11" s="1"/>
  <c r="AK47" i="11" a="1"/>
  <c r="AK47" i="11" s="1"/>
  <c r="BM47" i="11" a="1"/>
  <c r="BM47" i="11" s="1"/>
  <c r="BF42" i="11" a="1"/>
  <c r="BF42" i="11" s="1"/>
  <c r="V37" i="7" s="1"/>
  <c r="BF43" i="11" a="1"/>
  <c r="BF43" i="11" s="1"/>
  <c r="V38" i="7" s="1"/>
  <c r="AD44" i="11" a="1"/>
  <c r="AD44" i="11" s="1"/>
  <c r="N39" i="7" s="1"/>
  <c r="BF44" i="11" a="1"/>
  <c r="BF44" i="11" s="1"/>
  <c r="V39" i="7" s="1"/>
  <c r="AD45" i="11" a="1"/>
  <c r="AD45" i="11" s="1"/>
  <c r="N40" i="7" s="1"/>
  <c r="BF45" i="11" a="1"/>
  <c r="BF45" i="11" s="1"/>
  <c r="V40" i="7" s="1"/>
  <c r="AN46" i="11"/>
  <c r="AN47" i="11"/>
  <c r="AK41" i="11"/>
  <c r="P36" i="7" s="1"/>
  <c r="CA46" i="11" a="1"/>
  <c r="CA46" i="11" s="1"/>
  <c r="AK42" i="11" a="1"/>
  <c r="AK42" i="11" s="1"/>
  <c r="P37" i="7" s="1"/>
  <c r="AD42" i="11" a="1"/>
  <c r="AD42" i="11" s="1"/>
  <c r="N37" i="7" s="1"/>
  <c r="AD43" i="11" a="1"/>
  <c r="AD43" i="11" s="1"/>
  <c r="N38" i="7" s="1"/>
  <c r="AY41" i="11"/>
  <c r="T36" i="7" s="1"/>
  <c r="AY46" i="11" a="1"/>
  <c r="AY46" i="11" s="1"/>
  <c r="BW46" i="11"/>
  <c r="AY47" i="11" a="1"/>
  <c r="AY47" i="11" s="1"/>
  <c r="AY45" i="11" a="1"/>
  <c r="AY45" i="11" s="1"/>
  <c r="T40" i="7" s="1"/>
  <c r="AD46" i="11" a="1"/>
  <c r="AD46" i="11" s="1"/>
  <c r="AD47" i="11" a="1"/>
  <c r="AD47" i="11" s="1"/>
  <c r="CA41" i="11"/>
  <c r="AB36" i="7" s="1"/>
  <c r="CA42" i="11" a="1"/>
  <c r="CA42" i="11" s="1"/>
  <c r="AB37" i="7" s="1"/>
  <c r="CA43" i="11" a="1"/>
  <c r="CA43" i="11" s="1"/>
  <c r="AB38" i="7" s="1"/>
  <c r="CA44" i="11" a="1"/>
  <c r="CA44" i="11" s="1"/>
  <c r="AB39" i="7" s="1"/>
  <c r="AG46" i="11"/>
  <c r="BM46" i="11" a="1"/>
  <c r="BM46" i="11" s="1"/>
  <c r="AG47" i="11"/>
  <c r="BP47" i="11"/>
  <c r="AG49" i="11"/>
  <c r="AG51" i="11"/>
  <c r="AG52" i="11"/>
  <c r="AU52" i="11"/>
  <c r="BI52" i="11"/>
  <c r="BW52" i="11"/>
  <c r="AU49" i="11"/>
  <c r="AU51" i="11"/>
  <c r="CD51" i="11"/>
  <c r="BI49" i="11"/>
  <c r="BI51" i="11"/>
  <c r="BB52" i="11"/>
  <c r="BP52" i="11"/>
  <c r="CD52" i="11"/>
  <c r="AN49" i="11"/>
  <c r="BW49" i="11"/>
  <c r="BW51" i="11"/>
  <c r="Y18" i="7" l="1"/>
  <c r="N19" i="7"/>
  <c r="R19" i="7"/>
  <c r="Z19" i="7"/>
  <c r="L19" i="7"/>
  <c r="V19" i="7"/>
  <c r="AB19" i="7"/>
  <c r="J41" i="11" a="1"/>
  <c r="J41" i="11" s="1"/>
  <c r="L41" i="11" s="1"/>
  <c r="E52" i="11"/>
  <c r="L51" i="11"/>
  <c r="L50" i="11"/>
  <c r="S47" i="11"/>
  <c r="S46" i="11"/>
  <c r="Z52" i="11"/>
  <c r="L47" i="11"/>
  <c r="P7" i="7"/>
  <c r="P8" i="7"/>
  <c r="P10" i="7"/>
  <c r="P11" i="7"/>
  <c r="P17" i="7"/>
  <c r="T17" i="7"/>
  <c r="L17" i="7"/>
  <c r="L9" i="7"/>
  <c r="L7" i="7"/>
  <c r="L10" i="7"/>
  <c r="L12" i="7"/>
  <c r="J6" i="7"/>
  <c r="L13" i="7"/>
  <c r="H6" i="7"/>
  <c r="L14" i="7"/>
  <c r="L15" i="7"/>
  <c r="L8" i="7"/>
  <c r="L16" i="7"/>
  <c r="Q41" i="11" a="1"/>
  <c r="Q41" i="11" s="1"/>
  <c r="S41" i="11" s="1"/>
  <c r="BU41" i="11"/>
  <c r="CB41" i="11"/>
  <c r="AL41" i="11"/>
  <c r="L6" i="7"/>
  <c r="J38" i="7"/>
  <c r="H40" i="7"/>
  <c r="CC45" i="11"/>
  <c r="BG41" i="11"/>
  <c r="BN41" i="11"/>
  <c r="CC43" i="11"/>
  <c r="X41" i="11" a="1"/>
  <c r="X41" i="11" s="1"/>
  <c r="Z41" i="11" s="1"/>
  <c r="X43" i="11" a="1"/>
  <c r="X43" i="11" s="1"/>
  <c r="Z43" i="11" s="1"/>
  <c r="AM41" i="11"/>
  <c r="AN41" i="11" s="1"/>
  <c r="AO41" i="11" s="1"/>
  <c r="BO41" i="11"/>
  <c r="BH45" i="11"/>
  <c r="AM43" i="11"/>
  <c r="BV45" i="11"/>
  <c r="AZ41" i="11"/>
  <c r="AF41" i="11"/>
  <c r="BH43" i="11"/>
  <c r="AT45" i="11"/>
  <c r="J39" i="7"/>
  <c r="Q44" i="11" s="1" a="1"/>
  <c r="Q44" i="11" s="1"/>
  <c r="S44" i="11" s="1"/>
  <c r="BV41" i="11"/>
  <c r="BW41" i="11" s="1"/>
  <c r="BX41" i="11" s="1"/>
  <c r="AS41" i="11"/>
  <c r="AT43" i="11"/>
  <c r="J43" i="11" a="1"/>
  <c r="J43" i="11" s="1"/>
  <c r="L43" i="11" s="1"/>
  <c r="C41" i="11" a="1"/>
  <c r="C41" i="11" s="1"/>
  <c r="E41" i="11" s="1"/>
  <c r="J37" i="7"/>
  <c r="BH41" i="11"/>
  <c r="CC41" i="11"/>
  <c r="CD41" i="11" s="1"/>
  <c r="CE41" i="11" s="1"/>
  <c r="BY44" i="11"/>
  <c r="BK44" i="11"/>
  <c r="BN44" i="11"/>
  <c r="AB44" i="11"/>
  <c r="BV44" i="11"/>
  <c r="BH44" i="11"/>
  <c r="AW44" i="11"/>
  <c r="AI44" i="11"/>
  <c r="BA44" i="11"/>
  <c r="G44" i="11"/>
  <c r="BU44" i="11"/>
  <c r="BG44" i="11"/>
  <c r="AT44" i="11"/>
  <c r="AF44" i="11"/>
  <c r="CF44" i="11"/>
  <c r="AS44" i="11"/>
  <c r="AE44" i="11"/>
  <c r="AM44" i="11"/>
  <c r="U44" i="11"/>
  <c r="BR44" i="11"/>
  <c r="BD44" i="11"/>
  <c r="CB44" i="11"/>
  <c r="CC44" i="11"/>
  <c r="BO44" i="11"/>
  <c r="AP44" i="11"/>
  <c r="N44" i="11"/>
  <c r="AZ44" i="11"/>
  <c r="AL44" i="11"/>
  <c r="U45" i="11"/>
  <c r="BU45" i="11"/>
  <c r="BG45" i="11"/>
  <c r="CF45" i="11"/>
  <c r="AS45" i="11"/>
  <c r="AE45" i="11"/>
  <c r="G45" i="11"/>
  <c r="BR45" i="11"/>
  <c r="BD45" i="11"/>
  <c r="N45" i="11"/>
  <c r="AP45" i="11"/>
  <c r="BK45" i="11"/>
  <c r="CB45" i="11"/>
  <c r="CD45" i="11" s="1"/>
  <c r="BN45" i="11"/>
  <c r="AB45" i="11"/>
  <c r="AZ45" i="11"/>
  <c r="AL45" i="11"/>
  <c r="AW45" i="11"/>
  <c r="AI45" i="11"/>
  <c r="BY45" i="11"/>
  <c r="AE41" i="11"/>
  <c r="BA41" i="11"/>
  <c r="BO45" i="11"/>
  <c r="BA45" i="11"/>
  <c r="AZ42" i="11"/>
  <c r="AB42" i="11"/>
  <c r="CB42" i="11"/>
  <c r="BN42" i="11"/>
  <c r="G42" i="11"/>
  <c r="BY42" i="11"/>
  <c r="BK42" i="11"/>
  <c r="AW42" i="11"/>
  <c r="AI42" i="11"/>
  <c r="U42" i="11"/>
  <c r="AE42" i="11"/>
  <c r="BU42" i="11"/>
  <c r="BG42" i="11"/>
  <c r="AS42" i="11"/>
  <c r="N42" i="11"/>
  <c r="CF42" i="11"/>
  <c r="BR42" i="11"/>
  <c r="BD42" i="11"/>
  <c r="AP42" i="11"/>
  <c r="AL42" i="11"/>
  <c r="U43" i="11"/>
  <c r="CB43" i="11"/>
  <c r="BN43" i="11"/>
  <c r="BD43" i="11"/>
  <c r="AZ43" i="11"/>
  <c r="AL43" i="11"/>
  <c r="BY43" i="11"/>
  <c r="BK43" i="11"/>
  <c r="G43" i="11"/>
  <c r="N43" i="11"/>
  <c r="AW43" i="11"/>
  <c r="AI43" i="11"/>
  <c r="BU43" i="11"/>
  <c r="BG43" i="11"/>
  <c r="BI43" i="11" s="1"/>
  <c r="AB43" i="11"/>
  <c r="CF43" i="11"/>
  <c r="AS43" i="11"/>
  <c r="AE43" i="11"/>
  <c r="AP43" i="11"/>
  <c r="BR43" i="11"/>
  <c r="AT41" i="11"/>
  <c r="BO43" i="11"/>
  <c r="BA43" i="11"/>
  <c r="AF42" i="11"/>
  <c r="AH42" i="11" s="1"/>
  <c r="N6" i="7"/>
  <c r="P14" i="7"/>
  <c r="T9" i="7"/>
  <c r="T13" i="7"/>
  <c r="P15" i="7"/>
  <c r="T10" i="7"/>
  <c r="T14" i="7"/>
  <c r="P12" i="7"/>
  <c r="P16" i="7"/>
  <c r="T11" i="7"/>
  <c r="T15" i="7"/>
  <c r="P6" i="7"/>
  <c r="P9" i="7"/>
  <c r="T7" i="7"/>
  <c r="AB6" i="7"/>
  <c r="P13" i="7"/>
  <c r="R6" i="7"/>
  <c r="T8" i="7"/>
  <c r="T12" i="7"/>
  <c r="T16" i="7"/>
  <c r="A12" i="11"/>
  <c r="A13" i="11"/>
  <c r="A14" i="11"/>
  <c r="A15" i="11"/>
  <c r="A16" i="11"/>
  <c r="A17" i="11"/>
  <c r="A18" i="11"/>
  <c r="A19" i="11"/>
  <c r="A20" i="11"/>
  <c r="A21" i="11"/>
  <c r="A22" i="11"/>
  <c r="A11" i="11"/>
  <c r="B11" i="11" s="1"/>
  <c r="CG11" i="11" s="1"/>
  <c r="AC91" i="7"/>
  <c r="AC66" i="7"/>
  <c r="AC41" i="7"/>
  <c r="AC92" i="7"/>
  <c r="AC67" i="7"/>
  <c r="AC42" i="7"/>
  <c r="B13" i="11" l="1"/>
  <c r="CG13" i="11" s="1"/>
  <c r="B12" i="11"/>
  <c r="CG12" i="11" s="1"/>
  <c r="AU45" i="11"/>
  <c r="BI45" i="11"/>
  <c r="BI44" i="11"/>
  <c r="AU43" i="11"/>
  <c r="AG44" i="11"/>
  <c r="BB44" i="11"/>
  <c r="BW45" i="11"/>
  <c r="CD43" i="11"/>
  <c r="BW44" i="11"/>
  <c r="AU44" i="11"/>
  <c r="AN43" i="11"/>
  <c r="F11" i="11"/>
  <c r="BB43" i="11"/>
  <c r="BP43" i="11"/>
  <c r="BP44" i="11"/>
  <c r="BV42" i="11"/>
  <c r="BW42" i="11" s="1"/>
  <c r="BO42" i="11"/>
  <c r="BP42" i="11" s="1"/>
  <c r="BI41" i="11"/>
  <c r="BJ41" i="11" s="1"/>
  <c r="AF45" i="11"/>
  <c r="AG45" i="11" s="1"/>
  <c r="J45" i="11" a="1"/>
  <c r="J45" i="11" s="1"/>
  <c r="L45" i="11" s="1"/>
  <c r="C43" i="11" a="1"/>
  <c r="C43" i="11" s="1"/>
  <c r="E43" i="11" s="1"/>
  <c r="AF43" i="11"/>
  <c r="BV43" i="11"/>
  <c r="BW43" i="11" s="1"/>
  <c r="CD44" i="11"/>
  <c r="AU41" i="11"/>
  <c r="AV41" i="11" s="1"/>
  <c r="X42" i="11" a="1"/>
  <c r="X42" i="11" s="1"/>
  <c r="Z42" i="11" s="1"/>
  <c r="J42" i="11" a="1"/>
  <c r="J42" i="11" s="1"/>
  <c r="L42" i="11" s="1"/>
  <c r="C42" i="11" a="1"/>
  <c r="C42" i="11" s="1"/>
  <c r="E42" i="11" s="1"/>
  <c r="AT42" i="11"/>
  <c r="AU42" i="11" s="1"/>
  <c r="BB45" i="11"/>
  <c r="AN44" i="11"/>
  <c r="Q42" i="11" a="1"/>
  <c r="Q42" i="11" s="1"/>
  <c r="S42" i="11" s="1"/>
  <c r="X44" i="11" a="1"/>
  <c r="X44" i="11" s="1"/>
  <c r="Z44" i="11" s="1"/>
  <c r="C44" i="11" a="1"/>
  <c r="C44" i="11" s="1"/>
  <c r="E44" i="11" s="1"/>
  <c r="J44" i="11" a="1"/>
  <c r="J44" i="11" s="1"/>
  <c r="L44" i="11" s="1"/>
  <c r="BA42" i="11"/>
  <c r="BB42" i="11" s="1"/>
  <c r="Q43" i="11" a="1"/>
  <c r="Q43" i="11" s="1"/>
  <c r="S43" i="11" s="1"/>
  <c r="BP45" i="11"/>
  <c r="BP41" i="11"/>
  <c r="BQ41" i="11" s="1"/>
  <c r="AM42" i="11"/>
  <c r="AN42" i="11" s="1"/>
  <c r="CC42" i="11"/>
  <c r="CD42" i="11" s="1"/>
  <c r="AG41" i="11"/>
  <c r="AH41" i="11" s="1"/>
  <c r="AG42" i="11"/>
  <c r="BH42" i="11"/>
  <c r="BI42" i="11" s="1"/>
  <c r="BB41" i="11"/>
  <c r="BC41" i="11" s="1"/>
  <c r="Q45" i="11" a="1"/>
  <c r="Q45" i="11" s="1"/>
  <c r="S45" i="11" s="1"/>
  <c r="C45" i="11" a="1"/>
  <c r="C45" i="11" s="1"/>
  <c r="E45" i="11" s="1"/>
  <c r="X45" i="11" a="1"/>
  <c r="X45" i="11" s="1"/>
  <c r="Z45" i="11" s="1"/>
  <c r="AM45" i="11"/>
  <c r="AN45" i="11" s="1"/>
  <c r="D20" i="11"/>
  <c r="F15" i="7"/>
  <c r="AZ20" i="11" s="1" a="1"/>
  <c r="AZ20" i="11" s="1"/>
  <c r="F7" i="7"/>
  <c r="D12" i="11"/>
  <c r="D19" i="11"/>
  <c r="F14" i="7"/>
  <c r="BO19" i="11" s="1"/>
  <c r="F9" i="7"/>
  <c r="D14" i="11"/>
  <c r="F8" i="7"/>
  <c r="AC8" i="7" s="1"/>
  <c r="AD8" i="7" s="1" a="1"/>
  <c r="AD8" i="7" s="1"/>
  <c r="D13" i="11"/>
  <c r="D17" i="11"/>
  <c r="F12" i="7"/>
  <c r="F16" i="7"/>
  <c r="AZ21" i="11" s="1" a="1"/>
  <c r="AZ21" i="11" s="1"/>
  <c r="D21" i="11"/>
  <c r="D18" i="11"/>
  <c r="F13" i="7"/>
  <c r="AZ18" i="11" s="1" a="1"/>
  <c r="AZ18" i="11" s="1"/>
  <c r="D16" i="11"/>
  <c r="F11" i="7"/>
  <c r="AM16" i="11" s="1"/>
  <c r="P19" i="7" s="1"/>
  <c r="D11" i="11"/>
  <c r="F10" i="7"/>
  <c r="D15" i="11"/>
  <c r="F17" i="7"/>
  <c r="AZ22" i="11" s="1" a="1"/>
  <c r="AZ22" i="11" s="1"/>
  <c r="K93" i="7"/>
  <c r="G93" i="7"/>
  <c r="I93" i="7"/>
  <c r="M93" i="7"/>
  <c r="O93" i="7"/>
  <c r="Q93" i="7"/>
  <c r="S93" i="7"/>
  <c r="U93" i="7"/>
  <c r="W93" i="7"/>
  <c r="Y93" i="7"/>
  <c r="AA93" i="7"/>
  <c r="E93" i="7"/>
  <c r="M68" i="7"/>
  <c r="K68" i="7"/>
  <c r="O68" i="7"/>
  <c r="K70" i="7" s="1"/>
  <c r="Q68" i="7"/>
  <c r="S68" i="7"/>
  <c r="U68" i="7"/>
  <c r="W68" i="7"/>
  <c r="Y68" i="7"/>
  <c r="AA68" i="7"/>
  <c r="I68" i="7"/>
  <c r="G68" i="7"/>
  <c r="E68" i="7"/>
  <c r="M43" i="7"/>
  <c r="AC48" i="11" s="1"/>
  <c r="K43" i="7"/>
  <c r="V48" i="11" s="1"/>
  <c r="I43" i="7"/>
  <c r="O48" i="11" s="1"/>
  <c r="O43" i="7"/>
  <c r="AJ48" i="11" s="1"/>
  <c r="Q43" i="7"/>
  <c r="AQ48" i="11" s="1"/>
  <c r="S43" i="7"/>
  <c r="AX48" i="11" s="1"/>
  <c r="U43" i="7"/>
  <c r="BE48" i="11" s="1"/>
  <c r="W43" i="7"/>
  <c r="BL48" i="11" s="1"/>
  <c r="Y43" i="7"/>
  <c r="BS48" i="11" s="1"/>
  <c r="AA43" i="7"/>
  <c r="BZ48" i="11" s="1"/>
  <c r="G43" i="7"/>
  <c r="H48" i="11" s="1"/>
  <c r="E43" i="7"/>
  <c r="AC7" i="7" l="1"/>
  <c r="AD7" i="7" s="1" a="1"/>
  <c r="AD7" i="7" s="1"/>
  <c r="AZ15" i="11" a="1"/>
  <c r="AZ15" i="11" s="1"/>
  <c r="BO15" i="11"/>
  <c r="BO18" i="11"/>
  <c r="AZ19" i="11" a="1"/>
  <c r="AZ19" i="11" s="1"/>
  <c r="AZ16" i="11" a="1"/>
  <c r="AZ16" i="11" s="1"/>
  <c r="BO16" i="11"/>
  <c r="AZ17" i="11" a="1"/>
  <c r="AZ17" i="11" s="1"/>
  <c r="BO17" i="11"/>
  <c r="AH47" i="11"/>
  <c r="AB48" i="11"/>
  <c r="U48" i="11"/>
  <c r="N48" i="11"/>
  <c r="G48" i="11"/>
  <c r="A48" i="11"/>
  <c r="CF48" i="11"/>
  <c r="CB48" i="11"/>
  <c r="BY48" i="11"/>
  <c r="BU48" i="11"/>
  <c r="BR48" i="11"/>
  <c r="BN48" i="11"/>
  <c r="BK48" i="11"/>
  <c r="BG48" i="11"/>
  <c r="BD48" i="11"/>
  <c r="AZ48" i="11"/>
  <c r="AW48" i="11"/>
  <c r="AS48" i="11"/>
  <c r="AP48" i="11"/>
  <c r="AL48" i="11"/>
  <c r="AI48" i="11"/>
  <c r="AE48" i="11"/>
  <c r="M48" i="11"/>
  <c r="I48" i="11"/>
  <c r="I49" i="11"/>
  <c r="J49" i="11" s="1" a="1"/>
  <c r="J49" i="11" s="1"/>
  <c r="L49" i="11" s="1"/>
  <c r="J48" i="11" a="1"/>
  <c r="J48" i="11" s="1"/>
  <c r="K48" i="11"/>
  <c r="CC48" i="11"/>
  <c r="CD48" i="11" s="1"/>
  <c r="CA51" i="11" a="1"/>
  <c r="CA51" i="11" s="1"/>
  <c r="CA50" i="11" a="1"/>
  <c r="CA50" i="11" s="1"/>
  <c r="CA49" i="11" a="1"/>
  <c r="CA49" i="11" s="1"/>
  <c r="CA48" i="11" a="1"/>
  <c r="CA48" i="11" s="1"/>
  <c r="CA52" i="11" a="1"/>
  <c r="CA52" i="11" s="1"/>
  <c r="BV48" i="11"/>
  <c r="BT48" i="11" a="1"/>
  <c r="BT48" i="11" s="1"/>
  <c r="BT49" i="11" a="1"/>
  <c r="BT49" i="11" s="1"/>
  <c r="BO48" i="11"/>
  <c r="BM48" i="11" a="1"/>
  <c r="BM48" i="11" s="1"/>
  <c r="BM50" i="11" a="1"/>
  <c r="BM50" i="11" s="1"/>
  <c r="BM51" i="11" a="1"/>
  <c r="BM51" i="11" s="1"/>
  <c r="BM49" i="11" a="1"/>
  <c r="BM49" i="11" s="1"/>
  <c r="BM52" i="11" a="1"/>
  <c r="BM52" i="11" s="1"/>
  <c r="BH48" i="11"/>
  <c r="BF49" i="11" a="1"/>
  <c r="BF49" i="11" s="1"/>
  <c r="BF48" i="11" a="1"/>
  <c r="BF48" i="11" s="1"/>
  <c r="BA48" i="11"/>
  <c r="BB48" i="11" s="1"/>
  <c r="AY51" i="11" a="1"/>
  <c r="AY51" i="11" s="1"/>
  <c r="AY49" i="11" a="1"/>
  <c r="AY49" i="11" s="1"/>
  <c r="AY50" i="11" a="1"/>
  <c r="AY50" i="11" s="1"/>
  <c r="AY48" i="11" a="1"/>
  <c r="AY48" i="11" s="1"/>
  <c r="AY52" i="11" a="1"/>
  <c r="AY52" i="11" s="1"/>
  <c r="AT48" i="11"/>
  <c r="AR49" i="11" a="1"/>
  <c r="AR49" i="11" s="1"/>
  <c r="AR48" i="11" a="1"/>
  <c r="AR48" i="11" s="1"/>
  <c r="AM48" i="11"/>
  <c r="AK48" i="11" a="1"/>
  <c r="AK48" i="11" s="1"/>
  <c r="AK51" i="11" a="1"/>
  <c r="AK51" i="11" s="1"/>
  <c r="AK49" i="11" a="1"/>
  <c r="AK49" i="11" s="1"/>
  <c r="AK50" i="11" a="1"/>
  <c r="AK50" i="11" s="1"/>
  <c r="AK52" i="11" a="1"/>
  <c r="AK52" i="11" s="1"/>
  <c r="T48" i="11"/>
  <c r="P48" i="11"/>
  <c r="P49" i="11"/>
  <c r="Q49" i="11" s="1" a="1"/>
  <c r="Q49" i="11" s="1"/>
  <c r="S49" i="11" s="1"/>
  <c r="Q48" i="11" a="1"/>
  <c r="Q48" i="11" s="1"/>
  <c r="R48" i="11"/>
  <c r="AA48" i="11"/>
  <c r="W48" i="11"/>
  <c r="W49" i="11"/>
  <c r="Y48" i="11"/>
  <c r="X48" i="11" a="1"/>
  <c r="X48" i="11" s="1"/>
  <c r="AF48" i="11"/>
  <c r="AD48" i="11" a="1"/>
  <c r="AD48" i="11" s="1"/>
  <c r="AD49" i="11" a="1"/>
  <c r="AD49" i="11" s="1"/>
  <c r="AH49" i="11"/>
  <c r="AH48" i="11"/>
  <c r="Q18" i="11" a="1"/>
  <c r="Q18" i="11" s="1"/>
  <c r="S18" i="11" s="1"/>
  <c r="AE18" i="11" a="1"/>
  <c r="AE18" i="11" s="1"/>
  <c r="AG18" i="11" s="1"/>
  <c r="AL18" i="11" a="1"/>
  <c r="AL18" i="11" s="1"/>
  <c r="AN18" i="11" s="1"/>
  <c r="AS18" i="11" a="1"/>
  <c r="AS18" i="11" s="1"/>
  <c r="AU18" i="11" s="1"/>
  <c r="BN18" i="11" a="1"/>
  <c r="BN18" i="11" s="1"/>
  <c r="BP18" i="11" s="1"/>
  <c r="CB18" i="11" a="1"/>
  <c r="CB18" i="11" s="1"/>
  <c r="CD18" i="11" s="1"/>
  <c r="J18" i="11" a="1"/>
  <c r="J18" i="11" s="1"/>
  <c r="L18" i="11" s="1"/>
  <c r="BU18" i="11" a="1"/>
  <c r="BU18" i="11" s="1"/>
  <c r="BW18" i="11" s="1"/>
  <c r="X18" i="11" a="1"/>
  <c r="X18" i="11" s="1"/>
  <c r="Z18" i="11" s="1"/>
  <c r="BG18" i="11" a="1"/>
  <c r="BG18" i="11" s="1"/>
  <c r="BI18" i="11" s="1"/>
  <c r="BA18" i="11"/>
  <c r="BB18" i="11" s="1"/>
  <c r="AE19" i="11" a="1"/>
  <c r="AE19" i="11" s="1"/>
  <c r="AG19" i="11" s="1"/>
  <c r="AL19" i="11" a="1"/>
  <c r="AL19" i="11" s="1"/>
  <c r="AN19" i="11" s="1"/>
  <c r="AS19" i="11" a="1"/>
  <c r="AS19" i="11" s="1"/>
  <c r="AU19" i="11" s="1"/>
  <c r="BN19" i="11" a="1"/>
  <c r="BN19" i="11" s="1"/>
  <c r="BP19" i="11" s="1"/>
  <c r="CB19" i="11" a="1"/>
  <c r="CB19" i="11" s="1"/>
  <c r="CD19" i="11" s="1"/>
  <c r="J19" i="11" a="1"/>
  <c r="J19" i="11" s="1"/>
  <c r="L19" i="11" s="1"/>
  <c r="BU19" i="11" a="1"/>
  <c r="BU19" i="11" s="1"/>
  <c r="BW19" i="11" s="1"/>
  <c r="X19" i="11" a="1"/>
  <c r="X19" i="11" s="1"/>
  <c r="Z19" i="11" s="1"/>
  <c r="BG19" i="11" a="1"/>
  <c r="BG19" i="11" s="1"/>
  <c r="BI19" i="11" s="1"/>
  <c r="Q19" i="11" a="1"/>
  <c r="Q19" i="11" s="1"/>
  <c r="S19" i="11" s="1"/>
  <c r="BA19" i="11"/>
  <c r="BB19" i="11" s="1"/>
  <c r="BG12" i="11" a="1"/>
  <c r="BG12" i="11" s="1"/>
  <c r="BI12" i="11" s="1"/>
  <c r="BJ12" i="11" s="1"/>
  <c r="AE12" i="11" a="1"/>
  <c r="AE12" i="11" s="1"/>
  <c r="AG12" i="11" s="1"/>
  <c r="AH12" i="11" s="1"/>
  <c r="AL12" i="11" a="1"/>
  <c r="AL12" i="11" s="1"/>
  <c r="AN12" i="11" s="1"/>
  <c r="AO12" i="11" s="1"/>
  <c r="AS12" i="11" a="1"/>
  <c r="AS12" i="11" s="1"/>
  <c r="AU12" i="11" s="1"/>
  <c r="AV12" i="11" s="1"/>
  <c r="AZ12" i="11" a="1"/>
  <c r="AZ12" i="11" s="1"/>
  <c r="BB12" i="11" s="1"/>
  <c r="BC12" i="11" s="1"/>
  <c r="BN12" i="11" a="1"/>
  <c r="BN12" i="11" s="1"/>
  <c r="BP12" i="11" s="1"/>
  <c r="BQ12" i="11" s="1"/>
  <c r="CB12" i="11" a="1"/>
  <c r="CB12" i="11" s="1"/>
  <c r="CD12" i="11" s="1"/>
  <c r="CE12" i="11" s="1"/>
  <c r="X12" i="11" a="1"/>
  <c r="X12" i="11" s="1"/>
  <c r="Z12" i="11" s="1"/>
  <c r="AA12" i="11" s="1"/>
  <c r="J12" i="11" a="1"/>
  <c r="J12" i="11" s="1"/>
  <c r="L12" i="11" s="1"/>
  <c r="M12" i="11" s="1"/>
  <c r="BU12" i="11" a="1"/>
  <c r="BU12" i="11" s="1"/>
  <c r="BW12" i="11" s="1"/>
  <c r="BX12" i="11" s="1"/>
  <c r="Q12" i="11" a="1"/>
  <c r="Q12" i="11" s="1"/>
  <c r="S12" i="11" s="1"/>
  <c r="T12" i="11" s="1"/>
  <c r="AE14" i="11" a="1"/>
  <c r="AE14" i="11" s="1"/>
  <c r="AG14" i="11" s="1"/>
  <c r="AL14" i="11" a="1"/>
  <c r="AL14" i="11" s="1"/>
  <c r="AN14" i="11" s="1"/>
  <c r="AS14" i="11" a="1"/>
  <c r="AS14" i="11" s="1"/>
  <c r="AU14" i="11" s="1"/>
  <c r="AZ14" i="11" a="1"/>
  <c r="AZ14" i="11" s="1"/>
  <c r="BB14" i="11" s="1"/>
  <c r="BN14" i="11" a="1"/>
  <c r="BN14" i="11" s="1"/>
  <c r="BP14" i="11" s="1"/>
  <c r="CB14" i="11" a="1"/>
  <c r="CB14" i="11" s="1"/>
  <c r="CD14" i="11" s="1"/>
  <c r="X14" i="11" a="1"/>
  <c r="X14" i="11" s="1"/>
  <c r="Z14" i="11" s="1"/>
  <c r="J14" i="11" a="1"/>
  <c r="J14" i="11" s="1"/>
  <c r="L14" i="11" s="1"/>
  <c r="BU14" i="11" a="1"/>
  <c r="BU14" i="11" s="1"/>
  <c r="BW14" i="11" s="1"/>
  <c r="Q14" i="11" a="1"/>
  <c r="Q14" i="11" s="1"/>
  <c r="S14" i="11" s="1"/>
  <c r="BG14" i="11" a="1"/>
  <c r="BG14" i="11" s="1"/>
  <c r="BI14" i="11" s="1"/>
  <c r="AE20" i="11" a="1"/>
  <c r="AE20" i="11" s="1"/>
  <c r="AG20" i="11" s="1"/>
  <c r="AL20" i="11" a="1"/>
  <c r="AL20" i="11" s="1"/>
  <c r="AN20" i="11" s="1"/>
  <c r="AS20" i="11" a="1"/>
  <c r="AS20" i="11" s="1"/>
  <c r="AU20" i="11" s="1"/>
  <c r="BN20" i="11" a="1"/>
  <c r="BN20" i="11" s="1"/>
  <c r="BP20" i="11" s="1"/>
  <c r="CB20" i="11" a="1"/>
  <c r="CB20" i="11" s="1"/>
  <c r="CD20" i="11" s="1"/>
  <c r="BU20" i="11" a="1"/>
  <c r="BU20" i="11" s="1"/>
  <c r="BW20" i="11" s="1"/>
  <c r="Q20" i="11" a="1"/>
  <c r="Q20" i="11" s="1"/>
  <c r="S20" i="11" s="1"/>
  <c r="X20" i="11" a="1"/>
  <c r="X20" i="11" s="1"/>
  <c r="Z20" i="11" s="1"/>
  <c r="BG20" i="11" a="1"/>
  <c r="BG20" i="11" s="1"/>
  <c r="BI20" i="11" s="1"/>
  <c r="J20" i="11" a="1"/>
  <c r="J20" i="11" s="1"/>
  <c r="L20" i="11" s="1"/>
  <c r="BA20" i="11"/>
  <c r="BB20" i="11" s="1"/>
  <c r="F6" i="7"/>
  <c r="C11" i="11" a="1"/>
  <c r="C11" i="11" s="1"/>
  <c r="E11" i="11" s="1"/>
  <c r="C18" i="11" a="1"/>
  <c r="C18" i="11" s="1"/>
  <c r="E18" i="11" s="1"/>
  <c r="C17" i="11" a="1"/>
  <c r="C17" i="11" s="1"/>
  <c r="E17" i="11" s="1"/>
  <c r="C14" i="11" a="1"/>
  <c r="C14" i="11" s="1"/>
  <c r="E14" i="11" s="1"/>
  <c r="C19" i="11" a="1"/>
  <c r="C19" i="11" s="1"/>
  <c r="E19" i="11" s="1"/>
  <c r="C12" i="11" a="1"/>
  <c r="C12" i="11" s="1"/>
  <c r="E12" i="11" s="1"/>
  <c r="F12" i="11" s="1"/>
  <c r="C20" i="11" a="1"/>
  <c r="C20" i="11" s="1"/>
  <c r="E20" i="11" s="1"/>
  <c r="AH44" i="11"/>
  <c r="AH43" i="11"/>
  <c r="AH45" i="11"/>
  <c r="AH46" i="11"/>
  <c r="AG43" i="11"/>
  <c r="R22" i="11"/>
  <c r="J19" i="7" s="1"/>
  <c r="K22" i="11"/>
  <c r="H19" i="7" s="1"/>
  <c r="AC68" i="7"/>
  <c r="AC43" i="7"/>
  <c r="W70" i="7"/>
  <c r="E95" i="7"/>
  <c r="Q70" i="7"/>
  <c r="Q95" i="7"/>
  <c r="E70" i="7"/>
  <c r="M45" i="7"/>
  <c r="AC50" i="11" s="1"/>
  <c r="Y45" i="7"/>
  <c r="BS50" i="11" s="1"/>
  <c r="I45" i="7"/>
  <c r="O50" i="11" s="1"/>
  <c r="Q45" i="7"/>
  <c r="AQ50" i="11" s="1"/>
  <c r="U45" i="7"/>
  <c r="BE50" i="11" s="1"/>
  <c r="AC6" i="7" l="1"/>
  <c r="AD6" i="7" s="1" a="1"/>
  <c r="AD6" i="7" s="1"/>
  <c r="E18" i="7"/>
  <c r="AC18" i="7" s="1"/>
  <c r="X19" i="7"/>
  <c r="BF50" i="11" a="1"/>
  <c r="BF50" i="11" s="1"/>
  <c r="BF51" i="11" a="1"/>
  <c r="BF51" i="11" s="1"/>
  <c r="BF52" i="11" a="1"/>
  <c r="BF52" i="11" s="1"/>
  <c r="AR50" i="11" a="1"/>
  <c r="AR50" i="11" s="1"/>
  <c r="AR51" i="11" a="1"/>
  <c r="AR51" i="11" s="1"/>
  <c r="AR52" i="11" a="1"/>
  <c r="AR52" i="11" s="1"/>
  <c r="T50" i="11"/>
  <c r="P50" i="11"/>
  <c r="P51" i="11"/>
  <c r="Q51" i="11" s="1" a="1"/>
  <c r="Q51" i="11" s="1"/>
  <c r="S51" i="11" s="1"/>
  <c r="R50" i="11"/>
  <c r="Q50" i="11" a="1"/>
  <c r="Q50" i="11" s="1"/>
  <c r="S50" i="11" s="1"/>
  <c r="BT50" i="11" a="1"/>
  <c r="BT50" i="11" s="1"/>
  <c r="BT51" i="11" a="1"/>
  <c r="BT51" i="11" s="1"/>
  <c r="BT52" i="11" a="1"/>
  <c r="BT52" i="11" s="1"/>
  <c r="AD50" i="11" a="1"/>
  <c r="AD50" i="11" s="1"/>
  <c r="AD51" i="11" a="1"/>
  <c r="AD51" i="11" s="1"/>
  <c r="AD52" i="11" a="1"/>
  <c r="AD52" i="11" s="1"/>
  <c r="AE15" i="11" a="1"/>
  <c r="AE15" i="11" s="1"/>
  <c r="AG15" i="11" s="1"/>
  <c r="AL15" i="11" a="1"/>
  <c r="AL15" i="11" s="1"/>
  <c r="AN15" i="11" s="1"/>
  <c r="AS15" i="11" a="1"/>
  <c r="AS15" i="11" s="1"/>
  <c r="AU15" i="11" s="1"/>
  <c r="BN15" i="11" a="1"/>
  <c r="BN15" i="11" s="1"/>
  <c r="BP15" i="11" s="1"/>
  <c r="CB15" i="11" a="1"/>
  <c r="CB15" i="11" s="1"/>
  <c r="CD15" i="11" s="1"/>
  <c r="X15" i="11" a="1"/>
  <c r="X15" i="11" s="1"/>
  <c r="Z15" i="11" s="1"/>
  <c r="J15" i="11" a="1"/>
  <c r="J15" i="11" s="1"/>
  <c r="L15" i="11" s="1"/>
  <c r="BU15" i="11" a="1"/>
  <c r="BU15" i="11" s="1"/>
  <c r="BW15" i="11" s="1"/>
  <c r="Q15" i="11" a="1"/>
  <c r="Q15" i="11" s="1"/>
  <c r="S15" i="11" s="1"/>
  <c r="BG15" i="11" a="1"/>
  <c r="BG15" i="11" s="1"/>
  <c r="BI15" i="11" s="1"/>
  <c r="BA15" i="11"/>
  <c r="C15" i="11" a="1"/>
  <c r="C15" i="11" s="1"/>
  <c r="E15" i="11" s="1"/>
  <c r="AE13" i="11" a="1"/>
  <c r="AE13" i="11" s="1"/>
  <c r="AG13" i="11" s="1"/>
  <c r="AH13" i="11" s="1"/>
  <c r="AH14" i="11" s="1"/>
  <c r="AL13" i="11" a="1"/>
  <c r="AL13" i="11" s="1"/>
  <c r="AN13" i="11" s="1"/>
  <c r="AO13" i="11" s="1"/>
  <c r="AO14" i="11" s="1"/>
  <c r="AS13" i="11" a="1"/>
  <c r="AS13" i="11" s="1"/>
  <c r="AU13" i="11" s="1"/>
  <c r="AV13" i="11" s="1"/>
  <c r="AV14" i="11" s="1"/>
  <c r="AZ13" i="11" a="1"/>
  <c r="AZ13" i="11" s="1"/>
  <c r="BB13" i="11" s="1"/>
  <c r="BC13" i="11" s="1"/>
  <c r="BC14" i="11" s="1"/>
  <c r="BN13" i="11" a="1"/>
  <c r="BN13" i="11" s="1"/>
  <c r="BP13" i="11" s="1"/>
  <c r="BQ13" i="11" s="1"/>
  <c r="BQ14" i="11" s="1"/>
  <c r="CB13" i="11" a="1"/>
  <c r="CB13" i="11" s="1"/>
  <c r="CD13" i="11" s="1"/>
  <c r="CE13" i="11" s="1"/>
  <c r="CE14" i="11" s="1"/>
  <c r="BG13" i="11" a="1"/>
  <c r="BG13" i="11" s="1"/>
  <c r="BI13" i="11" s="1"/>
  <c r="BJ13" i="11" s="1"/>
  <c r="BJ14" i="11" s="1"/>
  <c r="J13" i="11" a="1"/>
  <c r="J13" i="11" s="1"/>
  <c r="L13" i="11" s="1"/>
  <c r="M13" i="11" s="1"/>
  <c r="M14" i="11" s="1"/>
  <c r="BU13" i="11" a="1"/>
  <c r="BU13" i="11" s="1"/>
  <c r="BW13" i="11" s="1"/>
  <c r="BX13" i="11" s="1"/>
  <c r="BX14" i="11" s="1"/>
  <c r="Q13" i="11" a="1"/>
  <c r="Q13" i="11" s="1"/>
  <c r="S13" i="11" s="1"/>
  <c r="T13" i="11" s="1"/>
  <c r="T14" i="11" s="1"/>
  <c r="X13" i="11" a="1"/>
  <c r="X13" i="11" s="1"/>
  <c r="Z13" i="11" s="1"/>
  <c r="AA13" i="11" s="1"/>
  <c r="AA14" i="11" s="1"/>
  <c r="C13" i="11" a="1"/>
  <c r="C13" i="11" s="1"/>
  <c r="E13" i="11" s="1"/>
  <c r="F13" i="11" s="1"/>
  <c r="F14" i="11" s="1"/>
  <c r="X16" i="11" a="1"/>
  <c r="X16" i="11" s="1"/>
  <c r="Z16" i="11" s="1"/>
  <c r="AE16" i="11" a="1"/>
  <c r="AE16" i="11" s="1"/>
  <c r="AG16" i="11" s="1"/>
  <c r="AL16" i="11" a="1"/>
  <c r="AL16" i="11" s="1"/>
  <c r="AN16" i="11" s="1"/>
  <c r="AS16" i="11" a="1"/>
  <c r="AS16" i="11" s="1"/>
  <c r="AU16" i="11" s="1"/>
  <c r="BN16" i="11" a="1"/>
  <c r="BN16" i="11" s="1"/>
  <c r="BP16" i="11" s="1"/>
  <c r="CB16" i="11" a="1"/>
  <c r="CB16" i="11" s="1"/>
  <c r="CD16" i="11" s="1"/>
  <c r="J16" i="11" a="1"/>
  <c r="J16" i="11" s="1"/>
  <c r="L16" i="11" s="1"/>
  <c r="BU16" i="11" a="1"/>
  <c r="BU16" i="11" s="1"/>
  <c r="BW16" i="11" s="1"/>
  <c r="Q16" i="11" a="1"/>
  <c r="Q16" i="11" s="1"/>
  <c r="S16" i="11" s="1"/>
  <c r="BG16" i="11" a="1"/>
  <c r="BG16" i="11" s="1"/>
  <c r="BI16" i="11" s="1"/>
  <c r="BA16" i="11"/>
  <c r="BB16" i="11" s="1"/>
  <c r="C16" i="11" a="1"/>
  <c r="C16" i="11" s="1"/>
  <c r="E16" i="11" s="1"/>
  <c r="AE21" i="11" a="1"/>
  <c r="AE21" i="11" s="1"/>
  <c r="AG21" i="11" s="1"/>
  <c r="AL21" i="11" a="1"/>
  <c r="AL21" i="11" s="1"/>
  <c r="AN21" i="11" s="1"/>
  <c r="AS21" i="11" a="1"/>
  <c r="AS21" i="11" s="1"/>
  <c r="AU21" i="11" s="1"/>
  <c r="BN21" i="11" a="1"/>
  <c r="BN21" i="11" s="1"/>
  <c r="BP21" i="11" s="1"/>
  <c r="CB21" i="11" a="1"/>
  <c r="CB21" i="11" s="1"/>
  <c r="CD21" i="11" s="1"/>
  <c r="J21" i="11" a="1"/>
  <c r="J21" i="11" s="1"/>
  <c r="L21" i="11" s="1"/>
  <c r="BU21" i="11" a="1"/>
  <c r="BU21" i="11" s="1"/>
  <c r="BW21" i="11" s="1"/>
  <c r="Q21" i="11" a="1"/>
  <c r="Q21" i="11" s="1"/>
  <c r="S21" i="11" s="1"/>
  <c r="X21" i="11" a="1"/>
  <c r="X21" i="11" s="1"/>
  <c r="Z21" i="11" s="1"/>
  <c r="BG21" i="11" a="1"/>
  <c r="BG21" i="11" s="1"/>
  <c r="BI21" i="11" s="1"/>
  <c r="BA21" i="11"/>
  <c r="BB21" i="11" s="1"/>
  <c r="C21" i="11" a="1"/>
  <c r="C21" i="11" s="1"/>
  <c r="E21" i="11" s="1"/>
  <c r="BG22" i="11" a="1"/>
  <c r="BG22" i="11" s="1"/>
  <c r="BI22" i="11" s="1"/>
  <c r="Q22" i="11" a="1"/>
  <c r="Q22" i="11" s="1"/>
  <c r="S22" i="11" s="1"/>
  <c r="AE22" i="11" a="1"/>
  <c r="AE22" i="11" s="1"/>
  <c r="AG22" i="11" s="1"/>
  <c r="AL22" i="11" a="1"/>
  <c r="AL22" i="11" s="1"/>
  <c r="AN22" i="11" s="1"/>
  <c r="AS22" i="11" a="1"/>
  <c r="AS22" i="11" s="1"/>
  <c r="AU22" i="11" s="1"/>
  <c r="BN22" i="11" a="1"/>
  <c r="BN22" i="11" s="1"/>
  <c r="BP22" i="11" s="1"/>
  <c r="CB22" i="11" a="1"/>
  <c r="CB22" i="11" s="1"/>
  <c r="CD22" i="11" s="1"/>
  <c r="X22" i="11" a="1"/>
  <c r="X22" i="11" s="1"/>
  <c r="Z22" i="11" s="1"/>
  <c r="J22" i="11" a="1"/>
  <c r="J22" i="11" s="1"/>
  <c r="L22" i="11" s="1"/>
  <c r="BU22" i="11" a="1"/>
  <c r="BU22" i="11" s="1"/>
  <c r="BW22" i="11" s="1"/>
  <c r="BA22" i="11"/>
  <c r="BB22" i="11" s="1"/>
  <c r="C22" i="11" a="1"/>
  <c r="C22" i="11" s="1"/>
  <c r="AE17" i="11" a="1"/>
  <c r="AE17" i="11" s="1"/>
  <c r="AG17" i="11" s="1"/>
  <c r="AL17" i="11" a="1"/>
  <c r="AL17" i="11" s="1"/>
  <c r="AN17" i="11" s="1"/>
  <c r="AS17" i="11" a="1"/>
  <c r="AS17" i="11" s="1"/>
  <c r="AU17" i="11" s="1"/>
  <c r="BN17" i="11" a="1"/>
  <c r="BN17" i="11" s="1"/>
  <c r="BP17" i="11" s="1"/>
  <c r="CB17" i="11" a="1"/>
  <c r="CB17" i="11" s="1"/>
  <c r="CD17" i="11" s="1"/>
  <c r="BU17" i="11" a="1"/>
  <c r="BU17" i="11" s="1"/>
  <c r="BW17" i="11" s="1"/>
  <c r="X17" i="11" a="1"/>
  <c r="X17" i="11" s="1"/>
  <c r="Z17" i="11" s="1"/>
  <c r="J17" i="11" a="1"/>
  <c r="J17" i="11" s="1"/>
  <c r="L17" i="11" s="1"/>
  <c r="Q17" i="11" a="1"/>
  <c r="Q17" i="11" s="1"/>
  <c r="S17" i="11" s="1"/>
  <c r="BG17" i="11" a="1"/>
  <c r="BG17" i="11" s="1"/>
  <c r="BI17" i="11" s="1"/>
  <c r="BA17" i="11"/>
  <c r="BB17" i="11" s="1"/>
  <c r="AZ11" i="11" a="1"/>
  <c r="AZ11" i="11" s="1"/>
  <c r="BN11" i="11" a="1"/>
  <c r="BN11" i="11" s="1"/>
  <c r="BU11" i="11" a="1"/>
  <c r="BU11" i="11" s="1"/>
  <c r="BG11" i="11" a="1"/>
  <c r="BG11" i="11" s="1"/>
  <c r="AE11" i="11" a="1"/>
  <c r="AE11" i="11" s="1"/>
  <c r="AL11" i="11" a="1"/>
  <c r="AL11" i="11" s="1"/>
  <c r="AS11" i="11" a="1"/>
  <c r="AS11" i="11" s="1"/>
  <c r="CB11" i="11" a="1"/>
  <c r="CB11" i="11" s="1"/>
  <c r="Q11" i="11" a="1"/>
  <c r="Q11" i="11" s="1"/>
  <c r="J11" i="11" a="1"/>
  <c r="J11" i="11" s="1"/>
  <c r="X11" i="11" a="1"/>
  <c r="X11" i="11" s="1"/>
  <c r="X49" i="11" a="1"/>
  <c r="X49" i="11" s="1"/>
  <c r="Z49" i="11" s="1"/>
  <c r="Z48" i="11"/>
  <c r="S48" i="11"/>
  <c r="L48" i="11"/>
  <c r="AG48" i="11"/>
  <c r="AN48" i="11"/>
  <c r="AU48" i="11"/>
  <c r="BI48" i="11"/>
  <c r="BP48" i="11"/>
  <c r="BW48" i="11"/>
  <c r="F48" i="11"/>
  <c r="B48" i="11"/>
  <c r="B49" i="11"/>
  <c r="D48" i="11"/>
  <c r="D22" i="11"/>
  <c r="F19" i="7" s="1"/>
  <c r="BQ48" i="11"/>
  <c r="BQ47" i="11"/>
  <c r="BQ49" i="11"/>
  <c r="BQ42" i="11"/>
  <c r="BQ43" i="11"/>
  <c r="BQ44" i="11"/>
  <c r="BQ45" i="11"/>
  <c r="BQ46" i="11"/>
  <c r="BC42" i="11"/>
  <c r="BC43" i="11" s="1"/>
  <c r="BC44" i="11" s="1"/>
  <c r="BC45" i="11" s="1"/>
  <c r="AO45" i="11"/>
  <c r="AO42" i="11"/>
  <c r="AO44" i="11"/>
  <c r="AO48" i="11"/>
  <c r="AO49" i="11"/>
  <c r="AO46" i="11"/>
  <c r="AO47" i="11"/>
  <c r="AO43" i="11"/>
  <c r="BX46" i="11"/>
  <c r="BX42" i="11"/>
  <c r="BX43" i="11"/>
  <c r="BX44" i="11"/>
  <c r="BX45" i="11"/>
  <c r="BX49" i="11"/>
  <c r="BX47" i="11"/>
  <c r="BX48" i="11"/>
  <c r="BJ45" i="11"/>
  <c r="BJ48" i="11"/>
  <c r="BJ47" i="11"/>
  <c r="BJ46" i="11"/>
  <c r="BJ42" i="11"/>
  <c r="BJ43" i="11"/>
  <c r="BJ49" i="11"/>
  <c r="BJ44" i="11"/>
  <c r="CE48" i="11"/>
  <c r="CE46" i="11"/>
  <c r="CE45" i="11"/>
  <c r="CE44" i="11"/>
  <c r="CE47" i="11"/>
  <c r="CE43" i="11"/>
  <c r="CE42" i="11"/>
  <c r="CE49" i="11"/>
  <c r="AV48" i="11"/>
  <c r="AV49" i="11"/>
  <c r="AV42" i="11"/>
  <c r="AV43" i="11"/>
  <c r="AV47" i="11"/>
  <c r="AV44" i="11"/>
  <c r="AV46" i="11"/>
  <c r="AV45" i="11"/>
  <c r="AC70" i="7"/>
  <c r="E45" i="7"/>
  <c r="BC46" i="11" l="1"/>
  <c r="F15" i="11"/>
  <c r="F16" i="11" s="1"/>
  <c r="F17" i="11" s="1"/>
  <c r="F18" i="11" s="1"/>
  <c r="F19" i="11" s="1"/>
  <c r="F20" i="11" s="1"/>
  <c r="F21" i="11" s="1"/>
  <c r="BQ15" i="11"/>
  <c r="BQ16" i="11" s="1"/>
  <c r="BQ17" i="11" s="1"/>
  <c r="BQ18" i="11" s="1"/>
  <c r="BQ19" i="11" s="1"/>
  <c r="BQ20" i="11" s="1"/>
  <c r="BQ21" i="11" s="1"/>
  <c r="BQ22" i="11" s="1"/>
  <c r="W20" i="7" s="1"/>
  <c r="BB15" i="11"/>
  <c r="BC15" i="11" s="1"/>
  <c r="BC16" i="11" s="1"/>
  <c r="BC17" i="11" s="1"/>
  <c r="BC18" i="11" s="1"/>
  <c r="BC19" i="11" s="1"/>
  <c r="BC20" i="11" s="1"/>
  <c r="BC21" i="11" s="1"/>
  <c r="BC22" i="11" s="1"/>
  <c r="S20" i="7" s="1"/>
  <c r="E19" i="7"/>
  <c r="AV15" i="11"/>
  <c r="AV16" i="11" s="1"/>
  <c r="AV17" i="11" s="1"/>
  <c r="AV18" i="11" s="1"/>
  <c r="AV19" i="11" s="1"/>
  <c r="AV20" i="11" s="1"/>
  <c r="AV21" i="11" s="1"/>
  <c r="AV22" i="11" s="1"/>
  <c r="Q20" i="7" s="1"/>
  <c r="BC47" i="11"/>
  <c r="BC48" i="11"/>
  <c r="T15" i="11"/>
  <c r="T16" i="11" s="1"/>
  <c r="T17" i="11" s="1"/>
  <c r="T18" i="11" s="1"/>
  <c r="T19" i="11" s="1"/>
  <c r="T20" i="11" s="1"/>
  <c r="T21" i="11" s="1"/>
  <c r="T22" i="11" s="1"/>
  <c r="I20" i="7" s="1"/>
  <c r="CE15" i="11"/>
  <c r="CE16" i="11" s="1"/>
  <c r="CE17" i="11" s="1"/>
  <c r="CE18" i="11" s="1"/>
  <c r="CE19" i="11" s="1"/>
  <c r="CE20" i="11" s="1"/>
  <c r="CE21" i="11" s="1"/>
  <c r="CE22" i="11" s="1"/>
  <c r="AA20" i="7" s="1"/>
  <c r="AO15" i="11"/>
  <c r="AO16" i="11" s="1"/>
  <c r="AO17" i="11" s="1"/>
  <c r="AO18" i="11" s="1"/>
  <c r="AO19" i="11" s="1"/>
  <c r="AO20" i="11" s="1"/>
  <c r="AO21" i="11" s="1"/>
  <c r="AO22" i="11" s="1"/>
  <c r="O20" i="7" s="1"/>
  <c r="AH15" i="11"/>
  <c r="AH16" i="11" s="1"/>
  <c r="AH17" i="11" s="1"/>
  <c r="AH18" i="11" s="1"/>
  <c r="AH19" i="11" s="1"/>
  <c r="AH20" i="11" s="1"/>
  <c r="AH21" i="11" s="1"/>
  <c r="AH22" i="11" s="1"/>
  <c r="M20" i="7" s="1"/>
  <c r="AA15" i="11"/>
  <c r="AA16" i="11" s="1"/>
  <c r="AA17" i="11" s="1"/>
  <c r="AA18" i="11" s="1"/>
  <c r="AA19" i="11" s="1"/>
  <c r="AA20" i="11" s="1"/>
  <c r="AA21" i="11" s="1"/>
  <c r="AA22" i="11" s="1"/>
  <c r="K20" i="7" s="1"/>
  <c r="L11" i="11"/>
  <c r="G19" i="7"/>
  <c r="BP11" i="11"/>
  <c r="W19" i="7"/>
  <c r="BX15" i="11"/>
  <c r="BX16" i="11" s="1"/>
  <c r="BX17" i="11" s="1"/>
  <c r="BX18" i="11" s="1"/>
  <c r="BX19" i="11" s="1"/>
  <c r="BX20" i="11" s="1"/>
  <c r="BX21" i="11" s="1"/>
  <c r="BX22" i="11" s="1"/>
  <c r="Y20" i="7" s="1"/>
  <c r="S11" i="11"/>
  <c r="I19" i="7"/>
  <c r="BB11" i="11"/>
  <c r="S19" i="7"/>
  <c r="Z11" i="11"/>
  <c r="K19" i="7"/>
  <c r="M15" i="11"/>
  <c r="M16" i="11" s="1"/>
  <c r="M17" i="11" s="1"/>
  <c r="M18" i="11" s="1"/>
  <c r="M19" i="11" s="1"/>
  <c r="M20" i="11" s="1"/>
  <c r="M21" i="11" s="1"/>
  <c r="M22" i="11" s="1"/>
  <c r="G20" i="7" s="1"/>
  <c r="CD11" i="11"/>
  <c r="AA19" i="7"/>
  <c r="AU11" i="11"/>
  <c r="Q19" i="7"/>
  <c r="AN11" i="11"/>
  <c r="O19" i="7"/>
  <c r="BJ15" i="11"/>
  <c r="BJ16" i="11" s="1"/>
  <c r="BJ17" i="11" s="1"/>
  <c r="BJ18" i="11" s="1"/>
  <c r="BJ19" i="11" s="1"/>
  <c r="BJ20" i="11" s="1"/>
  <c r="BJ21" i="11" s="1"/>
  <c r="BJ22" i="11" s="1"/>
  <c r="U20" i="7" s="1"/>
  <c r="AG11" i="11"/>
  <c r="M19" i="7"/>
  <c r="BW11" i="11"/>
  <c r="Y19" i="7"/>
  <c r="BC49" i="11"/>
  <c r="E22" i="11"/>
  <c r="BI11" i="11"/>
  <c r="U19" i="7"/>
  <c r="T19" i="7"/>
  <c r="AC45" i="7"/>
  <c r="AB50" i="11"/>
  <c r="U50" i="11"/>
  <c r="N50" i="11"/>
  <c r="G50" i="11"/>
  <c r="A50" i="11"/>
  <c r="CF50" i="11"/>
  <c r="CB50" i="11"/>
  <c r="BY50" i="11"/>
  <c r="BU50" i="11"/>
  <c r="BR50" i="11"/>
  <c r="BN50" i="11"/>
  <c r="BK50" i="11"/>
  <c r="BG50" i="11"/>
  <c r="BD50" i="11"/>
  <c r="AZ50" i="11"/>
  <c r="AW50" i="11"/>
  <c r="AS50" i="11"/>
  <c r="AP50" i="11"/>
  <c r="AL50" i="11"/>
  <c r="AI50" i="11"/>
  <c r="AE50" i="11"/>
  <c r="AM50" i="11"/>
  <c r="BA50" i="11"/>
  <c r="BO50" i="11"/>
  <c r="CC50" i="11"/>
  <c r="BH50" i="11"/>
  <c r="AT50" i="11"/>
  <c r="BV50" i="11"/>
  <c r="AF50" i="11"/>
  <c r="C49" i="11" a="1"/>
  <c r="C49" i="11" s="1"/>
  <c r="E49" i="11"/>
  <c r="C48" i="11" a="1"/>
  <c r="C48" i="11" s="1"/>
  <c r="E48" i="11"/>
  <c r="O20" i="10"/>
  <c r="K21" i="10"/>
  <c r="M21" i="10"/>
  <c r="I21" i="10"/>
  <c r="O21" i="10"/>
  <c r="O22" i="10" s="1"/>
  <c r="AA21" i="10"/>
  <c r="Y21" i="10"/>
  <c r="W21" i="10"/>
  <c r="U21" i="10"/>
  <c r="S21" i="10"/>
  <c r="Q21" i="10"/>
  <c r="G21" i="10"/>
  <c r="E21" i="10"/>
  <c r="M20" i="10"/>
  <c r="D21" i="10" s="1"/>
  <c r="U20" i="10"/>
  <c r="AA20" i="10"/>
  <c r="AA22" i="10"/>
  <c r="Y20" i="10"/>
  <c r="W20" i="10"/>
  <c r="S20" i="10"/>
  <c r="S22" i="10" s="1"/>
  <c r="Q20" i="10"/>
  <c r="K20" i="10"/>
  <c r="I20" i="10"/>
  <c r="G20" i="10"/>
  <c r="G22" i="10" s="1"/>
  <c r="E20" i="10"/>
  <c r="D19" i="8"/>
  <c r="F19" i="8"/>
  <c r="H19" i="8"/>
  <c r="J19" i="8"/>
  <c r="L19" i="8"/>
  <c r="L21" i="8" s="1"/>
  <c r="N19" i="8"/>
  <c r="P19" i="8"/>
  <c r="R19" i="8"/>
  <c r="R21" i="8" s="1"/>
  <c r="T19" i="8"/>
  <c r="V19" i="8"/>
  <c r="X19" i="8"/>
  <c r="Z19" i="8"/>
  <c r="D20" i="8"/>
  <c r="D21" i="8" s="1"/>
  <c r="F20" i="8"/>
  <c r="F21" i="8" s="1"/>
  <c r="H20" i="8"/>
  <c r="H21" i="8" s="1"/>
  <c r="J20" i="8"/>
  <c r="L20" i="8"/>
  <c r="N20" i="8"/>
  <c r="P20" i="8"/>
  <c r="R20" i="8"/>
  <c r="T20" i="8"/>
  <c r="T21" i="8" s="1"/>
  <c r="V20" i="8"/>
  <c r="V21" i="8" s="1"/>
  <c r="X20" i="8"/>
  <c r="X21" i="8" s="1"/>
  <c r="Z20" i="8"/>
  <c r="F22" i="11" l="1"/>
  <c r="E20" i="7" s="1"/>
  <c r="AC20" i="7" s="1"/>
  <c r="AC19" i="7"/>
  <c r="AH50" i="11"/>
  <c r="AH51" i="11"/>
  <c r="AH52" i="11"/>
  <c r="BX50" i="11"/>
  <c r="BX51" i="11"/>
  <c r="BX52" i="11"/>
  <c r="AV52" i="11"/>
  <c r="AV50" i="11"/>
  <c r="AV51" i="11"/>
  <c r="BJ50" i="11"/>
  <c r="BJ52" i="11"/>
  <c r="BJ51" i="11"/>
  <c r="CE51" i="11"/>
  <c r="CE50" i="11"/>
  <c r="CE52" i="11"/>
  <c r="BQ50" i="11"/>
  <c r="BQ52" i="11"/>
  <c r="BQ51" i="11"/>
  <c r="BC51" i="11"/>
  <c r="BC50" i="11"/>
  <c r="BC52" i="11"/>
  <c r="AO50" i="11"/>
  <c r="AO52" i="11"/>
  <c r="AO51" i="11"/>
  <c r="AG50" i="11"/>
  <c r="AN50" i="11"/>
  <c r="AU50" i="11"/>
  <c r="BB50" i="11"/>
  <c r="BI50" i="11"/>
  <c r="BP50" i="11"/>
  <c r="BW50" i="11"/>
  <c r="CD50" i="11"/>
  <c r="F50" i="11"/>
  <c r="B50" i="11"/>
  <c r="C50" i="11" s="1" a="1"/>
  <c r="C50" i="11" s="1"/>
  <c r="B51" i="11"/>
  <c r="C51" i="11" s="1" a="1"/>
  <c r="C51" i="11" s="1"/>
  <c r="E51" i="11" s="1"/>
  <c r="D50" i="11"/>
  <c r="E50" i="11" s="1"/>
  <c r="Y22" i="10"/>
  <c r="W22" i="10"/>
  <c r="U22" i="10"/>
  <c r="M22" i="10"/>
  <c r="E22" i="10"/>
  <c r="I22" i="10"/>
  <c r="K22" i="10"/>
  <c r="Q22" i="10"/>
  <c r="L23" i="8"/>
  <c r="C20" i="8"/>
  <c r="Z21" i="8"/>
  <c r="X23" i="8" s="1"/>
  <c r="J21" i="8"/>
  <c r="H23" i="8" s="1"/>
  <c r="T23" i="8"/>
  <c r="P21" i="8"/>
  <c r="N21" i="8"/>
  <c r="D23" i="8"/>
  <c r="C22" i="8"/>
  <c r="P23" i="8"/>
  <c r="D23" i="10" l="1"/>
  <c r="C24"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<sst xmlns="http://schemas.openxmlformats.org/spreadsheetml/2006/main" count="954" uniqueCount="230">
  <si>
    <t>Step 1 :</t>
  </si>
  <si>
    <t>Step 2 :</t>
  </si>
  <si>
    <t>Step 5 :</t>
  </si>
  <si>
    <t>Room Y MMR: XXXXX - Tier Z
1. Legend (12500 MMR)
2. Grandmaster (11000 MMR)
3. Master (9500 MMR)
4. Diamond (8000 MMR)
5. Platinium (6500 MMR)
6. Gold (5000 MMR)
7. Silver (3500 MMR)
8. Bronze (2000 MMR)
9. Iron (0 MMR)
10. Opal (Exemple 1 MMR)
11. Quartz (Exemple 2 MMR)
12. Mercury (Exemple 3 MMR)</t>
  </si>
  <si>
    <t>Exemple :</t>
  </si>
  <si>
    <t>Step 3 :</t>
  </si>
  <si>
    <t>Or :</t>
  </si>
  <si>
    <t>Go to 12p sheet and fill datascores</t>
  </si>
  <si>
    <t>Step 4 :</t>
  </si>
  <si>
    <t>Room Y MMR: XXXXX - Tier Z
1. Legend, GrandMaster (11750 MMR)
2. Master, Diamond (8750 MMR)
3. Platinium, Gold (5750 MMR)
4. Silver, Bronze (2750 MMR)
5. Iron, Opal (Exemple 1 MMR)
6. Quartz, Mercury (Exemple 2 MMR)</t>
  </si>
  <si>
    <t>Step 6 :</t>
  </si>
  <si>
    <t>And back at the Step 1 to do a new export.</t>
  </si>
  <si>
    <t>FFA</t>
  </si>
  <si>
    <t>Circuits</t>
  </si>
  <si>
    <t>Totodile</t>
  </si>
  <si>
    <t>Valdain</t>
  </si>
  <si>
    <t>BMPB</t>
  </si>
  <si>
    <t>Andnew</t>
  </si>
  <si>
    <t>Dyev</t>
  </si>
  <si>
    <t>Stevelot</t>
  </si>
  <si>
    <t>Niboshi</t>
  </si>
  <si>
    <t>RhysWC</t>
  </si>
  <si>
    <t>s.Delmare</t>
  </si>
  <si>
    <t>Sachmi</t>
  </si>
  <si>
    <t>07 Nick</t>
  </si>
  <si>
    <t>DJ Bambam</t>
  </si>
  <si>
    <t>Pline</t>
  </si>
  <si>
    <t>Ptruefalse</t>
  </si>
  <si>
    <t>Bowser's Castle - BC</t>
  </si>
  <si>
    <t>DC</t>
  </si>
  <si>
    <t>Gross Points without DC</t>
  </si>
  <si>
    <t>Bonus Points</t>
  </si>
  <si>
    <t xml:space="preserve"> DC Points</t>
  </si>
  <si>
    <t>Total Points</t>
  </si>
  <si>
    <t>Vigile</t>
  </si>
  <si>
    <t>2v2</t>
  </si>
  <si>
    <t>Info DC</t>
  </si>
  <si>
    <t>Team Points</t>
  </si>
  <si>
    <t>3v3</t>
  </si>
  <si>
    <t>6v6</t>
  </si>
  <si>
    <t>Légende</t>
  </si>
  <si>
    <t>12p</t>
  </si>
  <si>
    <t>9p or less</t>
  </si>
  <si>
    <t>Map's name ENG</t>
  </si>
  <si>
    <t>Code</t>
  </si>
  <si>
    <t>FR</t>
  </si>
  <si>
    <t>Nom</t>
  </si>
  <si>
    <t>Couleur</t>
  </si>
  <si>
    <t>Position</t>
  </si>
  <si>
    <t>ScoreGame</t>
  </si>
  <si>
    <t>Bonus</t>
  </si>
  <si>
    <t>Points cumulés</t>
  </si>
  <si>
    <t>PCumul</t>
  </si>
  <si>
    <t>1rst</t>
  </si>
  <si>
    <t>X</t>
  </si>
  <si>
    <t>Points de différence</t>
  </si>
  <si>
    <t>PDiff</t>
  </si>
  <si>
    <t>2nd</t>
  </si>
  <si>
    <r>
      <t>Mushroom Cup</t>
    </r>
    <r>
      <rPr>
        <sz val="12"/>
        <color rgb="FF333D42"/>
        <rFont val="Aptos Narrow"/>
        <family val="2"/>
        <scheme val="minor"/>
      </rPr>
      <t> :</t>
    </r>
  </si>
  <si>
    <t>Mario Bros. Circuit - MBC</t>
  </si>
  <si>
    <t>MBC</t>
  </si>
  <si>
    <t>Circuit Mario Bros</t>
  </si>
  <si>
    <t>Places obtenues</t>
  </si>
  <si>
    <t>Pgot</t>
  </si>
  <si>
    <t>3rd</t>
  </si>
  <si>
    <t>Crown City - CC</t>
  </si>
  <si>
    <t>CC</t>
  </si>
  <si>
    <t>Trophéopolis</t>
  </si>
  <si>
    <t>Points Bonus sans être DC</t>
  </si>
  <si>
    <t>PwtDC</t>
  </si>
  <si>
    <t>4th</t>
  </si>
  <si>
    <t>Whistlestop Summit - WS</t>
  </si>
  <si>
    <t>WS</t>
  </si>
  <si>
    <t>Mont Tchou Tchou</t>
  </si>
  <si>
    <t>Points DC</t>
  </si>
  <si>
    <t>PDC</t>
  </si>
  <si>
    <t>5th</t>
  </si>
  <si>
    <t>DK Spaceport - DKS</t>
  </si>
  <si>
    <t>DKS</t>
  </si>
  <si>
    <t>Spatioport DK</t>
  </si>
  <si>
    <t>6th</t>
  </si>
  <si>
    <r>
      <t>Flower Cup</t>
    </r>
    <r>
      <rPr>
        <sz val="12"/>
        <color rgb="FF333D42"/>
        <rFont val="Aptos Narrow"/>
        <family val="2"/>
        <scheme val="minor"/>
      </rPr>
      <t> :</t>
    </r>
  </si>
  <si>
    <t>(DS) Desert Hills - rDH</t>
  </si>
  <si>
    <t>rDH</t>
  </si>
  <si>
    <t>Désert du Soleil</t>
  </si>
  <si>
    <t>7th</t>
  </si>
  <si>
    <t>(3DS) Shy Guy Bazaar - rSGB</t>
  </si>
  <si>
    <t>rSGB</t>
  </si>
  <si>
    <t>Souk Maskass</t>
  </si>
  <si>
    <t>8th</t>
  </si>
  <si>
    <t>(N64) Wario Stadium - rWS</t>
  </si>
  <si>
    <t>rWS</t>
  </si>
  <si>
    <t>Stade Wario</t>
  </si>
  <si>
    <t>9th</t>
  </si>
  <si>
    <t>(DS) Airship Fortress - rAF</t>
  </si>
  <si>
    <t>rAF</t>
  </si>
  <si>
    <t>Bateau Volant</t>
  </si>
  <si>
    <t>10th</t>
  </si>
  <si>
    <r>
      <t>Star Cup</t>
    </r>
    <r>
      <rPr>
        <sz val="12"/>
        <color rgb="FF333D42"/>
        <rFont val="Aptos Narrow"/>
        <family val="2"/>
        <scheme val="minor"/>
      </rPr>
      <t> :</t>
    </r>
  </si>
  <si>
    <t>(DS) DK Pass - rDKP</t>
  </si>
  <si>
    <t>rDKP</t>
  </si>
  <si>
    <t>Alpes DK</t>
  </si>
  <si>
    <t>11th</t>
  </si>
  <si>
    <t>Starview Peak - SP</t>
  </si>
  <si>
    <t>SP</t>
  </si>
  <si>
    <t>Pic de l'observatoire</t>
  </si>
  <si>
    <t>12th</t>
  </si>
  <si>
    <t>(Tour) Sky-High Sundae - rSHS</t>
  </si>
  <si>
    <t>rSHS</t>
  </si>
  <si>
    <t>Cité Sorbet</t>
  </si>
  <si>
    <t>(3DS) Wario Shipyard - rWSh</t>
  </si>
  <si>
    <t>rWSh</t>
  </si>
  <si>
    <t>Galion de Wario</t>
  </si>
  <si>
    <r>
      <t>Shell Cup</t>
    </r>
    <r>
      <rPr>
        <sz val="12"/>
        <color rgb="FF333D42"/>
        <rFont val="Aptos Narrow"/>
        <family val="2"/>
        <scheme val="minor"/>
      </rPr>
      <t> :</t>
    </r>
  </si>
  <si>
    <t>(SNES) Koopa Troopa Beach - rKTB</t>
  </si>
  <si>
    <t>rKTB</t>
  </si>
  <si>
    <t>Plage Koopa</t>
  </si>
  <si>
    <t>Faraway Oasis - FO</t>
  </si>
  <si>
    <t>FO</t>
  </si>
  <si>
    <t>Savane Sauvage</t>
  </si>
  <si>
    <t>Peach Stadium - PS</t>
  </si>
  <si>
    <t>PS</t>
  </si>
  <si>
    <t>Stade Peach</t>
  </si>
  <si>
    <t>11p</t>
  </si>
  <si>
    <t>10p</t>
  </si>
  <si>
    <r>
      <t>Banana Cup</t>
    </r>
    <r>
      <rPr>
        <sz val="12"/>
        <color rgb="FF333D42"/>
        <rFont val="Aptos Narrow"/>
        <family val="2"/>
        <scheme val="minor"/>
      </rPr>
      <t> :</t>
    </r>
  </si>
  <si>
    <t>(GCN) Peach Beach - rPB</t>
  </si>
  <si>
    <t>rPB</t>
  </si>
  <si>
    <t>Plage Peach</t>
  </si>
  <si>
    <t>Salty Salty Speedway - SSS</t>
  </si>
  <si>
    <t>SSS</t>
  </si>
  <si>
    <t>Cité Fleur-de-sel</t>
  </si>
  <si>
    <t>(GCN) Dino Dino Jungle - rDDJ</t>
  </si>
  <si>
    <t>rDDJ</t>
  </si>
  <si>
    <t>Jungle Dino Dino</t>
  </si>
  <si>
    <t>Great ? Block Ruins - GBR</t>
  </si>
  <si>
    <t>GBR</t>
  </si>
  <si>
    <t>Bloc ? Ruine Antique</t>
  </si>
  <si>
    <r>
      <t>Leaf Cup</t>
    </r>
    <r>
      <rPr>
        <sz val="12"/>
        <color rgb="FF333D42"/>
        <rFont val="Aptos Narrow"/>
        <family val="2"/>
        <scheme val="minor"/>
      </rPr>
      <t> :</t>
    </r>
  </si>
  <si>
    <t>Cheep Cheep Falls - CCF</t>
  </si>
  <si>
    <t>CCF</t>
  </si>
  <si>
    <t>Chutes Cheep Cheep</t>
  </si>
  <si>
    <t>Dandelion Depths - DD</t>
  </si>
  <si>
    <t>DD</t>
  </si>
  <si>
    <t>Gouffre Pissenlit</t>
  </si>
  <si>
    <t>Boo Cinema - BCi</t>
  </si>
  <si>
    <t>BCi</t>
  </si>
  <si>
    <t>Cinéma Boo</t>
  </si>
  <si>
    <t>Dry Bones Burnout DBB</t>
  </si>
  <si>
    <t>DBB</t>
  </si>
  <si>
    <t xml:space="preserve">Fournaise Osseuse </t>
  </si>
  <si>
    <r>
      <t>Lightning Cup</t>
    </r>
    <r>
      <rPr>
        <sz val="12"/>
        <color rgb="FF333D42"/>
        <rFont val="Aptos Narrow"/>
        <family val="2"/>
        <scheme val="minor"/>
      </rPr>
      <t> :</t>
    </r>
  </si>
  <si>
    <t>(Wii) Moo Moo Meadows - rMMM</t>
  </si>
  <si>
    <t>rMMM</t>
  </si>
  <si>
    <t>Prairie Meuh Meuh</t>
  </si>
  <si>
    <t>(N64) Choco Mountain - rCM</t>
  </si>
  <si>
    <t>rCM</t>
  </si>
  <si>
    <t>Montage Choco</t>
  </si>
  <si>
    <t>(Wii) Toad's Factory - rTF</t>
  </si>
  <si>
    <t>rTF</t>
  </si>
  <si>
    <t>Usine Toad</t>
  </si>
  <si>
    <t>BC</t>
  </si>
  <si>
    <t>Château de Bowser</t>
  </si>
  <si>
    <r>
      <t>Special Cup</t>
    </r>
    <r>
      <rPr>
        <sz val="12"/>
        <color rgb="FF333D42"/>
        <rFont val="Aptos Narrow"/>
        <family val="2"/>
        <scheme val="minor"/>
      </rPr>
      <t> :</t>
    </r>
  </si>
  <si>
    <t>Acorn Heights - AH</t>
  </si>
  <si>
    <t>AH</t>
  </si>
  <si>
    <t>Chemin du Chêne</t>
  </si>
  <si>
    <t>Mario Circuit - rMC</t>
  </si>
  <si>
    <t>rMC</t>
  </si>
  <si>
    <t xml:space="preserve">Circuit Mario </t>
  </si>
  <si>
    <t>Rainbow Road - RR</t>
  </si>
  <si>
    <t>RR</t>
  </si>
  <si>
    <t>Route Arc-en-ciel</t>
  </si>
  <si>
    <t>Formulas</t>
  </si>
  <si>
    <t>Pbonus</t>
  </si>
  <si>
    <t>Pdc</t>
  </si>
  <si>
    <t>Pcumul</t>
  </si>
  <si>
    <t>Pknown</t>
  </si>
  <si>
    <t>Pcheck</t>
  </si>
  <si>
    <t>FFA METADATA</t>
  </si>
  <si>
    <t>2v2 METADATA</t>
  </si>
  <si>
    <t>3v3 METADATA</t>
  </si>
  <si>
    <t>6v6 METADATA</t>
  </si>
  <si>
    <t>Map\Players</t>
  </si>
  <si>
    <t>David</t>
  </si>
  <si>
    <t>Aste</t>
  </si>
  <si>
    <t>JP</t>
  </si>
  <si>
    <t>ROB</t>
  </si>
  <si>
    <t>EVIL</t>
  </si>
  <si>
    <t>Sspeed / A.Irving</t>
  </si>
  <si>
    <t>Dolmaro</t>
  </si>
  <si>
    <t>Myslla</t>
  </si>
  <si>
    <t>Morgan</t>
  </si>
  <si>
    <t>Yatsusu</t>
  </si>
  <si>
    <t>Bacon</t>
  </si>
  <si>
    <t>Ethan</t>
  </si>
  <si>
    <t>/</t>
  </si>
  <si>
    <t>cenift</t>
  </si>
  <si>
    <t xml:space="preserve">Fidencio </t>
  </si>
  <si>
    <t>PolloLego</t>
  </si>
  <si>
    <t>Roro Zoro</t>
  </si>
  <si>
    <t>Sock64</t>
  </si>
  <si>
    <t xml:space="preserve">jejkoala </t>
  </si>
  <si>
    <t>Zerpo</t>
  </si>
  <si>
    <t xml:space="preserve">Xabo </t>
  </si>
  <si>
    <t>Jowy</t>
  </si>
  <si>
    <t xml:space="preserve">DSTYR </t>
  </si>
  <si>
    <t>Dizzle</t>
  </si>
  <si>
    <t>FaZe Jorg</t>
  </si>
  <si>
    <t>+15</t>
  </si>
  <si>
    <t>+3</t>
  </si>
  <si>
    <t>+2</t>
  </si>
  <si>
    <t>+1</t>
  </si>
  <si>
    <t>+12</t>
  </si>
  <si>
    <t>+9</t>
  </si>
  <si>
    <t>+5</t>
  </si>
  <si>
    <t>+4</t>
  </si>
  <si>
    <t>+6</t>
  </si>
  <si>
    <t>+10</t>
  </si>
  <si>
    <t>+7</t>
  </si>
  <si>
    <t>+8</t>
  </si>
  <si>
    <t>+11</t>
  </si>
  <si>
    <t>rWHs</t>
  </si>
  <si>
    <t>Place</t>
  </si>
  <si>
    <t>Pgot 12p</t>
  </si>
  <si>
    <t>Pgot 11p</t>
  </si>
  <si>
    <t>Pdc 11p</t>
  </si>
  <si>
    <t>Pgot 10p</t>
  </si>
  <si>
    <t>Pdc 10p</t>
  </si>
  <si>
    <t>9p 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</si>
</sst>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0_ ;\-0\ "/>
  </numFmts>
  <fonts count="19" x14ac:knownFonts="1">
    <font>
      <sz val="11"/>
      <color theme="1"/>
      <name val="Aptos Narrow"/>
      <family val="2"/>
      <scheme val="minor"/>
    </font>
    <font>
      <b/>
      <sz val="11"/>
      <color theme="1"/>
      <name val="Aptos Narrow"/>
      <family val="2"/>
      <scheme val="minor"/>
    </font>
    <font>
      <sz val="12"/>
      <color theme="1"/>
      <name val="Arial"/>
      <family val="2"/>
    </font>
    <font>
      <sz val="11"/>
      <name val="Aptos Narrow"/>
      <family val="2"/>
      <scheme val="minor"/>
    </font>
    <font>
      <sz val="10"/>
      <color theme="1"/>
      <name val="Consolas"/>
      <family val="3"/>
    </font>
    <font>
      <b/>
      <sz val="12"/>
      <color theme="1"/>
      <name val="Aptos"/>
      <family val="2"/>
    </font>
    <font>
      <sz val="12"/>
      <color theme="1"/>
      <name val="Aptos Narrow"/>
      <family val="2"/>
      <scheme val="minor"/>
    </font>
    <font>
      <sz val="26"/>
      <color theme="1"/>
      <name val="Aptos Narrow"/>
      <family val="2"/>
      <scheme val="minor"/>
    </font>
    <font>
      <sz val="20"/>
      <color theme="1"/>
      <name val="Aptos Narrow"/>
      <family val="2"/>
      <scheme val="minor"/>
    </font>
    <font>
      <sz val="14"/>
      <color theme="1"/>
      <name val="Aptos Narrow"/>
      <family val="2"/>
      <scheme val="minor"/>
    </font>
    <font>
      <b/>
      <sz val="12"/>
      <color rgb="FF333D42"/>
      <name val="Aptos Narrow"/>
      <family val="2"/>
      <scheme val="minor"/>
    </font>
    <font>
      <sz val="12"/>
      <color rgb="FF333D42"/>
      <name val="Aptos Narrow"/>
      <family val="2"/>
      <scheme val="minor"/>
    </font>
    <font>
      <sz val="16"/>
      <color theme="1"/>
      <name val="Aptos Narrow"/>
      <family val="2"/>
      <scheme val="minor"/>
    </font>
    <font>
      <i/>
      <sz val="11"/>
      <color theme="1"/>
      <name val="Aptos Narrow"/>
      <family val="2"/>
      <scheme val="minor"/>
    </font>
    <font>
      <i/>
      <sz val="16"/>
      <color theme="1"/>
      <name val="Aptos Narrow"/>
      <family val="2"/>
      <scheme val="minor"/>
    </font>
    <font>
      <sz val="28"/>
      <color theme="1"/>
      <name val="Aptos Narrow"/>
      <family val="2"/>
      <scheme val="minor"/>
    </font>
    <font>
      <sz val="8"/>
      <name val="Aptos Narrow"/>
      <family val="2"/>
      <scheme val="minor"/>
    </font>
    <font>
      <sz val="24"/>
      <color theme="1"/>
      <name val="Aptos Narrow"/>
      <family val="2"/>
      <scheme val="minor"/>
    </font>
    <font>
      <sz val="11"/>
      <color rgb="FF000000"/>
      <name val="Aptos Narrow"/>
      <family val="2"/>
    </font>
  </fonts>
  <fills count="26">
    <fill>
      <patternFill patternType="none"/>
    </fill>
    <fill>
      <patternFill patternType="gray125"/>
    </fill>
    <fill>
      <patternFill patternType="solid">
        <fgColor rgb="FF00FFFF"/>
        <bgColor indexed="64"/>
      </patternFill>
    </fill>
    <fill>
      <patternFill patternType="solid">
        <fgColor theme="8" tint="0.59999389629810485"/>
        <bgColor indexed="64"/>
      </patternFill>
    </fill>
    <fill>
      <patternFill patternType="solid">
        <fgColor rgb="FF00B050"/>
        <bgColor indexed="64"/>
      </patternFill>
    </fill>
    <fill>
      <patternFill patternType="solid">
        <fgColor rgb="FFCC9900"/>
        <bgColor indexed="64"/>
      </patternFill>
    </fill>
    <fill>
      <patternFill patternType="solid">
        <fgColor theme="0" tint="-0.34998626667073579"/>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70C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rgb="FFFF0000"/>
        <bgColor indexed="64"/>
      </patternFill>
    </fill>
    <fill>
      <patternFill patternType="solid">
        <fgColor rgb="FF00B0F0"/>
        <bgColor indexed="64"/>
      </patternFill>
    </fill>
    <fill>
      <patternFill patternType="solid">
        <fgColor rgb="FFE2E23E"/>
        <bgColor indexed="64"/>
      </patternFill>
    </fill>
    <fill>
      <patternFill patternType="solid">
        <fgColor theme="4" tint="0.39997558519241921"/>
        <bgColor indexed="64"/>
      </patternFill>
    </fill>
    <fill>
      <patternFill patternType="solid">
        <fgColor theme="3" tint="0.249977111117893"/>
        <bgColor indexed="64"/>
      </patternFill>
    </fill>
    <fill>
      <patternFill patternType="solid">
        <fgColor rgb="FF9999FF"/>
        <bgColor indexed="64"/>
      </patternFill>
    </fill>
    <fill>
      <patternFill patternType="solid">
        <fgColor rgb="FFDDDDDD"/>
        <bgColor indexed="64"/>
      </patternFill>
    </fill>
    <fill>
      <patternFill patternType="solid">
        <fgColor theme="8" tint="-0.249977111117893"/>
        <bgColor indexed="64"/>
      </patternFill>
    </fill>
    <fill>
      <patternFill patternType="solid">
        <fgColor theme="0"/>
        <bgColor indexed="64"/>
      </patternFill>
    </fill>
  </fills>
  <borders count="49">
    <border>
      <left/>
      <right/>
      <top/>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1">
    <xf numFmtId="0" fontId="0" fillId="0" borderId="0"/>
  </cellStyleXfs>
  <cellXfs count="440">
    <xf numFmtId="0" fontId="0" fillId="0" borderId="0" xfId="0"/>
    <xf numFmtId="49" fontId="0" fillId="2" borderId="6" xfId="0" applyNumberFormat="1" applyFill="1" applyBorder="1" applyAlignment="1">
      <alignment horizontal="center"/>
    </xf>
    <xf numFmtId="0" fontId="0" fillId="0" borderId="7" xfId="0" applyBorder="1" applyAlignment="1">
      <alignment horizontal="center"/>
    </xf>
    <xf numFmtId="49" fontId="0" fillId="2" borderId="8" xfId="0" applyNumberFormat="1" applyFill="1" applyBorder="1" applyAlignment="1">
      <alignment horizontal="center"/>
    </xf>
    <xf numFmtId="0" fontId="0" fillId="3" borderId="7" xfId="0" applyFill="1" applyBorder="1" applyAlignment="1">
      <alignment horizontal="center"/>
    </xf>
    <xf numFmtId="0" fontId="1" fillId="0" borderId="5" xfId="0" applyFont="1" applyBorder="1" applyAlignment="1">
      <alignment horizontal="center"/>
    </xf>
    <xf numFmtId="49" fontId="1" fillId="5" borderId="6" xfId="0" applyNumberFormat="1" applyFont="1" applyFill="1" applyBorder="1" applyAlignment="1">
      <alignment horizontal="center"/>
    </xf>
    <xf numFmtId="0" fontId="1" fillId="0" borderId="7" xfId="0" applyFont="1" applyBorder="1" applyAlignment="1">
      <alignment horizontal="center"/>
    </xf>
    <xf numFmtId="49" fontId="1" fillId="2" borderId="8" xfId="0" applyNumberFormat="1" applyFont="1" applyFill="1" applyBorder="1" applyAlignment="1">
      <alignment horizontal="center"/>
    </xf>
    <xf numFmtId="49" fontId="1" fillId="2" borderId="6" xfId="0" applyNumberFormat="1" applyFont="1" applyFill="1" applyBorder="1" applyAlignment="1">
      <alignment horizontal="center"/>
    </xf>
    <xf numFmtId="49" fontId="1" fillId="6" borderId="6" xfId="0" applyNumberFormat="1" applyFont="1" applyFill="1" applyBorder="1" applyAlignment="1">
      <alignment horizontal="center"/>
    </xf>
    <xf numFmtId="0" fontId="1" fillId="7" borderId="7" xfId="0" applyFont="1" applyFill="1" applyBorder="1" applyAlignment="1">
      <alignment horizontal="center"/>
    </xf>
    <xf numFmtId="49" fontId="1" fillId="5" borderId="8" xfId="0" applyNumberFormat="1" applyFont="1" applyFill="1" applyBorder="1" applyAlignment="1">
      <alignment horizontal="center"/>
    </xf>
    <xf numFmtId="0" fontId="1" fillId="3" borderId="7" xfId="0" applyFont="1" applyFill="1" applyBorder="1" applyAlignment="1">
      <alignment horizontal="center"/>
    </xf>
    <xf numFmtId="0" fontId="1" fillId="0" borderId="10" xfId="0" applyFont="1" applyBorder="1" applyAlignment="1">
      <alignment horizontal="center"/>
    </xf>
    <xf numFmtId="49" fontId="1" fillId="2" borderId="11" xfId="0" applyNumberFormat="1" applyFont="1" applyFill="1" applyBorder="1" applyAlignment="1">
      <alignment horizontal="center"/>
    </xf>
    <xf numFmtId="0" fontId="1" fillId="0" borderId="9" xfId="0" applyFont="1" applyBorder="1" applyAlignment="1">
      <alignment horizontal="center"/>
    </xf>
    <xf numFmtId="49" fontId="1" fillId="2" borderId="12" xfId="0" applyNumberFormat="1" applyFont="1" applyFill="1" applyBorder="1" applyAlignment="1">
      <alignment horizontal="center"/>
    </xf>
    <xf numFmtId="49" fontId="1" fillId="5" borderId="12" xfId="0" applyNumberFormat="1" applyFont="1" applyFill="1" applyBorder="1" applyAlignment="1">
      <alignment horizontal="center"/>
    </xf>
    <xf numFmtId="0" fontId="1" fillId="7" borderId="9" xfId="0" applyFont="1" applyFill="1" applyBorder="1" applyAlignment="1">
      <alignment horizontal="center"/>
    </xf>
    <xf numFmtId="49" fontId="1" fillId="6" borderId="11" xfId="0" applyNumberFormat="1" applyFont="1" applyFill="1" applyBorder="1" applyAlignment="1">
      <alignment horizontal="center"/>
    </xf>
    <xf numFmtId="0" fontId="0" fillId="0" borderId="13" xfId="0" applyBorder="1"/>
    <xf numFmtId="49" fontId="1" fillId="6" borderId="8" xfId="0" applyNumberFormat="1" applyFont="1" applyFill="1" applyBorder="1" applyAlignment="1">
      <alignment horizontal="center"/>
    </xf>
    <xf numFmtId="0" fontId="0" fillId="0" borderId="14" xfId="0" applyBorder="1" applyAlignment="1">
      <alignment horizontal="center"/>
    </xf>
    <xf numFmtId="49" fontId="0" fillId="2" borderId="15" xfId="0" applyNumberFormat="1" applyFill="1" applyBorder="1" applyAlignment="1">
      <alignment horizontal="center"/>
    </xf>
    <xf numFmtId="0" fontId="0" fillId="0" borderId="16" xfId="0" applyBorder="1" applyAlignment="1">
      <alignment horizontal="center"/>
    </xf>
    <xf numFmtId="49" fontId="0" fillId="2" borderId="17" xfId="0" applyNumberFormat="1" applyFill="1" applyBorder="1" applyAlignment="1">
      <alignment horizontal="center"/>
    </xf>
    <xf numFmtId="0" fontId="0" fillId="3" borderId="16" xfId="0" applyFill="1" applyBorder="1" applyAlignment="1">
      <alignment horizontal="center"/>
    </xf>
    <xf numFmtId="0" fontId="0" fillId="8" borderId="2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0" fontId="0" fillId="8" borderId="24" xfId="0" applyFill="1" applyBorder="1"/>
    <xf numFmtId="0" fontId="0" fillId="8" borderId="25" xfId="0" applyFill="1" applyBorder="1"/>
    <xf numFmtId="0" fontId="0" fillId="8" borderId="26" xfId="0" applyFill="1" applyBorder="1"/>
    <xf numFmtId="0" fontId="0" fillId="8" borderId="27" xfId="0" applyFill="1" applyBorder="1"/>
    <xf numFmtId="0" fontId="1" fillId="0" borderId="0" xfId="0" applyFont="1" applyAlignment="1">
      <alignment horizontal="center"/>
    </xf>
    <xf numFmtId="0" fontId="1" fillId="0" borderId="13" xfId="0" applyFont="1" applyBorder="1" applyAlignment="1">
      <alignment horizontal="center"/>
    </xf>
    <xf numFmtId="0" fontId="0" fillId="0" borderId="23" xfId="0" applyBorder="1" applyAlignment="1">
      <alignment horizontal="center"/>
    </xf>
    <xf numFmtId="0" fontId="0" fillId="8" borderId="29" xfId="0" applyFill="1" applyBorder="1"/>
    <xf numFmtId="0" fontId="0" fillId="0" borderId="30" xfId="0" applyBorder="1"/>
    <xf numFmtId="0" fontId="0" fillId="0" borderId="31" xfId="0" applyBorder="1"/>
    <xf numFmtId="0" fontId="0" fillId="0" borderId="32" xfId="0" applyBorder="1"/>
    <xf numFmtId="0" fontId="0" fillId="8" borderId="33" xfId="0" applyFill="1" applyBorder="1"/>
    <xf numFmtId="0" fontId="0" fillId="8" borderId="34" xfId="0" applyFill="1" applyBorder="1"/>
    <xf numFmtId="0" fontId="0" fillId="8" borderId="35" xfId="0" applyFill="1" applyBorder="1"/>
    <xf numFmtId="49" fontId="0" fillId="2" borderId="0" xfId="0" applyNumberFormat="1" applyFill="1" applyAlignment="1">
      <alignment horizontal="center"/>
    </xf>
    <xf numFmtId="49" fontId="1" fillId="2" borderId="0" xfId="0" applyNumberFormat="1" applyFont="1" applyFill="1" applyAlignment="1">
      <alignment horizontal="center"/>
    </xf>
    <xf numFmtId="49" fontId="1" fillId="2" borderId="13" xfId="0" applyNumberFormat="1" applyFont="1" applyFill="1" applyBorder="1" applyAlignment="1">
      <alignment horizontal="center"/>
    </xf>
    <xf numFmtId="49" fontId="0" fillId="2" borderId="23" xfId="0" applyNumberFormat="1" applyFill="1" applyBorder="1" applyAlignment="1">
      <alignment horizontal="center"/>
    </xf>
    <xf numFmtId="0" fontId="0" fillId="4" borderId="31" xfId="0" applyFill="1" applyBorder="1"/>
    <xf numFmtId="0" fontId="0" fillId="4" borderId="32" xfId="0" applyFill="1" applyBorder="1"/>
    <xf numFmtId="0" fontId="0" fillId="4" borderId="35" xfId="0" applyFill="1" applyBorder="1"/>
    <xf numFmtId="0" fontId="2" fillId="0" borderId="28"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2" fillId="0" borderId="1" xfId="0" applyFont="1" applyBorder="1" applyAlignment="1">
      <alignment horizontal="center"/>
    </xf>
    <xf numFmtId="0" fontId="0" fillId="9" borderId="18" xfId="0" applyFill="1" applyBorder="1" applyAlignment="1">
      <alignment horizontal="center"/>
    </xf>
    <xf numFmtId="0" fontId="0" fillId="9" borderId="20"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19" xfId="0" applyFill="1" applyBorder="1" applyAlignment="1">
      <alignment horizontal="center"/>
    </xf>
    <xf numFmtId="0" fontId="0" fillId="8" borderId="23" xfId="0" applyFill="1" applyBorder="1" applyAlignment="1">
      <alignment horizontal="center"/>
    </xf>
    <xf numFmtId="0" fontId="0" fillId="8" borderId="15" xfId="0" applyFill="1" applyBorder="1" applyAlignment="1">
      <alignment horizontal="center"/>
    </xf>
    <xf numFmtId="0" fontId="0" fillId="8" borderId="16" xfId="0" applyFill="1" applyBorder="1" applyAlignment="1">
      <alignment horizontal="center"/>
    </xf>
    <xf numFmtId="0" fontId="0" fillId="8" borderId="17" xfId="0" applyFill="1" applyBorder="1" applyAlignment="1">
      <alignment horizontal="center"/>
    </xf>
    <xf numFmtId="0" fontId="0" fillId="8" borderId="14" xfId="0" applyFill="1" applyBorder="1" applyAlignment="1">
      <alignment horizontal="center"/>
    </xf>
    <xf numFmtId="0" fontId="0" fillId="8" borderId="5" xfId="0" applyFill="1" applyBorder="1"/>
    <xf numFmtId="0" fontId="0" fillId="0" borderId="36" xfId="0" applyBorder="1"/>
    <xf numFmtId="0" fontId="0" fillId="0" borderId="37" xfId="0" applyBorder="1"/>
    <xf numFmtId="0" fontId="0" fillId="0" borderId="5" xfId="0" applyBorder="1"/>
    <xf numFmtId="0" fontId="0" fillId="4" borderId="8" xfId="0" applyFill="1" applyBorder="1"/>
    <xf numFmtId="0" fontId="0" fillId="4" borderId="27" xfId="0" applyFill="1" applyBorder="1"/>
    <xf numFmtId="49" fontId="0" fillId="2" borderId="4" xfId="0" applyNumberFormat="1" applyFill="1" applyBorder="1" applyAlignment="1">
      <alignment horizontal="center"/>
    </xf>
    <xf numFmtId="0" fontId="0" fillId="10" borderId="1" xfId="0" applyFill="1" applyBorder="1" applyAlignment="1">
      <alignment horizontal="center"/>
    </xf>
    <xf numFmtId="0" fontId="0" fillId="10" borderId="5" xfId="0" applyFill="1" applyBorder="1" applyAlignment="1">
      <alignment horizontal="center"/>
    </xf>
    <xf numFmtId="0" fontId="0" fillId="10" borderId="0" xfId="0" applyFill="1" applyAlignment="1">
      <alignment horizontal="center"/>
    </xf>
    <xf numFmtId="0" fontId="1" fillId="10" borderId="5" xfId="0" applyFont="1" applyFill="1" applyBorder="1" applyAlignment="1">
      <alignment horizontal="center"/>
    </xf>
    <xf numFmtId="0" fontId="1" fillId="10" borderId="9" xfId="0" applyFont="1" applyFill="1" applyBorder="1" applyAlignment="1">
      <alignment horizontal="center"/>
    </xf>
    <xf numFmtId="0" fontId="1" fillId="10" borderId="10" xfId="0" applyFont="1" applyFill="1" applyBorder="1" applyAlignment="1">
      <alignment horizontal="center"/>
    </xf>
    <xf numFmtId="0" fontId="4" fillId="0" borderId="0" xfId="0" applyFont="1"/>
    <xf numFmtId="0" fontId="5" fillId="0" borderId="0" xfId="0" applyFont="1"/>
    <xf numFmtId="0" fontId="5" fillId="0" borderId="0" xfId="0" applyFont="1" applyAlignment="1">
      <alignment horizontal="center"/>
    </xf>
    <xf numFmtId="49" fontId="9" fillId="0" borderId="31" xfId="0" applyNumberFormat="1" applyFont="1" applyBorder="1" applyAlignment="1">
      <alignment horizontal="center"/>
    </xf>
    <xf numFmtId="1" fontId="9" fillId="0" borderId="5" xfId="0" applyNumberFormat="1" applyFont="1" applyBorder="1" applyAlignment="1">
      <alignment horizontal="center"/>
    </xf>
    <xf numFmtId="1" fontId="9" fillId="0" borderId="8" xfId="0" applyNumberFormat="1" applyFont="1" applyBorder="1" applyAlignment="1">
      <alignment horizontal="center"/>
    </xf>
    <xf numFmtId="0" fontId="9" fillId="11" borderId="31" xfId="0" applyFont="1" applyFill="1" applyBorder="1" applyAlignment="1">
      <alignment horizontal="center"/>
    </xf>
    <xf numFmtId="0" fontId="9" fillId="0" borderId="8" xfId="0" applyFont="1" applyBorder="1" applyAlignment="1">
      <alignment horizontal="center"/>
    </xf>
    <xf numFmtId="0" fontId="9" fillId="11" borderId="1" xfId="0" applyFont="1" applyFill="1" applyBorder="1" applyAlignment="1">
      <alignment horizontal="center"/>
    </xf>
    <xf numFmtId="0" fontId="9" fillId="11" borderId="4" xfId="0" applyFont="1" applyFill="1" applyBorder="1" applyAlignment="1">
      <alignment horizontal="center"/>
    </xf>
    <xf numFmtId="0" fontId="0" fillId="12" borderId="0" xfId="0" applyFill="1" applyAlignment="1">
      <alignment horizontal="center"/>
    </xf>
    <xf numFmtId="0" fontId="0" fillId="12" borderId="0" xfId="0" applyFill="1"/>
    <xf numFmtId="0" fontId="3" fillId="12" borderId="0" xfId="0" applyFont="1" applyFill="1"/>
    <xf numFmtId="0" fontId="0" fillId="0" borderId="39" xfId="0" applyBorder="1"/>
    <xf numFmtId="0" fontId="0" fillId="0" borderId="38" xfId="0" applyBorder="1"/>
    <xf numFmtId="0" fontId="6" fillId="0" borderId="31" xfId="0" applyFont="1" applyBorder="1"/>
    <xf numFmtId="0" fontId="6" fillId="0" borderId="35" xfId="0" applyFont="1" applyBorder="1"/>
    <xf numFmtId="0" fontId="11" fillId="0" borderId="30" xfId="0" applyFont="1" applyBorder="1" applyAlignment="1">
      <alignment horizontal="left" vertical="center" wrapText="1" indent="1"/>
    </xf>
    <xf numFmtId="0" fontId="11" fillId="0" borderId="31" xfId="0" applyFont="1" applyBorder="1" applyAlignment="1">
      <alignment horizontal="left" vertical="center" wrapText="1" indent="1"/>
    </xf>
    <xf numFmtId="0" fontId="11" fillId="0" borderId="35" xfId="0" applyFont="1" applyBorder="1" applyAlignment="1">
      <alignment horizontal="left" vertical="center" wrapText="1" indent="1"/>
    </xf>
    <xf numFmtId="0" fontId="6" fillId="0" borderId="30" xfId="0" applyFont="1" applyBorder="1"/>
    <xf numFmtId="0" fontId="0" fillId="0" borderId="0" xfId="0" applyAlignment="1">
      <alignment vertical="top" wrapText="1"/>
    </xf>
    <xf numFmtId="0" fontId="0" fillId="0" borderId="0" xfId="0" applyAlignment="1">
      <alignment vertical="center" wrapText="1"/>
    </xf>
    <xf numFmtId="0" fontId="0" fillId="7" borderId="39" xfId="0" applyFill="1" applyBorder="1" applyAlignment="1">
      <alignment vertical="center"/>
    </xf>
    <xf numFmtId="0" fontId="7" fillId="0" borderId="0" xfId="0" applyFont="1" applyAlignment="1">
      <alignment vertical="center"/>
    </xf>
    <xf numFmtId="0" fontId="0" fillId="0" borderId="0" xfId="0" applyAlignment="1">
      <alignment vertical="center"/>
    </xf>
    <xf numFmtId="0" fontId="0" fillId="21" borderId="0" xfId="0" applyFill="1"/>
    <xf numFmtId="0" fontId="9" fillId="0" borderId="0" xfId="0" applyFont="1" applyAlignment="1">
      <alignment vertical="center"/>
    </xf>
    <xf numFmtId="0" fontId="9" fillId="0" borderId="0" xfId="0" applyFont="1" applyAlignment="1">
      <alignment horizontal="center"/>
    </xf>
    <xf numFmtId="49" fontId="9" fillId="0" borderId="0" xfId="0" applyNumberFormat="1" applyFont="1" applyAlignment="1">
      <alignment horizontal="center"/>
    </xf>
    <xf numFmtId="1" fontId="9" fillId="0" borderId="0" xfId="0" applyNumberFormat="1" applyFont="1" applyAlignment="1">
      <alignment horizontal="center"/>
    </xf>
    <xf numFmtId="0" fontId="0" fillId="0" borderId="39" xfId="0" applyBorder="1" applyAlignment="1">
      <alignment horizontal="center" vertical="center"/>
    </xf>
    <xf numFmtId="0" fontId="0" fillId="0" borderId="35" xfId="0" applyBorder="1" applyAlignment="1">
      <alignment horizontal="center" vertical="center"/>
    </xf>
    <xf numFmtId="0" fontId="0" fillId="8" borderId="8" xfId="0" applyFill="1" applyBorder="1" applyAlignment="1">
      <alignment horizontal="center" vertical="center"/>
    </xf>
    <xf numFmtId="0" fontId="0" fillId="2" borderId="37" xfId="0" applyFill="1" applyBorder="1" applyAlignment="1">
      <alignment horizontal="center" vertical="center"/>
    </xf>
    <xf numFmtId="0" fontId="0" fillId="13" borderId="37" xfId="0" applyFill="1" applyBorder="1" applyAlignment="1">
      <alignment horizontal="center" vertical="center"/>
    </xf>
    <xf numFmtId="0" fontId="0" fillId="14" borderId="37" xfId="0" applyFill="1" applyBorder="1" applyAlignment="1">
      <alignment horizontal="center" vertical="center"/>
    </xf>
    <xf numFmtId="0" fontId="0" fillId="7" borderId="37" xfId="0" applyFill="1" applyBorder="1" applyAlignment="1">
      <alignment horizontal="center" vertical="center"/>
    </xf>
    <xf numFmtId="0" fontId="0" fillId="0" borderId="35" xfId="0" applyBorder="1" applyAlignment="1">
      <alignment horizontal="left" vertical="center"/>
    </xf>
    <xf numFmtId="0" fontId="0" fillId="0" borderId="39" xfId="0" applyBorder="1" applyAlignment="1">
      <alignment horizontal="left" vertical="center"/>
    </xf>
    <xf numFmtId="164" fontId="0" fillId="2" borderId="8" xfId="0" applyNumberFormat="1" applyFill="1" applyBorder="1" applyAlignment="1">
      <alignment horizontal="center"/>
    </xf>
    <xf numFmtId="0" fontId="9" fillId="13" borderId="38" xfId="0" applyFont="1" applyFill="1" applyBorder="1" applyAlignment="1">
      <alignment vertical="center"/>
    </xf>
    <xf numFmtId="0" fontId="0" fillId="13" borderId="39" xfId="0" applyFill="1" applyBorder="1" applyAlignment="1">
      <alignment vertical="center"/>
    </xf>
    <xf numFmtId="0" fontId="0" fillId="8" borderId="39" xfId="0" applyFill="1" applyBorder="1" applyAlignment="1">
      <alignment horizontal="center" vertical="center"/>
    </xf>
    <xf numFmtId="0" fontId="0" fillId="8" borderId="37" xfId="0" applyFill="1" applyBorder="1" applyAlignment="1">
      <alignment horizontal="center" vertical="center"/>
    </xf>
    <xf numFmtId="0" fontId="0" fillId="8" borderId="5" xfId="0" applyFill="1" applyBorder="1" applyAlignment="1">
      <alignment horizontal="center" vertical="center"/>
    </xf>
    <xf numFmtId="0" fontId="9" fillId="0" borderId="39" xfId="0" applyFont="1" applyBorder="1" applyAlignment="1">
      <alignment horizontal="center" vertical="center"/>
    </xf>
    <xf numFmtId="0" fontId="9" fillId="0" borderId="37" xfId="0" applyFont="1" applyBorder="1" applyAlignment="1">
      <alignment horizontal="center" vertical="center"/>
    </xf>
    <xf numFmtId="0" fontId="9" fillId="11" borderId="5" xfId="0" applyFont="1" applyFill="1" applyBorder="1" applyAlignment="1">
      <alignment horizontal="center"/>
    </xf>
    <xf numFmtId="0" fontId="9" fillId="11" borderId="8" xfId="0" applyFont="1" applyFill="1" applyBorder="1" applyAlignment="1">
      <alignment horizontal="center"/>
    </xf>
    <xf numFmtId="49" fontId="9" fillId="0" borderId="39" xfId="0" applyNumberFormat="1" applyFont="1" applyBorder="1" applyAlignment="1">
      <alignment horizontal="center"/>
    </xf>
    <xf numFmtId="0" fontId="9" fillId="11" borderId="39" xfId="0" applyFont="1" applyFill="1" applyBorder="1" applyAlignment="1">
      <alignment horizontal="center"/>
    </xf>
    <xf numFmtId="1" fontId="9" fillId="0" borderId="36" xfId="0" applyNumberFormat="1" applyFont="1" applyBorder="1" applyAlignment="1">
      <alignment horizontal="center"/>
    </xf>
    <xf numFmtId="1" fontId="9" fillId="0" borderId="37" xfId="0" applyNumberFormat="1" applyFont="1" applyBorder="1" applyAlignment="1">
      <alignment horizontal="center"/>
    </xf>
    <xf numFmtId="164" fontId="0" fillId="0" borderId="0" xfId="0" applyNumberFormat="1" applyAlignment="1">
      <alignment horizontal="center" vertical="center"/>
    </xf>
    <xf numFmtId="0" fontId="0" fillId="8" borderId="1" xfId="0" applyFill="1" applyBorder="1" applyAlignment="1">
      <alignment horizontal="center" vertical="center"/>
    </xf>
    <xf numFmtId="164" fontId="0" fillId="2" borderId="28" xfId="0" applyNumberFormat="1" applyFill="1" applyBorder="1" applyAlignment="1">
      <alignment horizontal="center" vertical="center"/>
    </xf>
    <xf numFmtId="0" fontId="0" fillId="13" borderId="28" xfId="0" applyFill="1" applyBorder="1" applyAlignment="1">
      <alignment horizontal="center" vertical="center"/>
    </xf>
    <xf numFmtId="0" fontId="0" fillId="14" borderId="28" xfId="0" applyFill="1" applyBorder="1" applyAlignment="1">
      <alignment horizontal="center" vertical="center"/>
    </xf>
    <xf numFmtId="0" fontId="0" fillId="22" borderId="28" xfId="0" applyFill="1" applyBorder="1" applyAlignment="1">
      <alignment horizontal="center" vertical="center"/>
    </xf>
    <xf numFmtId="164" fontId="0" fillId="2" borderId="0" xfId="0" applyNumberFormat="1"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22" borderId="0" xfId="0" applyFill="1" applyAlignment="1">
      <alignment horizontal="center" vertical="center"/>
    </xf>
    <xf numFmtId="0" fontId="0" fillId="8" borderId="24" xfId="0" applyFill="1" applyBorder="1" applyAlignment="1">
      <alignment horizontal="center" vertical="center"/>
    </xf>
    <xf numFmtId="164" fontId="0" fillId="2" borderId="29" xfId="0" applyNumberFormat="1" applyFill="1" applyBorder="1" applyAlignment="1">
      <alignment horizontal="center" vertical="center"/>
    </xf>
    <xf numFmtId="0" fontId="0" fillId="13" borderId="29" xfId="0" applyFill="1" applyBorder="1" applyAlignment="1">
      <alignment horizontal="center" vertical="center"/>
    </xf>
    <xf numFmtId="0" fontId="0" fillId="14" borderId="29" xfId="0" applyFill="1" applyBorder="1" applyAlignment="1">
      <alignment horizontal="center" vertical="center"/>
    </xf>
    <xf numFmtId="0" fontId="0" fillId="22" borderId="29" xfId="0" applyFill="1" applyBorder="1" applyAlignment="1">
      <alignment horizontal="center" vertical="center"/>
    </xf>
    <xf numFmtId="0" fontId="0" fillId="21" borderId="0" xfId="0" applyFill="1" applyAlignment="1">
      <alignment horizontal="center" vertical="center"/>
    </xf>
    <xf numFmtId="164" fontId="0" fillId="21" borderId="0" xfId="0" applyNumberFormat="1" applyFill="1" applyAlignment="1">
      <alignment horizontal="center" vertical="center"/>
    </xf>
    <xf numFmtId="0" fontId="15" fillId="21" borderId="0" xfId="0" applyFont="1" applyFill="1" applyAlignment="1">
      <alignment vertical="center"/>
    </xf>
    <xf numFmtId="0" fontId="0" fillId="21" borderId="0" xfId="0" applyFill="1" applyAlignment="1">
      <alignment horizontal="center"/>
    </xf>
    <xf numFmtId="0" fontId="0" fillId="21" borderId="0" xfId="0" applyFill="1" applyAlignment="1">
      <alignment vertical="center"/>
    </xf>
    <xf numFmtId="0" fontId="3" fillId="17" borderId="4" xfId="0" applyFont="1" applyFill="1" applyBorder="1"/>
    <xf numFmtId="0" fontId="3" fillId="17" borderId="27" xfId="0" applyFont="1" applyFill="1" applyBorder="1"/>
    <xf numFmtId="0" fontId="9" fillId="7" borderId="37" xfId="0" applyFont="1" applyFill="1" applyBorder="1" applyAlignment="1">
      <alignment vertical="center"/>
    </xf>
    <xf numFmtId="0" fontId="0" fillId="17" borderId="4" xfId="0" applyFill="1" applyBorder="1"/>
    <xf numFmtId="0" fontId="0" fillId="17" borderId="27" xfId="0" applyFill="1" applyBorder="1"/>
    <xf numFmtId="0" fontId="0" fillId="23" borderId="0" xfId="0" applyFill="1" applyAlignment="1">
      <alignment horizontal="center" vertical="center"/>
    </xf>
    <xf numFmtId="0" fontId="0" fillId="23" borderId="8" xfId="0" applyFill="1" applyBorder="1" applyAlignment="1">
      <alignment horizontal="center" vertical="center"/>
    </xf>
    <xf numFmtId="0" fontId="0" fillId="0" borderId="24" xfId="0" applyBorder="1"/>
    <xf numFmtId="0" fontId="0" fillId="0" borderId="29" xfId="0" applyBorder="1"/>
    <xf numFmtId="0" fontId="0" fillId="0" borderId="27" xfId="0" applyBorder="1"/>
    <xf numFmtId="0" fontId="0" fillId="0" borderId="8" xfId="0" applyBorder="1"/>
    <xf numFmtId="0" fontId="15" fillId="0" borderId="28" xfId="0" applyFont="1" applyBorder="1" applyAlignment="1">
      <alignment vertical="center"/>
    </xf>
    <xf numFmtId="0" fontId="15" fillId="0" borderId="4" xfId="0" applyFont="1" applyBorder="1" applyAlignment="1">
      <alignment vertical="center"/>
    </xf>
    <xf numFmtId="0" fontId="15" fillId="0" borderId="0" xfId="0" applyFont="1" applyAlignment="1">
      <alignment vertical="center"/>
    </xf>
    <xf numFmtId="0" fontId="15" fillId="0" borderId="29" xfId="0" applyFont="1" applyBorder="1" applyAlignment="1">
      <alignment vertical="center"/>
    </xf>
    <xf numFmtId="0" fontId="15" fillId="0" borderId="27" xfId="0" applyFont="1" applyBorder="1" applyAlignment="1">
      <alignment vertical="center"/>
    </xf>
    <xf numFmtId="49" fontId="9" fillId="0" borderId="1" xfId="0" applyNumberFormat="1" applyFont="1" applyBorder="1" applyAlignment="1">
      <alignment horizontal="center"/>
    </xf>
    <xf numFmtId="49" fontId="9" fillId="0" borderId="5" xfId="0" applyNumberFormat="1" applyFont="1" applyBorder="1" applyAlignment="1">
      <alignment horizontal="center"/>
    </xf>
    <xf numFmtId="49" fontId="9" fillId="0" borderId="24" xfId="0" applyNumberFormat="1" applyFont="1" applyBorder="1" applyAlignment="1">
      <alignment horizontal="center"/>
    </xf>
    <xf numFmtId="49" fontId="9" fillId="0" borderId="30" xfId="0" applyNumberFormat="1" applyFont="1" applyBorder="1" applyAlignment="1">
      <alignment horizontal="center"/>
    </xf>
    <xf numFmtId="49" fontId="9" fillId="0" borderId="35" xfId="0" applyNumberFormat="1" applyFont="1" applyBorder="1" applyAlignment="1">
      <alignment horizontal="center"/>
    </xf>
    <xf numFmtId="0" fontId="9" fillId="0" borderId="30" xfId="0" applyFont="1" applyBorder="1" applyAlignment="1">
      <alignment horizontal="center" vertical="center"/>
    </xf>
    <xf numFmtId="0" fontId="9" fillId="11" borderId="30" xfId="0" applyFont="1" applyFill="1" applyBorder="1" applyAlignment="1">
      <alignment horizontal="center"/>
    </xf>
    <xf numFmtId="49" fontId="9" fillId="0" borderId="36" xfId="0" applyNumberFormat="1" applyFont="1" applyBorder="1" applyAlignment="1">
      <alignment horizontal="center"/>
    </xf>
    <xf numFmtId="0" fontId="9" fillId="11" borderId="36" xfId="0" applyFont="1" applyFill="1" applyBorder="1" applyAlignment="1">
      <alignment horizontal="center"/>
    </xf>
    <xf numFmtId="0" fontId="9" fillId="11" borderId="37" xfId="0" applyFont="1" applyFill="1" applyBorder="1" applyAlignment="1">
      <alignment horizontal="center"/>
    </xf>
    <xf numFmtId="0" fontId="9" fillId="11" borderId="28" xfId="0" applyFont="1" applyFill="1" applyBorder="1" applyAlignment="1">
      <alignment horizontal="center"/>
    </xf>
    <xf numFmtId="1" fontId="9" fillId="0" borderId="38" xfId="0" applyNumberFormat="1" applyFont="1" applyBorder="1" applyAlignment="1">
      <alignment horizontal="center"/>
    </xf>
    <xf numFmtId="0" fontId="9" fillId="0" borderId="0" xfId="0" applyFont="1" applyAlignment="1">
      <alignment horizontal="center" vertical="center"/>
    </xf>
    <xf numFmtId="1" fontId="9" fillId="0" borderId="1" xfId="0" applyNumberFormat="1" applyFont="1" applyBorder="1" applyAlignment="1">
      <alignment horizontal="center"/>
    </xf>
    <xf numFmtId="1" fontId="9" fillId="0" borderId="4" xfId="0" applyNumberFormat="1" applyFont="1" applyBorder="1" applyAlignment="1">
      <alignment horizontal="center"/>
    </xf>
    <xf numFmtId="0" fontId="9" fillId="0" borderId="36" xfId="0" applyFont="1" applyBorder="1" applyAlignment="1">
      <alignment horizontal="center"/>
    </xf>
    <xf numFmtId="0" fontId="9" fillId="0" borderId="37" xfId="0" applyFont="1" applyBorder="1" applyAlignment="1">
      <alignment horizontal="center"/>
    </xf>
    <xf numFmtId="164" fontId="0" fillId="14" borderId="0" xfId="0" applyNumberFormat="1" applyFill="1" applyAlignment="1">
      <alignment horizontal="center" vertical="center"/>
    </xf>
    <xf numFmtId="0" fontId="0" fillId="24" borderId="40" xfId="0" applyFill="1" applyBorder="1"/>
    <xf numFmtId="0" fontId="0" fillId="24" borderId="41" xfId="0" applyFill="1" applyBorder="1"/>
    <xf numFmtId="0" fontId="0" fillId="24" borderId="42" xfId="0" applyFill="1" applyBorder="1"/>
    <xf numFmtId="0" fontId="0" fillId="0" borderId="5" xfId="0" applyBorder="1" applyAlignment="1">
      <alignment horizontal="center"/>
    </xf>
    <xf numFmtId="0" fontId="0" fillId="0" borderId="0" xfId="0" applyAlignment="1">
      <alignment horizontal="center"/>
    </xf>
    <xf numFmtId="0" fontId="0" fillId="0" borderId="4" xfId="0" applyBorder="1" applyAlignment="1">
      <alignment horizontal="center" vertical="center"/>
    </xf>
    <xf numFmtId="0" fontId="0" fillId="7" borderId="28" xfId="0" applyFill="1" applyBorder="1" applyAlignment="1">
      <alignment horizontal="center" vertical="center"/>
    </xf>
    <xf numFmtId="0" fontId="0" fillId="7" borderId="0" xfId="0" applyFill="1" applyAlignment="1">
      <alignment horizontal="center" vertical="center"/>
    </xf>
    <xf numFmtId="0" fontId="0" fillId="7" borderId="29" xfId="0" applyFill="1" applyBorder="1" applyAlignment="1">
      <alignment horizontal="center" vertical="center"/>
    </xf>
    <xf numFmtId="0" fontId="0" fillId="0" borderId="0" xfId="0" applyAlignment="1">
      <alignment horizontal="center" vertical="center"/>
    </xf>
    <xf numFmtId="0" fontId="0" fillId="23" borderId="4" xfId="0" applyFill="1" applyBorder="1" applyAlignment="1">
      <alignment horizontal="center" vertical="center"/>
    </xf>
    <xf numFmtId="0" fontId="0" fillId="23" borderId="27" xfId="0" applyFill="1" applyBorder="1" applyAlignment="1">
      <alignment horizontal="center" vertical="center"/>
    </xf>
    <xf numFmtId="0" fontId="9" fillId="0" borderId="36" xfId="0" applyFont="1" applyBorder="1" applyAlignment="1">
      <alignment horizontal="center" vertical="center"/>
    </xf>
    <xf numFmtId="0" fontId="0" fillId="0" borderId="37" xfId="0" applyBorder="1" applyAlignment="1">
      <alignment horizontal="center" vertical="center"/>
    </xf>
    <xf numFmtId="0" fontId="0" fillId="2" borderId="0" xfId="0" applyFill="1" applyAlignment="1">
      <alignment horizontal="center" vertical="center"/>
    </xf>
    <xf numFmtId="165" fontId="0" fillId="4" borderId="30" xfId="0" applyNumberFormat="1" applyFill="1" applyBorder="1" applyAlignment="1">
      <alignment horizontal="center" vertical="center"/>
    </xf>
    <xf numFmtId="165" fontId="0" fillId="4" borderId="31" xfId="0" applyNumberFormat="1" applyFill="1" applyBorder="1" applyAlignment="1">
      <alignment horizontal="center" vertical="center"/>
    </xf>
    <xf numFmtId="165" fontId="0" fillId="4" borderId="35" xfId="0" applyNumberFormat="1" applyFill="1" applyBorder="1" applyAlignment="1">
      <alignment horizontal="center" vertical="center"/>
    </xf>
    <xf numFmtId="0" fontId="0" fillId="7" borderId="39" xfId="0" applyFill="1" applyBorder="1" applyAlignment="1">
      <alignment horizontal="center" vertical="center"/>
    </xf>
    <xf numFmtId="0" fontId="0" fillId="13" borderId="39" xfId="0" applyFill="1" applyBorder="1" applyAlignment="1">
      <alignment horizontal="center" vertical="center"/>
    </xf>
    <xf numFmtId="0" fontId="9" fillId="7" borderId="37" xfId="0" applyFont="1" applyFill="1" applyBorder="1" applyAlignment="1">
      <alignment horizontal="center" vertical="center"/>
    </xf>
    <xf numFmtId="0" fontId="9" fillId="13" borderId="38" xfId="0" applyFont="1" applyFill="1" applyBorder="1" applyAlignment="1">
      <alignment horizontal="center" vertical="center"/>
    </xf>
    <xf numFmtId="164" fontId="0" fillId="2" borderId="4" xfId="0" applyNumberFormat="1" applyFill="1" applyBorder="1" applyAlignment="1">
      <alignment horizontal="center"/>
    </xf>
    <xf numFmtId="0" fontId="0" fillId="10" borderId="24" xfId="0" applyFill="1" applyBorder="1" applyAlignment="1">
      <alignment horizontal="center"/>
    </xf>
    <xf numFmtId="164" fontId="0" fillId="2" borderId="27" xfId="0" applyNumberFormat="1" applyFill="1" applyBorder="1" applyAlignment="1">
      <alignment horizontal="center"/>
    </xf>
    <xf numFmtId="165" fontId="0" fillId="4" borderId="0" xfId="0" applyNumberFormat="1" applyFill="1" applyAlignment="1">
      <alignment horizontal="center" vertical="center"/>
    </xf>
    <xf numFmtId="0" fontId="0" fillId="25" borderId="30" xfId="0" applyFill="1" applyBorder="1" applyAlignment="1">
      <alignment horizontal="center" vertical="center"/>
    </xf>
    <xf numFmtId="0" fontId="0" fillId="25" borderId="31" xfId="0" applyFill="1" applyBorder="1" applyAlignment="1">
      <alignment horizontal="center" vertical="center"/>
    </xf>
    <xf numFmtId="0" fontId="0" fillId="25" borderId="35" xfId="0" applyFill="1" applyBorder="1" applyAlignment="1">
      <alignment horizontal="center" vertical="center"/>
    </xf>
    <xf numFmtId="0" fontId="0" fillId="10" borderId="28" xfId="0" applyFill="1" applyBorder="1" applyAlignment="1">
      <alignment horizontal="center"/>
    </xf>
    <xf numFmtId="0" fontId="0" fillId="10" borderId="29" xfId="0" applyFill="1" applyBorder="1" applyAlignment="1">
      <alignment horizontal="center"/>
    </xf>
    <xf numFmtId="0" fontId="0" fillId="18" borderId="5" xfId="0" applyFill="1" applyBorder="1" applyAlignment="1">
      <alignment horizontal="center" vertical="center"/>
    </xf>
    <xf numFmtId="0" fontId="0" fillId="18" borderId="0" xfId="0" applyFill="1" applyAlignment="1">
      <alignment horizontal="center" vertical="center"/>
    </xf>
    <xf numFmtId="0" fontId="0" fillId="18" borderId="8" xfId="0" applyFill="1" applyBorder="1" applyAlignment="1">
      <alignment horizontal="center" vertical="center"/>
    </xf>
    <xf numFmtId="0" fontId="0" fillId="18" borderId="24" xfId="0" applyFill="1" applyBorder="1" applyAlignment="1">
      <alignment horizontal="center" vertical="center"/>
    </xf>
    <xf numFmtId="0" fontId="0" fillId="18" borderId="29" xfId="0" applyFill="1" applyBorder="1" applyAlignment="1">
      <alignment horizontal="center" vertical="center"/>
    </xf>
    <xf numFmtId="0" fontId="0" fillId="18" borderId="27" xfId="0" applyFill="1" applyBorder="1" applyAlignment="1">
      <alignment horizontal="center" vertical="center"/>
    </xf>
    <xf numFmtId="0" fontId="0" fillId="8" borderId="36" xfId="0" applyFill="1" applyBorder="1" applyAlignment="1">
      <alignment horizontal="center"/>
    </xf>
    <xf numFmtId="0" fontId="0" fillId="8" borderId="37" xfId="0" applyFill="1" applyBorder="1" applyAlignment="1">
      <alignment horizontal="center"/>
    </xf>
    <xf numFmtId="0" fontId="0" fillId="23" borderId="28" xfId="0" applyFill="1" applyBorder="1" applyAlignment="1">
      <alignment horizontal="center"/>
    </xf>
    <xf numFmtId="0" fontId="0" fillId="23" borderId="4" xfId="0" applyFill="1" applyBorder="1" applyAlignment="1">
      <alignment horizontal="center"/>
    </xf>
    <xf numFmtId="0" fontId="0" fillId="23" borderId="29" xfId="0" applyFill="1" applyBorder="1" applyAlignment="1">
      <alignment horizontal="center"/>
    </xf>
    <xf numFmtId="0" fontId="0" fillId="23" borderId="27" xfId="0" applyFill="1" applyBorder="1" applyAlignment="1">
      <alignment horizontal="center"/>
    </xf>
    <xf numFmtId="0" fontId="0" fillId="17" borderId="30" xfId="0" applyFill="1" applyBorder="1" applyAlignment="1">
      <alignment horizontal="center"/>
    </xf>
    <xf numFmtId="0" fontId="0" fillId="17" borderId="35" xfId="0" applyFill="1" applyBorder="1" applyAlignment="1">
      <alignment horizontal="center"/>
    </xf>
    <xf numFmtId="0" fontId="7" fillId="0" borderId="30" xfId="0" applyFont="1" applyBorder="1" applyAlignment="1">
      <alignment horizontal="center" vertical="center"/>
    </xf>
    <xf numFmtId="0" fontId="7" fillId="0" borderId="31" xfId="0" applyFont="1" applyBorder="1" applyAlignment="1">
      <alignment horizontal="center" vertical="center"/>
    </xf>
    <xf numFmtId="0" fontId="7" fillId="0" borderId="35" xfId="0" applyFont="1" applyBorder="1" applyAlignment="1">
      <alignment horizontal="center" vertical="center"/>
    </xf>
    <xf numFmtId="0" fontId="9" fillId="23" borderId="28" xfId="0" applyFont="1" applyFill="1" applyBorder="1" applyAlignment="1">
      <alignment horizontal="center" vertical="center"/>
    </xf>
    <xf numFmtId="0" fontId="0" fillId="23" borderId="4" xfId="0" applyFill="1" applyBorder="1" applyAlignment="1">
      <alignment horizontal="center" vertical="center"/>
    </xf>
    <xf numFmtId="0" fontId="0" fillId="23" borderId="29" xfId="0" applyFill="1" applyBorder="1" applyAlignment="1">
      <alignment horizontal="center" vertical="center"/>
    </xf>
    <xf numFmtId="0" fontId="0" fillId="23" borderId="27" xfId="0" applyFill="1" applyBorder="1" applyAlignment="1">
      <alignment horizontal="center" vertical="center"/>
    </xf>
    <xf numFmtId="0" fontId="3" fillId="23" borderId="1" xfId="0" applyFont="1" applyFill="1" applyBorder="1" applyAlignment="1">
      <alignment horizontal="center"/>
    </xf>
    <xf numFmtId="0" fontId="3" fillId="23" borderId="4" xfId="0" applyFont="1" applyFill="1" applyBorder="1" applyAlignment="1">
      <alignment horizontal="center"/>
    </xf>
    <xf numFmtId="0" fontId="3" fillId="23" borderId="24" xfId="0" applyFont="1" applyFill="1" applyBorder="1" applyAlignment="1">
      <alignment horizontal="center"/>
    </xf>
    <xf numFmtId="0" fontId="3" fillId="23" borderId="27" xfId="0" applyFont="1" applyFill="1"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29"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4" xfId="0" applyBorder="1" applyAlignment="1">
      <alignment horizontal="center"/>
    </xf>
    <xf numFmtId="0" fontId="0" fillId="9" borderId="30" xfId="0" applyFill="1" applyBorder="1" applyAlignment="1">
      <alignment horizontal="center" vertical="center"/>
    </xf>
    <xf numFmtId="0" fontId="0" fillId="9" borderId="35" xfId="0" applyFill="1" applyBorder="1" applyAlignment="1">
      <alignment horizontal="center" vertical="center"/>
    </xf>
    <xf numFmtId="0" fontId="2" fillId="0" borderId="36" xfId="0" applyFont="1" applyBorder="1" applyAlignment="1">
      <alignment horizontal="center"/>
    </xf>
    <xf numFmtId="0" fontId="2" fillId="0" borderId="37" xfId="0" applyFont="1" applyBorder="1" applyAlignment="1">
      <alignment horizontal="center"/>
    </xf>
    <xf numFmtId="0" fontId="9" fillId="8" borderId="38" xfId="0" applyFont="1" applyFill="1" applyBorder="1" applyAlignment="1">
      <alignment horizontal="center"/>
    </xf>
    <xf numFmtId="0" fontId="9" fillId="9" borderId="28" xfId="0" applyFont="1" applyFill="1" applyBorder="1" applyAlignment="1">
      <alignment horizontal="center" vertical="center"/>
    </xf>
    <xf numFmtId="0" fontId="9" fillId="9" borderId="29" xfId="0" applyFont="1" applyFill="1" applyBorder="1" applyAlignment="1">
      <alignment horizontal="center" vertical="center"/>
    </xf>
    <xf numFmtId="0" fontId="8" fillId="0" borderId="38" xfId="0" applyFont="1" applyBorder="1" applyAlignment="1">
      <alignment horizontal="center"/>
    </xf>
    <xf numFmtId="0" fontId="8" fillId="0" borderId="28" xfId="0" applyFont="1"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9" fillId="9" borderId="4" xfId="0" applyFont="1" applyFill="1" applyBorder="1" applyAlignment="1">
      <alignment horizontal="center" vertical="center"/>
    </xf>
    <xf numFmtId="0" fontId="9" fillId="9" borderId="27" xfId="0" applyFont="1" applyFill="1" applyBorder="1" applyAlignment="1">
      <alignment horizontal="center" vertical="center"/>
    </xf>
    <xf numFmtId="0" fontId="9" fillId="8" borderId="29" xfId="0" applyFont="1" applyFill="1" applyBorder="1" applyAlignment="1">
      <alignment horizontal="center"/>
    </xf>
    <xf numFmtId="0" fontId="7" fillId="0" borderId="5" xfId="0" applyFont="1" applyBorder="1" applyAlignment="1">
      <alignment horizontal="center" vertical="center"/>
    </xf>
    <xf numFmtId="1" fontId="0" fillId="8" borderId="36" xfId="0" applyNumberFormat="1" applyFill="1" applyBorder="1" applyAlignment="1">
      <alignment horizontal="center"/>
    </xf>
    <xf numFmtId="1" fontId="0" fillId="8" borderId="37" xfId="0" applyNumberFormat="1" applyFill="1" applyBorder="1" applyAlignment="1">
      <alignment horizontal="center"/>
    </xf>
    <xf numFmtId="0" fontId="0" fillId="9" borderId="1" xfId="0" applyFill="1" applyBorder="1" applyAlignment="1">
      <alignment horizontal="center" vertical="center"/>
    </xf>
    <xf numFmtId="0" fontId="0" fillId="9" borderId="4" xfId="0" applyFill="1" applyBorder="1" applyAlignment="1">
      <alignment horizontal="center" vertical="center"/>
    </xf>
    <xf numFmtId="0" fontId="0" fillId="9" borderId="24" xfId="0" applyFill="1" applyBorder="1" applyAlignment="1">
      <alignment horizontal="center" vertical="center"/>
    </xf>
    <xf numFmtId="0" fontId="0" fillId="9" borderId="27" xfId="0" applyFill="1" applyBorder="1" applyAlignment="1">
      <alignment horizontal="center" vertical="center"/>
    </xf>
    <xf numFmtId="0" fontId="0" fillId="9" borderId="5" xfId="0" applyFill="1" applyBorder="1" applyAlignment="1">
      <alignment horizontal="center" vertical="center"/>
    </xf>
    <xf numFmtId="0" fontId="0" fillId="9" borderId="8" xfId="0" applyFill="1" applyBorder="1" applyAlignment="1">
      <alignment horizontal="center" vertical="center"/>
    </xf>
    <xf numFmtId="0" fontId="3" fillId="23" borderId="1" xfId="0" applyFont="1" applyFill="1" applyBorder="1" applyAlignment="1">
      <alignment horizontal="center" vertical="center"/>
    </xf>
    <xf numFmtId="0" fontId="3" fillId="23" borderId="4" xfId="0" applyFont="1" applyFill="1" applyBorder="1" applyAlignment="1">
      <alignment horizontal="center" vertical="center"/>
    </xf>
    <xf numFmtId="0" fontId="3" fillId="23" borderId="24" xfId="0" applyFont="1" applyFill="1" applyBorder="1" applyAlignment="1">
      <alignment horizontal="center" vertical="center"/>
    </xf>
    <xf numFmtId="0" fontId="3" fillId="23" borderId="27" xfId="0" applyFont="1" applyFill="1" applyBorder="1" applyAlignment="1">
      <alignment horizontal="center" vertical="center"/>
    </xf>
    <xf numFmtId="0" fontId="0" fillId="9" borderId="0" xfId="0" applyFill="1" applyAlignment="1">
      <alignment horizontal="center" vertical="center"/>
    </xf>
    <xf numFmtId="0" fontId="0" fillId="9" borderId="29" xfId="0" applyFill="1" applyBorder="1" applyAlignment="1">
      <alignment horizontal="center" vertical="center"/>
    </xf>
    <xf numFmtId="0" fontId="0" fillId="9" borderId="28" xfId="0" applyFill="1" applyBorder="1" applyAlignment="1">
      <alignment horizontal="center" vertical="center"/>
    </xf>
    <xf numFmtId="0" fontId="9" fillId="18" borderId="28" xfId="0" applyFont="1" applyFill="1" applyBorder="1" applyAlignment="1">
      <alignment horizontal="center" vertical="center"/>
    </xf>
    <xf numFmtId="0" fontId="9" fillId="18" borderId="4" xfId="0" applyFont="1" applyFill="1" applyBorder="1" applyAlignment="1">
      <alignment horizontal="center" vertical="center"/>
    </xf>
    <xf numFmtId="0" fontId="9" fillId="18" borderId="29" xfId="0" applyFont="1" applyFill="1" applyBorder="1" applyAlignment="1">
      <alignment horizontal="center" vertical="center"/>
    </xf>
    <xf numFmtId="0" fontId="9" fillId="18" borderId="27" xfId="0" applyFont="1" applyFill="1" applyBorder="1" applyAlignment="1">
      <alignment horizontal="center" vertical="center"/>
    </xf>
    <xf numFmtId="0" fontId="0" fillId="18" borderId="30" xfId="0" applyFill="1" applyBorder="1" applyAlignment="1">
      <alignment horizontal="center" vertical="center"/>
    </xf>
    <xf numFmtId="0" fontId="0" fillId="18" borderId="35" xfId="0" applyFill="1" applyBorder="1" applyAlignment="1">
      <alignment horizontal="center" vertical="center"/>
    </xf>
    <xf numFmtId="0" fontId="0" fillId="18" borderId="1" xfId="0" applyFill="1" applyBorder="1" applyAlignment="1">
      <alignment horizontal="center" vertical="center"/>
    </xf>
    <xf numFmtId="0" fontId="0" fillId="18" borderId="28" xfId="0" applyFill="1" applyBorder="1" applyAlignment="1">
      <alignment horizontal="center" vertical="center"/>
    </xf>
    <xf numFmtId="0" fontId="0" fillId="18" borderId="4" xfId="0" applyFill="1" applyBorder="1" applyAlignment="1">
      <alignment horizontal="center" vertical="center"/>
    </xf>
    <xf numFmtId="0" fontId="3" fillId="17" borderId="30" xfId="0" applyFont="1" applyFill="1" applyBorder="1" applyAlignment="1">
      <alignment horizontal="center" vertical="center"/>
    </xf>
    <xf numFmtId="0" fontId="3" fillId="17" borderId="35" xfId="0" applyFont="1" applyFill="1" applyBorder="1" applyAlignment="1">
      <alignment horizontal="center" vertical="center"/>
    </xf>
    <xf numFmtId="0" fontId="0" fillId="24" borderId="31" xfId="0" applyFill="1" applyBorder="1" applyAlignment="1">
      <alignment horizontal="center"/>
    </xf>
    <xf numFmtId="0" fontId="0" fillId="24" borderId="35" xfId="0" applyFill="1" applyBorder="1" applyAlignment="1">
      <alignment horizontal="center"/>
    </xf>
    <xf numFmtId="0" fontId="7" fillId="15" borderId="1" xfId="0" applyFont="1" applyFill="1" applyBorder="1" applyAlignment="1">
      <alignment horizontal="center" vertical="center"/>
    </xf>
    <xf numFmtId="0" fontId="12" fillId="15" borderId="28" xfId="0" applyFont="1" applyFill="1" applyBorder="1" applyAlignment="1">
      <alignment horizontal="center" vertical="center"/>
    </xf>
    <xf numFmtId="0" fontId="12" fillId="15" borderId="4" xfId="0" applyFont="1" applyFill="1" applyBorder="1" applyAlignment="1">
      <alignment horizontal="center" vertical="center"/>
    </xf>
    <xf numFmtId="0" fontId="12" fillId="15" borderId="5" xfId="0" applyFont="1" applyFill="1" applyBorder="1" applyAlignment="1">
      <alignment horizontal="center" vertical="center"/>
    </xf>
    <xf numFmtId="0" fontId="12" fillId="15" borderId="0" xfId="0" applyFont="1" applyFill="1" applyAlignment="1">
      <alignment horizontal="center" vertical="center"/>
    </xf>
    <xf numFmtId="0" fontId="12" fillId="15" borderId="8" xfId="0" applyFont="1" applyFill="1" applyBorder="1" applyAlignment="1">
      <alignment horizontal="center" vertical="center"/>
    </xf>
    <xf numFmtId="0" fontId="12" fillId="15" borderId="24" xfId="0" applyFont="1" applyFill="1" applyBorder="1" applyAlignment="1">
      <alignment horizontal="center" vertical="center"/>
    </xf>
    <xf numFmtId="0" fontId="12" fillId="15" borderId="29" xfId="0" applyFont="1" applyFill="1" applyBorder="1" applyAlignment="1">
      <alignment horizontal="center" vertical="center"/>
    </xf>
    <xf numFmtId="0" fontId="12" fillId="15" borderId="27" xfId="0" applyFont="1" applyFill="1" applyBorder="1" applyAlignment="1">
      <alignment horizontal="center" vertical="center"/>
    </xf>
    <xf numFmtId="0" fontId="13" fillId="0" borderId="30" xfId="0" applyFont="1" applyBorder="1" applyAlignment="1">
      <alignment horizontal="center" vertical="center" wrapText="1"/>
    </xf>
    <xf numFmtId="0" fontId="0" fillId="0" borderId="31" xfId="0" applyBorder="1" applyAlignment="1">
      <alignment horizontal="center" vertical="center" wrapText="1"/>
    </xf>
    <xf numFmtId="0" fontId="0" fillId="0" borderId="35" xfId="0" applyBorder="1" applyAlignment="1">
      <alignment horizontal="center" vertical="center" wrapText="1"/>
    </xf>
    <xf numFmtId="0" fontId="7" fillId="9" borderId="1" xfId="0" applyFont="1" applyFill="1" applyBorder="1" applyAlignment="1">
      <alignment horizontal="center" vertical="center"/>
    </xf>
    <xf numFmtId="0" fontId="7" fillId="9" borderId="28"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5" xfId="0" applyFont="1" applyFill="1" applyBorder="1" applyAlignment="1">
      <alignment horizontal="center" vertical="center"/>
    </xf>
    <xf numFmtId="0" fontId="7" fillId="9" borderId="0" xfId="0" applyFont="1" applyFill="1" applyAlignment="1">
      <alignment horizontal="center" vertical="center"/>
    </xf>
    <xf numFmtId="0" fontId="7" fillId="9" borderId="8" xfId="0" applyFont="1" applyFill="1" applyBorder="1" applyAlignment="1">
      <alignment horizontal="center" vertical="center"/>
    </xf>
    <xf numFmtId="0" fontId="7" fillId="9" borderId="24" xfId="0" applyFont="1" applyFill="1" applyBorder="1" applyAlignment="1">
      <alignment horizontal="center" vertical="center"/>
    </xf>
    <xf numFmtId="0" fontId="7" fillId="9" borderId="29" xfId="0" applyFont="1" applyFill="1" applyBorder="1" applyAlignment="1">
      <alignment horizontal="center" vertical="center"/>
    </xf>
    <xf numFmtId="0" fontId="7" fillId="9" borderId="27" xfId="0" applyFont="1" applyFill="1" applyBorder="1" applyAlignment="1">
      <alignment horizontal="center" vertical="center"/>
    </xf>
    <xf numFmtId="0" fontId="0" fillId="0" borderId="1" xfId="0" applyBorder="1" applyAlignment="1">
      <alignment horizontal="center"/>
    </xf>
    <xf numFmtId="0" fontId="0" fillId="0" borderId="5" xfId="0" applyBorder="1" applyAlignment="1">
      <alignment horizontal="center"/>
    </xf>
    <xf numFmtId="0" fontId="0" fillId="0" borderId="24" xfId="0" applyBorder="1" applyAlignment="1">
      <alignment horizontal="center"/>
    </xf>
    <xf numFmtId="0" fontId="7" fillId="19" borderId="1" xfId="0" applyFont="1" applyFill="1" applyBorder="1" applyAlignment="1">
      <alignment horizontal="center" vertical="center"/>
    </xf>
    <xf numFmtId="0" fontId="7" fillId="19" borderId="28" xfId="0" applyFont="1" applyFill="1" applyBorder="1" applyAlignment="1">
      <alignment horizontal="center" vertical="center"/>
    </xf>
    <xf numFmtId="0" fontId="7" fillId="19" borderId="4" xfId="0" applyFont="1" applyFill="1" applyBorder="1" applyAlignment="1">
      <alignment horizontal="center" vertical="center"/>
    </xf>
    <xf numFmtId="0" fontId="7" fillId="19" borderId="5" xfId="0" applyFont="1" applyFill="1" applyBorder="1" applyAlignment="1">
      <alignment horizontal="center" vertical="center"/>
    </xf>
    <xf numFmtId="0" fontId="7" fillId="19" borderId="0" xfId="0" applyFont="1" applyFill="1" applyAlignment="1">
      <alignment horizontal="center" vertical="center"/>
    </xf>
    <xf numFmtId="0" fontId="7" fillId="19" borderId="8" xfId="0" applyFont="1" applyFill="1" applyBorder="1" applyAlignment="1">
      <alignment horizontal="center" vertical="center"/>
    </xf>
    <xf numFmtId="0" fontId="7" fillId="19" borderId="24" xfId="0" applyFont="1" applyFill="1" applyBorder="1" applyAlignment="1">
      <alignment horizontal="center" vertical="center"/>
    </xf>
    <xf numFmtId="0" fontId="7" fillId="19" borderId="29" xfId="0" applyFont="1" applyFill="1" applyBorder="1" applyAlignment="1">
      <alignment horizontal="center" vertical="center"/>
    </xf>
    <xf numFmtId="0" fontId="7" fillId="19" borderId="27" xfId="0" applyFont="1" applyFill="1" applyBorder="1" applyAlignment="1">
      <alignment horizontal="center" vertical="center"/>
    </xf>
    <xf numFmtId="0" fontId="8" fillId="19" borderId="1" xfId="0" applyFont="1" applyFill="1" applyBorder="1" applyAlignment="1">
      <alignment horizontal="center" vertical="center"/>
    </xf>
    <xf numFmtId="0" fontId="0" fillId="19" borderId="28" xfId="0" applyFill="1" applyBorder="1" applyAlignment="1">
      <alignment horizontal="center" vertical="center"/>
    </xf>
    <xf numFmtId="0" fontId="0" fillId="19" borderId="4" xfId="0" applyFill="1" applyBorder="1" applyAlignment="1">
      <alignment horizontal="center" vertical="center"/>
    </xf>
    <xf numFmtId="0" fontId="0" fillId="19" borderId="5" xfId="0" applyFill="1" applyBorder="1" applyAlignment="1">
      <alignment horizontal="center" vertical="center"/>
    </xf>
    <xf numFmtId="0" fontId="0" fillId="19" borderId="0" xfId="0" applyFill="1" applyAlignment="1">
      <alignment horizontal="center" vertical="center"/>
    </xf>
    <xf numFmtId="0" fontId="0" fillId="19" borderId="8" xfId="0" applyFill="1" applyBorder="1" applyAlignment="1">
      <alignment horizontal="center" vertical="center"/>
    </xf>
    <xf numFmtId="0" fontId="0" fillId="19" borderId="24" xfId="0" applyFill="1" applyBorder="1" applyAlignment="1">
      <alignment horizontal="center" vertical="center"/>
    </xf>
    <xf numFmtId="0" fontId="0" fillId="19" borderId="29" xfId="0" applyFill="1" applyBorder="1" applyAlignment="1">
      <alignment horizontal="center" vertical="center"/>
    </xf>
    <xf numFmtId="0" fontId="0" fillId="19" borderId="27" xfId="0" applyFill="1" applyBorder="1" applyAlignment="1">
      <alignment horizontal="center" vertical="center"/>
    </xf>
    <xf numFmtId="0" fontId="14" fillId="16" borderId="1" xfId="0" applyFont="1" applyFill="1" applyBorder="1" applyAlignment="1">
      <alignment horizontal="center" vertical="center"/>
    </xf>
    <xf numFmtId="0" fontId="8" fillId="16" borderId="28" xfId="0" applyFont="1" applyFill="1" applyBorder="1" applyAlignment="1">
      <alignment horizontal="center" vertical="center"/>
    </xf>
    <xf numFmtId="0" fontId="8" fillId="16" borderId="4" xfId="0" applyFont="1" applyFill="1" applyBorder="1" applyAlignment="1">
      <alignment horizontal="center" vertical="center"/>
    </xf>
    <xf numFmtId="0" fontId="8" fillId="16" borderId="5" xfId="0" applyFont="1" applyFill="1" applyBorder="1" applyAlignment="1">
      <alignment horizontal="center" vertical="center"/>
    </xf>
    <xf numFmtId="0" fontId="8" fillId="16" borderId="0" xfId="0" applyFont="1" applyFill="1" applyAlignment="1">
      <alignment horizontal="center" vertical="center"/>
    </xf>
    <xf numFmtId="0" fontId="8" fillId="16" borderId="8" xfId="0" applyFont="1" applyFill="1" applyBorder="1" applyAlignment="1">
      <alignment horizontal="center" vertical="center"/>
    </xf>
    <xf numFmtId="0" fontId="8" fillId="16" borderId="24" xfId="0" applyFont="1" applyFill="1" applyBorder="1" applyAlignment="1">
      <alignment horizontal="center" vertical="center"/>
    </xf>
    <xf numFmtId="0" fontId="8" fillId="16" borderId="29" xfId="0" applyFont="1" applyFill="1" applyBorder="1" applyAlignment="1">
      <alignment horizontal="center" vertical="center"/>
    </xf>
    <xf numFmtId="0" fontId="8" fillId="16" borderId="27" xfId="0" applyFont="1" applyFill="1" applyBorder="1" applyAlignment="1">
      <alignment horizontal="center" vertical="center"/>
    </xf>
    <xf numFmtId="0" fontId="7" fillId="8" borderId="1" xfId="0" applyFont="1" applyFill="1" applyBorder="1" applyAlignment="1">
      <alignment horizontal="center" vertical="center"/>
    </xf>
    <xf numFmtId="0" fontId="7" fillId="8" borderId="28"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0" xfId="0" applyFont="1" applyFill="1" applyAlignment="1">
      <alignment horizontal="center" vertical="center"/>
    </xf>
    <xf numFmtId="0" fontId="7" fillId="8" borderId="8" xfId="0" applyFont="1" applyFill="1" applyBorder="1" applyAlignment="1">
      <alignment horizontal="center" vertical="center"/>
    </xf>
    <xf numFmtId="0" fontId="7" fillId="8" borderId="24" xfId="0" applyFont="1" applyFill="1" applyBorder="1" applyAlignment="1">
      <alignment horizontal="center" vertical="center"/>
    </xf>
    <xf numFmtId="0" fontId="7" fillId="8" borderId="29" xfId="0" applyFont="1" applyFill="1" applyBorder="1" applyAlignment="1">
      <alignment horizontal="center" vertical="center"/>
    </xf>
    <xf numFmtId="0" fontId="7" fillId="8" borderId="27" xfId="0" applyFont="1" applyFill="1" applyBorder="1" applyAlignment="1">
      <alignment horizontal="center" vertical="center"/>
    </xf>
    <xf numFmtId="0" fontId="7" fillId="7" borderId="1" xfId="0" applyFont="1" applyFill="1" applyBorder="1" applyAlignment="1">
      <alignment horizontal="center" vertical="center"/>
    </xf>
    <xf numFmtId="0" fontId="7" fillId="7" borderId="28" xfId="0" applyFont="1" applyFill="1" applyBorder="1" applyAlignment="1">
      <alignment horizontal="center" vertical="center"/>
    </xf>
    <xf numFmtId="0" fontId="7" fillId="7" borderId="4"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0" xfId="0" applyFont="1" applyFill="1" applyAlignment="1">
      <alignment horizontal="center" vertical="center"/>
    </xf>
    <xf numFmtId="0" fontId="7" fillId="7" borderId="8" xfId="0" applyFont="1" applyFill="1" applyBorder="1" applyAlignment="1">
      <alignment horizontal="center" vertical="center"/>
    </xf>
    <xf numFmtId="0" fontId="7" fillId="7" borderId="24"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27" xfId="0" applyFont="1" applyFill="1" applyBorder="1" applyAlignment="1">
      <alignment horizontal="center" vertical="center"/>
    </xf>
    <xf numFmtId="0" fontId="0" fillId="0" borderId="1"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24" xfId="0" applyBorder="1" applyAlignment="1">
      <alignment horizontal="center" vertical="center"/>
    </xf>
    <xf numFmtId="0" fontId="0" fillId="0" borderId="27" xfId="0" applyBorder="1" applyAlignment="1">
      <alignment horizontal="center" vertical="center"/>
    </xf>
    <xf numFmtId="0" fontId="12" fillId="20" borderId="1" xfId="0" applyFont="1" applyFill="1" applyBorder="1" applyAlignment="1">
      <alignment horizontal="center" vertical="center" wrapText="1"/>
    </xf>
    <xf numFmtId="0" fontId="12" fillId="20" borderId="28" xfId="0" applyFont="1" applyFill="1" applyBorder="1" applyAlignment="1">
      <alignment horizontal="center" vertical="center" wrapText="1"/>
    </xf>
    <xf numFmtId="0" fontId="12"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2" fillId="20" borderId="0" xfId="0" applyFont="1" applyFill="1" applyAlignment="1">
      <alignment horizontal="center" vertical="center" wrapText="1"/>
    </xf>
    <xf numFmtId="0" fontId="12" fillId="20" borderId="8" xfId="0" applyFont="1" applyFill="1" applyBorder="1" applyAlignment="1">
      <alignment horizontal="center" vertical="center" wrapText="1"/>
    </xf>
    <xf numFmtId="0" fontId="12" fillId="20" borderId="24" xfId="0" applyFont="1" applyFill="1" applyBorder="1" applyAlignment="1">
      <alignment horizontal="center" vertical="center" wrapText="1"/>
    </xf>
    <xf numFmtId="0" fontId="12" fillId="20" borderId="29" xfId="0" applyFont="1" applyFill="1" applyBorder="1" applyAlignment="1">
      <alignment horizontal="center" vertical="center" wrapText="1"/>
    </xf>
    <xf numFmtId="0" fontId="12" fillId="20" borderId="27" xfId="0" applyFont="1" applyFill="1" applyBorder="1" applyAlignment="1">
      <alignment horizontal="center" vertical="center" wrapText="1"/>
    </xf>
    <xf numFmtId="0" fontId="7" fillId="17" borderId="1" xfId="0" applyFont="1" applyFill="1" applyBorder="1" applyAlignment="1">
      <alignment horizontal="center" vertical="center"/>
    </xf>
    <xf numFmtId="0" fontId="7" fillId="17" borderId="28" xfId="0" applyFont="1" applyFill="1" applyBorder="1" applyAlignment="1">
      <alignment horizontal="center" vertical="center"/>
    </xf>
    <xf numFmtId="0" fontId="7" fillId="17" borderId="4" xfId="0" applyFont="1" applyFill="1" applyBorder="1" applyAlignment="1">
      <alignment horizontal="center" vertical="center"/>
    </xf>
    <xf numFmtId="0" fontId="7" fillId="17" borderId="5" xfId="0" applyFont="1" applyFill="1" applyBorder="1" applyAlignment="1">
      <alignment horizontal="center" vertical="center"/>
    </xf>
    <xf numFmtId="0" fontId="7" fillId="17" borderId="0" xfId="0" applyFont="1" applyFill="1" applyAlignment="1">
      <alignment horizontal="center" vertical="center"/>
    </xf>
    <xf numFmtId="0" fontId="7" fillId="17" borderId="8" xfId="0" applyFont="1" applyFill="1" applyBorder="1" applyAlignment="1">
      <alignment horizontal="center" vertical="center"/>
    </xf>
    <xf numFmtId="0" fontId="7" fillId="17" borderId="24" xfId="0" applyFont="1" applyFill="1" applyBorder="1" applyAlignment="1">
      <alignment horizontal="center" vertical="center"/>
    </xf>
    <xf numFmtId="0" fontId="7" fillId="17" borderId="29" xfId="0" applyFont="1" applyFill="1" applyBorder="1" applyAlignment="1">
      <alignment horizontal="center" vertical="center"/>
    </xf>
    <xf numFmtId="0" fontId="7" fillId="17" borderId="27" xfId="0" applyFont="1" applyFill="1" applyBorder="1" applyAlignment="1">
      <alignment horizontal="center" vertical="center"/>
    </xf>
    <xf numFmtId="0" fontId="0" fillId="7" borderId="28" xfId="0" applyFill="1" applyBorder="1" applyAlignment="1">
      <alignment horizontal="center" vertical="center"/>
    </xf>
    <xf numFmtId="0" fontId="0" fillId="7" borderId="4" xfId="0" applyFill="1" applyBorder="1" applyAlignment="1">
      <alignment horizontal="center" vertical="center"/>
    </xf>
    <xf numFmtId="0" fontId="0" fillId="7" borderId="5" xfId="0" applyFill="1" applyBorder="1" applyAlignment="1">
      <alignment horizontal="center" vertical="center"/>
    </xf>
    <xf numFmtId="0" fontId="0" fillId="7" borderId="0" xfId="0" applyFill="1" applyAlignment="1">
      <alignment horizontal="center" vertical="center"/>
    </xf>
    <xf numFmtId="0" fontId="0" fillId="7" borderId="8" xfId="0" applyFill="1" applyBorder="1" applyAlignment="1">
      <alignment horizontal="center" vertical="center"/>
    </xf>
    <xf numFmtId="0" fontId="0" fillId="7" borderId="24" xfId="0" applyFill="1" applyBorder="1" applyAlignment="1">
      <alignment horizontal="center" vertical="center"/>
    </xf>
    <xf numFmtId="0" fontId="0" fillId="7" borderId="29" xfId="0" applyFill="1" applyBorder="1" applyAlignment="1">
      <alignment horizontal="center" vertical="center"/>
    </xf>
    <xf numFmtId="0" fontId="0" fillId="7" borderId="27" xfId="0" applyFill="1" applyBorder="1" applyAlignment="1">
      <alignment horizontal="center" vertical="center"/>
    </xf>
    <xf numFmtId="0" fontId="0" fillId="0" borderId="28" xfId="0" applyBorder="1" applyAlignment="1">
      <alignment horizontal="center" vertical="center"/>
    </xf>
    <xf numFmtId="0" fontId="0" fillId="0" borderId="0" xfId="0" applyAlignment="1">
      <alignment horizontal="center" vertical="center"/>
    </xf>
    <xf numFmtId="0" fontId="0" fillId="0" borderId="29" xfId="0" applyBorder="1" applyAlignment="1">
      <alignment horizontal="center" vertical="center"/>
    </xf>
    <xf numFmtId="0" fontId="6" fillId="0" borderId="30" xfId="0" applyFont="1" applyBorder="1" applyAlignment="1">
      <alignment horizontal="center" vertical="center"/>
    </xf>
    <xf numFmtId="0" fontId="6" fillId="0" borderId="31" xfId="0" applyFont="1" applyBorder="1" applyAlignment="1">
      <alignment horizontal="center" vertical="center"/>
    </xf>
    <xf numFmtId="0" fontId="6" fillId="0" borderId="35" xfId="0" applyFont="1" applyBorder="1" applyAlignment="1">
      <alignment horizontal="center" vertical="center"/>
    </xf>
    <xf numFmtId="0" fontId="10" fillId="0" borderId="30" xfId="0" applyFont="1" applyBorder="1" applyAlignment="1">
      <alignment horizontal="center" vertical="center" wrapText="1"/>
    </xf>
    <xf numFmtId="0" fontId="10" fillId="0" borderId="31" xfId="0" applyFont="1" applyBorder="1" applyAlignment="1">
      <alignment horizontal="center" vertical="center" wrapText="1"/>
    </xf>
    <xf numFmtId="0" fontId="10" fillId="0" borderId="35" xfId="0" applyFont="1" applyBorder="1" applyAlignment="1">
      <alignment horizontal="center" vertical="center" wrapText="1"/>
    </xf>
    <xf numFmtId="0" fontId="9" fillId="0" borderId="36" xfId="0" applyFont="1" applyBorder="1" applyAlignment="1">
      <alignment horizontal="center" vertical="center"/>
    </xf>
    <xf numFmtId="0" fontId="0" fillId="0" borderId="38" xfId="0" applyBorder="1" applyAlignment="1">
      <alignment horizontal="center" vertical="center"/>
    </xf>
    <xf numFmtId="0" fontId="0" fillId="0" borderId="37" xfId="0" applyBorder="1" applyAlignment="1">
      <alignment horizontal="center" vertical="center"/>
    </xf>
    <xf numFmtId="0" fontId="15" fillId="23" borderId="1" xfId="0" applyFont="1" applyFill="1" applyBorder="1" applyAlignment="1">
      <alignment horizontal="center" vertical="center"/>
    </xf>
    <xf numFmtId="0" fontId="15" fillId="23" borderId="28" xfId="0" applyFont="1" applyFill="1" applyBorder="1" applyAlignment="1">
      <alignment horizontal="center" vertical="center"/>
    </xf>
    <xf numFmtId="0" fontId="15" fillId="23" borderId="4" xfId="0" applyFont="1" applyFill="1" applyBorder="1" applyAlignment="1">
      <alignment horizontal="center" vertical="center"/>
    </xf>
    <xf numFmtId="0" fontId="15" fillId="23" borderId="5" xfId="0" applyFont="1" applyFill="1" applyBorder="1" applyAlignment="1">
      <alignment horizontal="center" vertical="center"/>
    </xf>
    <xf numFmtId="0" fontId="15" fillId="23" borderId="0" xfId="0" applyFont="1" applyFill="1" applyAlignment="1">
      <alignment horizontal="center" vertical="center"/>
    </xf>
    <xf numFmtId="0" fontId="15" fillId="23" borderId="8" xfId="0" applyFont="1" applyFill="1" applyBorder="1" applyAlignment="1">
      <alignment horizontal="center" vertical="center"/>
    </xf>
    <xf numFmtId="0" fontId="15" fillId="23" borderId="24" xfId="0" applyFont="1" applyFill="1" applyBorder="1" applyAlignment="1">
      <alignment horizontal="center" vertical="center"/>
    </xf>
    <xf numFmtId="0" fontId="15" fillId="23" borderId="29" xfId="0" applyFont="1" applyFill="1" applyBorder="1" applyAlignment="1">
      <alignment horizontal="center" vertical="center"/>
    </xf>
    <xf numFmtId="0" fontId="15" fillId="23" borderId="27" xfId="0" applyFont="1" applyFill="1" applyBorder="1" applyAlignment="1">
      <alignment horizontal="center" vertical="center"/>
    </xf>
    <xf numFmtId="0" fontId="15" fillId="0" borderId="1" xfId="0" applyFont="1" applyBorder="1" applyAlignment="1">
      <alignment horizontal="center" vertical="center"/>
    </xf>
    <xf numFmtId="0" fontId="15" fillId="0" borderId="28" xfId="0" applyFont="1" applyBorder="1" applyAlignment="1">
      <alignment horizontal="center" vertical="center"/>
    </xf>
    <xf numFmtId="0" fontId="15" fillId="0" borderId="4" xfId="0" applyFont="1" applyBorder="1" applyAlignment="1">
      <alignment horizontal="center" vertical="center"/>
    </xf>
    <xf numFmtId="0" fontId="15" fillId="0" borderId="5" xfId="0" applyFont="1" applyBorder="1" applyAlignment="1">
      <alignment horizontal="center" vertical="center"/>
    </xf>
    <xf numFmtId="0" fontId="15" fillId="0" borderId="0" xfId="0" applyFont="1" applyAlignment="1">
      <alignment horizontal="center" vertical="center"/>
    </xf>
    <xf numFmtId="0" fontId="15" fillId="0" borderId="8" xfId="0" applyFont="1" applyBorder="1" applyAlignment="1">
      <alignment horizontal="center" vertical="center"/>
    </xf>
    <xf numFmtId="0" fontId="15" fillId="0" borderId="24" xfId="0" applyFont="1" applyBorder="1" applyAlignment="1">
      <alignment horizontal="center" vertical="center"/>
    </xf>
    <xf numFmtId="0" fontId="15" fillId="0" borderId="29" xfId="0" applyFont="1" applyBorder="1" applyAlignment="1">
      <alignment horizontal="center" vertical="center"/>
    </xf>
    <xf numFmtId="0" fontId="15" fillId="0" borderId="27" xfId="0" applyFont="1" applyBorder="1" applyAlignment="1">
      <alignment horizontal="center" vertical="center"/>
    </xf>
    <xf numFmtId="0" fontId="17" fillId="23" borderId="1" xfId="0" applyFont="1" applyFill="1" applyBorder="1" applyAlignment="1">
      <alignment horizontal="center" vertical="center"/>
    </xf>
    <xf numFmtId="0" fontId="17" fillId="23" borderId="28" xfId="0" applyFont="1" applyFill="1" applyBorder="1" applyAlignment="1">
      <alignment horizontal="center" vertical="center"/>
    </xf>
    <xf numFmtId="0" fontId="17" fillId="23" borderId="4" xfId="0" applyFont="1" applyFill="1" applyBorder="1" applyAlignment="1">
      <alignment horizontal="center" vertical="center"/>
    </xf>
    <xf numFmtId="0" fontId="17" fillId="23" borderId="24" xfId="0" applyFont="1" applyFill="1" applyBorder="1" applyAlignment="1">
      <alignment horizontal="center" vertical="center"/>
    </xf>
    <xf numFmtId="0" fontId="17" fillId="23" borderId="29" xfId="0" applyFont="1" applyFill="1" applyBorder="1" applyAlignment="1">
      <alignment horizontal="center" vertical="center"/>
    </xf>
    <xf numFmtId="0" fontId="17" fillId="23" borderId="27" xfId="0" applyFont="1" applyFill="1" applyBorder="1" applyAlignment="1">
      <alignment horizontal="center" vertical="center"/>
    </xf>
    <xf numFmtId="0" fontId="0" fillId="8" borderId="5" xfId="0" applyFill="1" applyBorder="1" applyAlignment="1">
      <alignment horizontal="center"/>
    </xf>
    <xf numFmtId="0" fontId="0" fillId="8" borderId="8" xfId="0" applyFill="1" applyBorder="1" applyAlignment="1">
      <alignment horizontal="center"/>
    </xf>
    <xf numFmtId="0" fontId="0" fillId="9" borderId="5" xfId="0" applyFill="1" applyBorder="1" applyAlignment="1">
      <alignment horizontal="center"/>
    </xf>
    <xf numFmtId="0" fontId="0" fillId="9" borderId="8" xfId="0" applyFill="1" applyBorder="1" applyAlignment="1">
      <alignment horizontal="center"/>
    </xf>
  </cellXfs>
  <cellStyles count="1">
    <cellStyle name="Normal" xfId="0" builtinId="0"/>
  </cellStyles>
  <dxfs count="5">
    <dxf>
      <font>
        <b/>
        <i val="0"/>
      </font>
      <fill>
        <patternFill>
          <bgColor rgb="FFFFC000"/>
        </patternFill>
      </fill>
    </dxf>
    <dxf>
      <font>
        <b/>
        <i val="0"/>
      </font>
    </dxf>
    <dxf>
      <fill>
        <patternFill>
          <bgColor rgb="FFFFC000"/>
        </patternFill>
      </fill>
    </dxf>
    <dxf>
      <fill>
        <patternFill>
          <bgColor rgb="FFFFC000"/>
        </patternFill>
      </fill>
    </dxf>
    <dxf>
      <font>
        <b/>
        <i val="0"/>
      </font>
      <fill>
        <patternFill>
          <bgColor rgb="FFFFC000"/>
        </patternFill>
      </fill>
    </dxf>
  </dxfs>
  <tableStyles count="0" defaultTableStyle="TableStyleMedium2" defaultPivotStyle="PivotStyleLight16"/>
  <colors>
    <mruColors>
      <color rgb="FF00FFFF"/>
      <color rgb="FF996600"/>
      <color rgb="FFDDDDDD"/>
      <color rgb="FF9999FF"/>
      <color rgb="FF996633"/>
      <color rgb="FFE2E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14</xdr:row>
          <xdr:rowOff>19050</xdr:rowOff>
        </xdr:from>
        <xdr:to>
          <xdr:col>14</xdr:col>
          <xdr:colOff>733425</xdr:colOff>
          <xdr:row>18</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Clear Discord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14</xdr:row>
          <xdr:rowOff>28575</xdr:rowOff>
        </xdr:from>
        <xdr:to>
          <xdr:col>16</xdr:col>
          <xdr:colOff>733425</xdr:colOff>
          <xdr:row>18</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Clear Players' name and Maps' name</a:t>
              </a:r>
            </a:p>
          </xdr:txBody>
        </xdr:sp>
        <xdr:clientData fPrintsWithSheet="0"/>
      </xdr:twoCellAnchor>
    </mc:Choice>
    <mc:Fallback/>
  </mc:AlternateContent>
  <xdr:twoCellAnchor>
    <xdr:from>
      <xdr:col>1</xdr:col>
      <xdr:colOff>9525</xdr:colOff>
      <xdr:row>6</xdr:row>
      <xdr:rowOff>19050</xdr:rowOff>
    </xdr:from>
    <xdr:to>
      <xdr:col>3</xdr:col>
      <xdr:colOff>761999</xdr:colOff>
      <xdr:row>19</xdr:row>
      <xdr:rowOff>0</xdr:rowOff>
    </xdr:to>
    <xdr:sp macro="" textlink="">
      <xdr:nvSpPr>
        <xdr:cNvPr id="10" name="Légende : flèche vers la droite 9">
          <a:extLst>
            <a:ext uri="{FF2B5EF4-FFF2-40B4-BE49-F238E27FC236}">
              <a16:creationId xmlns:a16="http://schemas.microsoft.com/office/drawing/2014/main" id="{03D14AC7-E79F-6800-E297-788FCD2F50B3}"/>
            </a:ext>
          </a:extLst>
        </xdr:cNvPr>
        <xdr:cNvSpPr/>
      </xdr:nvSpPr>
      <xdr:spPr>
        <a:xfrm>
          <a:off x="1562100" y="1876425"/>
          <a:ext cx="2266949" cy="2486025"/>
        </a:xfrm>
        <a:prstGeom prst="rightArrow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800" b="0" i="0" u="none" strike="noStrike">
              <a:solidFill>
                <a:sysClr val="windowText" lastClr="000000"/>
              </a:solidFill>
              <a:effectLst/>
              <a:latin typeface="+mn-lt"/>
              <a:ea typeface="+mn-ea"/>
              <a:cs typeface="+mn-cs"/>
            </a:rPr>
            <a:t>Double-click in the box and paste the players’ names in the required format:</a:t>
          </a:r>
          <a:endParaRPr lang="fr-FR" sz="1800">
            <a:solidFill>
              <a:sysClr val="windowText" lastClr="000000"/>
            </a:solidFill>
          </a:endParaRPr>
        </a:p>
      </xdr:txBody>
    </xdr:sp>
    <xdr:clientData/>
  </xdr:twoCellAnchor>
  <xdr:twoCellAnchor>
    <xdr:from>
      <xdr:col>6</xdr:col>
      <xdr:colOff>38100</xdr:colOff>
      <xdr:row>6</xdr:row>
      <xdr:rowOff>19050</xdr:rowOff>
    </xdr:from>
    <xdr:to>
      <xdr:col>9</xdr:col>
      <xdr:colOff>9525</xdr:colOff>
      <xdr:row>19</xdr:row>
      <xdr:rowOff>19051</xdr:rowOff>
    </xdr:to>
    <xdr:sp macro="" textlink="">
      <xdr:nvSpPr>
        <xdr:cNvPr id="19" name="Légende : flèche vers la droite 18">
          <a:extLst>
            <a:ext uri="{FF2B5EF4-FFF2-40B4-BE49-F238E27FC236}">
              <a16:creationId xmlns:a16="http://schemas.microsoft.com/office/drawing/2014/main" id="{44B144CE-AAD0-4194-BD12-6B1E277E873A}"/>
            </a:ext>
          </a:extLst>
        </xdr:cNvPr>
        <xdr:cNvSpPr/>
      </xdr:nvSpPr>
      <xdr:spPr>
        <a:xfrm>
          <a:off x="9496425" y="1876425"/>
          <a:ext cx="2419350" cy="2505076"/>
        </a:xfrm>
        <a:prstGeom prst="righ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0">
              <a:solidFill>
                <a:sysClr val="windowText" lastClr="000000"/>
              </a:solidFill>
            </a:rPr>
            <a:t>Import players</a:t>
          </a:r>
          <a:r>
            <a:rPr lang="fr-FR" sz="1800" b="0" baseline="0">
              <a:solidFill>
                <a:sysClr val="windowText" lastClr="000000"/>
              </a:solidFill>
            </a:rPr>
            <a:t> in database :</a:t>
          </a:r>
          <a:endParaRPr lang="fr-FR" sz="1800" b="0"/>
        </a:p>
      </xdr:txBody>
    </xdr:sp>
    <xdr:clientData/>
  </xdr:twoCellAnchor>
  <mc:AlternateContent xmlns:mc="http://schemas.openxmlformats.org/markup-compatibility/2006">
    <mc:Choice xmlns:a14="http://schemas.microsoft.com/office/drawing/2010/main" Requires="a14">
      <xdr:twoCellAnchor>
        <xdr:from>
          <xdr:col>9</xdr:col>
          <xdr:colOff>19050</xdr:colOff>
          <xdr:row>6</xdr:row>
          <xdr:rowOff>28575</xdr:rowOff>
        </xdr:from>
        <xdr:to>
          <xdr:col>11</xdr:col>
          <xdr:colOff>704850</xdr:colOff>
          <xdr:row>18</xdr:row>
          <xdr:rowOff>180975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Import Players Name</a:t>
              </a:r>
            </a:p>
          </xdr:txBody>
        </xdr:sp>
        <xdr:clientData fPrintsWithSheet="0"/>
      </xdr:twoCellAnchor>
    </mc:Choice>
    <mc:Fallback/>
  </mc:AlternateContent>
  <xdr:twoCellAnchor>
    <xdr:from>
      <xdr:col>1</xdr:col>
      <xdr:colOff>9525</xdr:colOff>
      <xdr:row>24</xdr:row>
      <xdr:rowOff>28575</xdr:rowOff>
    </xdr:from>
    <xdr:to>
      <xdr:col>3</xdr:col>
      <xdr:colOff>761999</xdr:colOff>
      <xdr:row>37</xdr:row>
      <xdr:rowOff>19050</xdr:rowOff>
    </xdr:to>
    <xdr:sp macro="" textlink="">
      <xdr:nvSpPr>
        <xdr:cNvPr id="22" name="Légende : flèche vers la droite 21">
          <a:extLst>
            <a:ext uri="{FF2B5EF4-FFF2-40B4-BE49-F238E27FC236}">
              <a16:creationId xmlns:a16="http://schemas.microsoft.com/office/drawing/2014/main" id="{68D6D7E3-F973-49E8-9EA0-3C62522B5262}"/>
            </a:ext>
          </a:extLst>
        </xdr:cNvPr>
        <xdr:cNvSpPr/>
      </xdr:nvSpPr>
      <xdr:spPr>
        <a:xfrm>
          <a:off x="1562100" y="5353050"/>
          <a:ext cx="2266949" cy="2486025"/>
        </a:xfrm>
        <a:prstGeom prst="rightArrow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400" b="0" i="1" u="none" strike="noStrike">
              <a:solidFill>
                <a:sysClr val="windowText" lastClr="000000"/>
              </a:solidFill>
              <a:effectLst/>
              <a:latin typeface="+mn-lt"/>
              <a:ea typeface="+mn-ea"/>
              <a:cs typeface="+mn-cs"/>
            </a:rPr>
            <a:t>Exemple for FFA :</a:t>
          </a:r>
          <a:endParaRPr lang="fr-FR" sz="1400" i="1">
            <a:solidFill>
              <a:sysClr val="windowText" lastClr="000000"/>
            </a:solidFill>
          </a:endParaRPr>
        </a:p>
      </xdr:txBody>
    </xdr:sp>
    <xdr:clientData/>
  </xdr:twoCellAnchor>
  <xdr:twoCellAnchor>
    <xdr:from>
      <xdr:col>13</xdr:col>
      <xdr:colOff>9525</xdr:colOff>
      <xdr:row>6</xdr:row>
      <xdr:rowOff>9525</xdr:rowOff>
    </xdr:from>
    <xdr:to>
      <xdr:col>14</xdr:col>
      <xdr:colOff>752475</xdr:colOff>
      <xdr:row>13</xdr:row>
      <xdr:rowOff>171450</xdr:rowOff>
    </xdr:to>
    <xdr:sp macro="" textlink="">
      <xdr:nvSpPr>
        <xdr:cNvPr id="25" name="Légende : flèche vers le bas 24">
          <a:extLst>
            <a:ext uri="{FF2B5EF4-FFF2-40B4-BE49-F238E27FC236}">
              <a16:creationId xmlns:a16="http://schemas.microsoft.com/office/drawing/2014/main" id="{E463EC36-4E9E-0955-81C7-DEDA04252637}"/>
            </a:ext>
          </a:extLst>
        </xdr:cNvPr>
        <xdr:cNvSpPr/>
      </xdr:nvSpPr>
      <xdr:spPr>
        <a:xfrm>
          <a:off x="14963775" y="1866900"/>
          <a:ext cx="1504950" cy="1524000"/>
        </a:xfrm>
        <a:prstGeom prst="downArrow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ysClr val="windowText" lastClr="000000"/>
              </a:solidFill>
            </a:rPr>
            <a:t>Clear discord export :</a:t>
          </a:r>
        </a:p>
      </xdr:txBody>
    </xdr:sp>
    <xdr:clientData/>
  </xdr:twoCellAnchor>
  <xdr:twoCellAnchor>
    <xdr:from>
      <xdr:col>15</xdr:col>
      <xdr:colOff>9525</xdr:colOff>
      <xdr:row>6</xdr:row>
      <xdr:rowOff>9525</xdr:rowOff>
    </xdr:from>
    <xdr:to>
      <xdr:col>16</xdr:col>
      <xdr:colOff>752475</xdr:colOff>
      <xdr:row>13</xdr:row>
      <xdr:rowOff>171450</xdr:rowOff>
    </xdr:to>
    <xdr:sp macro="" textlink="">
      <xdr:nvSpPr>
        <xdr:cNvPr id="26" name="Légende : flèche vers le bas 25">
          <a:extLst>
            <a:ext uri="{FF2B5EF4-FFF2-40B4-BE49-F238E27FC236}">
              <a16:creationId xmlns:a16="http://schemas.microsoft.com/office/drawing/2014/main" id="{07176FEF-EB63-455D-A95A-B9EB57E31A1E}"/>
            </a:ext>
          </a:extLst>
        </xdr:cNvPr>
        <xdr:cNvSpPr/>
      </xdr:nvSpPr>
      <xdr:spPr>
        <a:xfrm>
          <a:off x="16487775" y="1866900"/>
          <a:ext cx="1504950" cy="1524000"/>
        </a:xfrm>
        <a:prstGeom prst="downArrow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800" b="0" i="0" u="none" strike="noStrike" kern="0" cap="none" spc="0" normalizeH="0" baseline="0" noProof="0">
              <a:ln>
                <a:noFill/>
              </a:ln>
              <a:solidFill>
                <a:sysClr val="windowText" lastClr="000000"/>
              </a:solidFill>
              <a:effectLst/>
              <a:uLnTx/>
              <a:uFillTx/>
              <a:latin typeface="+mn-lt"/>
              <a:ea typeface="+mn-ea"/>
              <a:cs typeface="+mn-cs"/>
            </a:rPr>
            <a:t>Clear Players' name and Maps' name :</a:t>
          </a:r>
        </a:p>
        <a:p>
          <a:pPr algn="ctr"/>
          <a:endParaRPr lang="fr-FR" sz="1100"/>
        </a:p>
      </xdr:txBody>
    </xdr:sp>
    <xdr:clientData/>
  </xdr:twoCellAnchor>
  <xdr:twoCellAnchor>
    <xdr:from>
      <xdr:col>17</xdr:col>
      <xdr:colOff>9525</xdr:colOff>
      <xdr:row>6</xdr:row>
      <xdr:rowOff>9525</xdr:rowOff>
    </xdr:from>
    <xdr:to>
      <xdr:col>18</xdr:col>
      <xdr:colOff>752475</xdr:colOff>
      <xdr:row>13</xdr:row>
      <xdr:rowOff>171450</xdr:rowOff>
    </xdr:to>
    <xdr:sp macro="" textlink="">
      <xdr:nvSpPr>
        <xdr:cNvPr id="27" name="Légende : flèche vers le bas 26">
          <a:extLst>
            <a:ext uri="{FF2B5EF4-FFF2-40B4-BE49-F238E27FC236}">
              <a16:creationId xmlns:a16="http://schemas.microsoft.com/office/drawing/2014/main" id="{A30FF429-CE14-44D1-BD4D-A5295124D811}"/>
            </a:ext>
          </a:extLst>
        </xdr:cNvPr>
        <xdr:cNvSpPr/>
      </xdr:nvSpPr>
      <xdr:spPr>
        <a:xfrm>
          <a:off x="18011775" y="1866900"/>
          <a:ext cx="1504950" cy="1524000"/>
        </a:xfrm>
        <a:prstGeom prst="downArrow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800" b="0" i="0" u="none" strike="noStrike" kern="0" cap="none" spc="0" normalizeH="0" baseline="0" noProof="0">
              <a:ln>
                <a:noFill/>
              </a:ln>
              <a:solidFill>
                <a:sysClr val="windowText" lastClr="000000"/>
              </a:solidFill>
              <a:effectLst/>
              <a:uLnTx/>
              <a:uFillTx/>
              <a:latin typeface="+mn-lt"/>
              <a:ea typeface="+mn-ea"/>
              <a:cs typeface="+mn-cs"/>
            </a:rPr>
            <a:t>Clear datascores :</a:t>
          </a:r>
        </a:p>
        <a:p>
          <a:pPr algn="ctr"/>
          <a:endParaRPr lang="fr-FR" sz="1100"/>
        </a:p>
      </xdr:txBody>
    </xdr:sp>
    <xdr:clientData/>
  </xdr:twoCellAnchor>
  <xdr:twoCellAnchor>
    <xdr:from>
      <xdr:col>13</xdr:col>
      <xdr:colOff>0</xdr:colOff>
      <xdr:row>24</xdr:row>
      <xdr:rowOff>0</xdr:rowOff>
    </xdr:from>
    <xdr:to>
      <xdr:col>19</xdr:col>
      <xdr:colOff>0</xdr:colOff>
      <xdr:row>32</xdr:row>
      <xdr:rowOff>0</xdr:rowOff>
    </xdr:to>
    <xdr:sp macro="" textlink="">
      <xdr:nvSpPr>
        <xdr:cNvPr id="30" name="Légende : flèche vers le bas 29">
          <a:extLst>
            <a:ext uri="{FF2B5EF4-FFF2-40B4-BE49-F238E27FC236}">
              <a16:creationId xmlns:a16="http://schemas.microsoft.com/office/drawing/2014/main" id="{1B0D2E54-8161-401B-B594-FC9414D64911}"/>
            </a:ext>
          </a:extLst>
        </xdr:cNvPr>
        <xdr:cNvSpPr/>
      </xdr:nvSpPr>
      <xdr:spPr>
        <a:xfrm>
          <a:off x="14954250" y="5324475"/>
          <a:ext cx="4572000" cy="1533525"/>
        </a:xfrm>
        <a:prstGeom prst="downArrow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solidFill>
                <a:sysClr val="windowText" lastClr="000000"/>
              </a:solidFill>
            </a:rPr>
            <a:t>Clear all data</a:t>
          </a:r>
        </a:p>
      </xdr:txBody>
    </xdr:sp>
    <xdr:clientData/>
  </xdr:twoCellAnchor>
  <mc:AlternateContent xmlns:mc="http://schemas.openxmlformats.org/markup-compatibility/2006">
    <mc:Choice xmlns:a14="http://schemas.microsoft.com/office/drawing/2010/main" Requires="a14">
      <xdr:twoCellAnchor>
        <xdr:from>
          <xdr:col>17</xdr:col>
          <xdr:colOff>38100</xdr:colOff>
          <xdr:row>14</xdr:row>
          <xdr:rowOff>19050</xdr:rowOff>
        </xdr:from>
        <xdr:to>
          <xdr:col>18</xdr:col>
          <xdr:colOff>733425</xdr:colOff>
          <xdr:row>18</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Clear Datascores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32</xdr:row>
          <xdr:rowOff>19050</xdr:rowOff>
        </xdr:from>
        <xdr:to>
          <xdr:col>18</xdr:col>
          <xdr:colOff>733425</xdr:colOff>
          <xdr:row>36</xdr:row>
          <xdr:rowOff>180975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Clear all datas.</a:t>
              </a:r>
            </a:p>
          </xdr:txBody>
        </xdr:sp>
        <xdr:clientData fPrintsWithSheet="0"/>
      </xdr:twoCellAnchor>
    </mc:Choice>
    <mc:Fallback/>
  </mc:AlternateContent>
  <xdr:twoCellAnchor>
    <xdr:from>
      <xdr:col>1</xdr:col>
      <xdr:colOff>28575</xdr:colOff>
      <xdr:row>38</xdr:row>
      <xdr:rowOff>19050</xdr:rowOff>
    </xdr:from>
    <xdr:to>
      <xdr:col>4</xdr:col>
      <xdr:colOff>19049</xdr:colOff>
      <xdr:row>51</xdr:row>
      <xdr:rowOff>19050</xdr:rowOff>
    </xdr:to>
    <xdr:sp macro="" textlink="">
      <xdr:nvSpPr>
        <xdr:cNvPr id="2" name="Légende : flèche vers la droite 1">
          <a:extLst>
            <a:ext uri="{FF2B5EF4-FFF2-40B4-BE49-F238E27FC236}">
              <a16:creationId xmlns:a16="http://schemas.microsoft.com/office/drawing/2014/main" id="{C06AAA60-5B90-45B2-9663-84E5772C5057}"/>
            </a:ext>
          </a:extLst>
        </xdr:cNvPr>
        <xdr:cNvSpPr/>
      </xdr:nvSpPr>
      <xdr:spPr>
        <a:xfrm>
          <a:off x="647700" y="7334250"/>
          <a:ext cx="2266949" cy="2486025"/>
        </a:xfrm>
        <a:prstGeom prst="rightArrow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400" b="0" i="1" u="none" strike="noStrike">
              <a:solidFill>
                <a:sysClr val="windowText" lastClr="000000"/>
              </a:solidFill>
              <a:effectLst/>
              <a:latin typeface="+mn-lt"/>
              <a:ea typeface="+mn-ea"/>
              <a:cs typeface="+mn-cs"/>
            </a:rPr>
            <a:t>Exemple for 2v2 :</a:t>
          </a:r>
          <a:endParaRPr lang="fr-FR" sz="1400" i="1">
            <a:solidFill>
              <a:sysClr val="windowText" lastClr="000000"/>
            </a:solidFill>
          </a:endParaRPr>
        </a:p>
      </xdr:txBody>
    </xdr:sp>
    <xdr:clientData/>
  </xdr:twoCellAnchor>
  <xdr:twoCellAnchor>
    <xdr:from>
      <xdr:col>6</xdr:col>
      <xdr:colOff>38100</xdr:colOff>
      <xdr:row>38</xdr:row>
      <xdr:rowOff>19050</xdr:rowOff>
    </xdr:from>
    <xdr:to>
      <xdr:col>9</xdr:col>
      <xdr:colOff>9525</xdr:colOff>
      <xdr:row>51</xdr:row>
      <xdr:rowOff>19051</xdr:rowOff>
    </xdr:to>
    <xdr:sp macro="" textlink="">
      <xdr:nvSpPr>
        <xdr:cNvPr id="3" name="Légende : flèche vers la droite 2">
          <a:extLst>
            <a:ext uri="{FF2B5EF4-FFF2-40B4-BE49-F238E27FC236}">
              <a16:creationId xmlns:a16="http://schemas.microsoft.com/office/drawing/2014/main" id="{6AA6B916-6174-47C6-A007-6057FFF4C778}"/>
            </a:ext>
          </a:extLst>
        </xdr:cNvPr>
        <xdr:cNvSpPr/>
      </xdr:nvSpPr>
      <xdr:spPr>
        <a:xfrm>
          <a:off x="8562975" y="4648200"/>
          <a:ext cx="2419350" cy="2495551"/>
        </a:xfrm>
        <a:prstGeom prst="rightArrow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a:solidFill>
                <a:sysClr val="windowText" lastClr="000000"/>
              </a:solidFill>
            </a:rPr>
            <a:t>To export player datascores' result, click this button.Then go to the Export page, copy and paste the content into the Discord server:</a:t>
          </a:r>
        </a:p>
      </xdr:txBody>
    </xdr:sp>
    <xdr:clientData/>
  </xdr:twoCellAnchor>
  <mc:AlternateContent xmlns:mc="http://schemas.openxmlformats.org/markup-compatibility/2006">
    <mc:Choice xmlns:a14="http://schemas.microsoft.com/office/drawing/2010/main" Requires="a14">
      <xdr:twoCellAnchor>
        <xdr:from>
          <xdr:col>9</xdr:col>
          <xdr:colOff>47625</xdr:colOff>
          <xdr:row>38</xdr:row>
          <xdr:rowOff>38100</xdr:rowOff>
        </xdr:from>
        <xdr:to>
          <xdr:col>11</xdr:col>
          <xdr:colOff>704850</xdr:colOff>
          <xdr:row>50</xdr:row>
          <xdr:rowOff>161925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Bouton 14</a:t>
              </a:r>
            </a:p>
          </xdr:txBody>
        </xdr:sp>
        <xdr:clientData fPrintsWithSheet="0"/>
      </xdr:twoCellAnchor>
    </mc:Choice>
    <mc:Fallback/>
  </mc:AlternateContent>
  <xdr:twoCellAnchor>
    <xdr:from>
      <xdr:col>13</xdr:col>
      <xdr:colOff>657225</xdr:colOff>
      <xdr:row>42</xdr:row>
      <xdr:rowOff>95250</xdr:rowOff>
    </xdr:from>
    <xdr:to>
      <xdr:col>16</xdr:col>
      <xdr:colOff>104775</xdr:colOff>
      <xdr:row>50</xdr:row>
      <xdr:rowOff>123824</xdr:rowOff>
    </xdr:to>
    <xdr:sp macro="" textlink="">
      <xdr:nvSpPr>
        <xdr:cNvPr id="7" name="Octogone 6">
          <a:extLst>
            <a:ext uri="{FF2B5EF4-FFF2-40B4-BE49-F238E27FC236}">
              <a16:creationId xmlns:a16="http://schemas.microsoft.com/office/drawing/2014/main" id="{51971299-DAA0-499A-83BF-9E22804B6319}"/>
            </a:ext>
          </a:extLst>
        </xdr:cNvPr>
        <xdr:cNvSpPr/>
      </xdr:nvSpPr>
      <xdr:spPr>
        <a:xfrm>
          <a:off x="14678025" y="8201025"/>
          <a:ext cx="1733550" cy="1552574"/>
        </a:xfrm>
        <a:prstGeom prst="octagon">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3600" b="0" cap="none" spc="0">
              <a:ln w="0"/>
              <a:solidFill>
                <a:schemeClr val="bg1"/>
              </a:solidFill>
              <a:effectLst>
                <a:outerShdw blurRad="38100" dist="19050" dir="2700000" algn="tl" rotWithShape="0">
                  <a:schemeClr val="dk1">
                    <a:alpha val="40000"/>
                  </a:schemeClr>
                </a:outerShdw>
              </a:effectLst>
            </a:rPr>
            <a:t>STOP</a:t>
          </a:r>
        </a:p>
      </xdr:txBody>
    </xdr:sp>
    <xdr:clientData/>
  </xdr:twoCellAnchor>
  <xdr:twoCellAnchor>
    <xdr:from>
      <xdr:col>14</xdr:col>
      <xdr:colOff>133350</xdr:colOff>
      <xdr:row>46</xdr:row>
      <xdr:rowOff>142876</xdr:rowOff>
    </xdr:from>
    <xdr:to>
      <xdr:col>15</xdr:col>
      <xdr:colOff>638175</xdr:colOff>
      <xdr:row>48</xdr:row>
      <xdr:rowOff>104776</xdr:rowOff>
    </xdr:to>
    <xdr:sp macro="" textlink="">
      <xdr:nvSpPr>
        <xdr:cNvPr id="8" name="Rectangle 7">
          <a:extLst>
            <a:ext uri="{FF2B5EF4-FFF2-40B4-BE49-F238E27FC236}">
              <a16:creationId xmlns:a16="http://schemas.microsoft.com/office/drawing/2014/main" id="{2CFFE778-7243-4845-8CAD-B8ADA836B88D}"/>
            </a:ext>
          </a:extLst>
        </xdr:cNvPr>
        <xdr:cNvSpPr/>
      </xdr:nvSpPr>
      <xdr:spPr>
        <a:xfrm>
          <a:off x="14916150" y="9010651"/>
          <a:ext cx="1266825" cy="342900"/>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9525</xdr:colOff>
      <xdr:row>42</xdr:row>
      <xdr:rowOff>133350</xdr:rowOff>
    </xdr:from>
    <xdr:to>
      <xdr:col>19</xdr:col>
      <xdr:colOff>152400</xdr:colOff>
      <xdr:row>54</xdr:row>
      <xdr:rowOff>133350</xdr:rowOff>
    </xdr:to>
    <xdr:sp macro="" textlink="">
      <xdr:nvSpPr>
        <xdr:cNvPr id="4" name="Flèche : courbe vers la gauche 3">
          <a:extLst>
            <a:ext uri="{FF2B5EF4-FFF2-40B4-BE49-F238E27FC236}">
              <a16:creationId xmlns:a16="http://schemas.microsoft.com/office/drawing/2014/main" id="{AE5FB677-994F-DC00-77DB-6651F588D8FF}"/>
            </a:ext>
          </a:extLst>
        </xdr:cNvPr>
        <xdr:cNvSpPr/>
      </xdr:nvSpPr>
      <xdr:spPr>
        <a:xfrm>
          <a:off x="17078325" y="8239125"/>
          <a:ext cx="1666875" cy="2305050"/>
        </a:xfrm>
        <a:prstGeom prst="curvedLeftArrow">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9B9B-4B31-451F-8BFC-7AFF0B4F6F64}">
  <sheetPr codeName="Feuil1">
    <tabColor theme="4" tint="0.39997558519241921"/>
  </sheetPr>
  <dimension ref="A1:Z60"/>
  <sheetViews>
    <sheetView workbookViewId="0">
      <selection activeCell="E7" sqref="E7:E19"/>
    </sheetView>
  </sheetViews>
  <sheetFormatPr baseColWidth="10" defaultColWidth="11.42578125" defaultRowHeight="15" x14ac:dyDescent="0.25"/>
  <cols>
    <col min="1" max="1" width="9.28515625" customWidth="1"/>
    <col min="2" max="2" width="11.28515625" customWidth="1"/>
    <col min="5" max="5" width="73" customWidth="1"/>
    <col min="9" max="9" width="13.85546875" customWidth="1"/>
  </cols>
  <sheetData>
    <row r="1" spans="1:26" ht="15.75" x14ac:dyDescent="0.25">
      <c r="A1" s="84"/>
    </row>
    <row r="2" spans="1:26" ht="15" customHeight="1" thickBot="1" x14ac:dyDescent="0.3">
      <c r="A2" s="83"/>
    </row>
    <row r="3" spans="1:26" ht="15" customHeight="1" x14ac:dyDescent="0.25">
      <c r="A3" s="83"/>
      <c r="B3" s="299" t="s">
        <v>0</v>
      </c>
      <c r="C3" s="300"/>
      <c r="D3" s="300"/>
      <c r="E3" s="301"/>
      <c r="G3" s="350" t="s">
        <v>1</v>
      </c>
      <c r="H3" s="351"/>
      <c r="I3" s="351"/>
      <c r="J3" s="351"/>
      <c r="K3" s="351"/>
      <c r="L3" s="352"/>
      <c r="N3" s="359" t="s">
        <v>2</v>
      </c>
      <c r="O3" s="360"/>
      <c r="P3" s="360"/>
      <c r="Q3" s="360"/>
      <c r="R3" s="360"/>
      <c r="S3" s="361"/>
      <c r="U3" s="106"/>
      <c r="V3" s="106"/>
      <c r="W3" s="106"/>
      <c r="X3" s="106"/>
      <c r="Y3" s="106"/>
      <c r="Z3" s="106"/>
    </row>
    <row r="4" spans="1:26" ht="15" customHeight="1" x14ac:dyDescent="0.25">
      <c r="A4" s="83"/>
      <c r="B4" s="302"/>
      <c r="C4" s="303"/>
      <c r="D4" s="303"/>
      <c r="E4" s="304"/>
      <c r="G4" s="353"/>
      <c r="H4" s="354"/>
      <c r="I4" s="354"/>
      <c r="J4" s="354"/>
      <c r="K4" s="354"/>
      <c r="L4" s="355"/>
      <c r="N4" s="362"/>
      <c r="O4" s="363"/>
      <c r="P4" s="363"/>
      <c r="Q4" s="363"/>
      <c r="R4" s="363"/>
      <c r="S4" s="364"/>
      <c r="U4" s="106"/>
      <c r="V4" s="106"/>
      <c r="W4" s="106"/>
      <c r="X4" s="106"/>
      <c r="Y4" s="106"/>
      <c r="Z4" s="106"/>
    </row>
    <row r="5" spans="1:26" ht="15" customHeight="1" thickBot="1" x14ac:dyDescent="0.3">
      <c r="A5" s="83"/>
      <c r="B5" s="305"/>
      <c r="C5" s="306"/>
      <c r="D5" s="306"/>
      <c r="E5" s="307"/>
      <c r="G5" s="356"/>
      <c r="H5" s="357"/>
      <c r="I5" s="357"/>
      <c r="J5" s="357"/>
      <c r="K5" s="357"/>
      <c r="L5" s="358"/>
      <c r="N5" s="365"/>
      <c r="O5" s="366"/>
      <c r="P5" s="366"/>
      <c r="Q5" s="366"/>
      <c r="R5" s="366"/>
      <c r="S5" s="367"/>
      <c r="U5" s="106"/>
      <c r="V5" s="106"/>
      <c r="W5" s="106"/>
      <c r="X5" s="106"/>
      <c r="Y5" s="106"/>
      <c r="Z5" s="106"/>
    </row>
    <row r="6" spans="1:26" ht="15.75" customHeight="1" thickBot="1" x14ac:dyDescent="0.3">
      <c r="A6" s="83"/>
    </row>
    <row r="7" spans="1:26" ht="15.75" customHeight="1" x14ac:dyDescent="0.25">
      <c r="A7" s="83"/>
      <c r="E7" s="308" t="s">
        <v>3</v>
      </c>
      <c r="J7" s="320"/>
      <c r="K7" s="250"/>
      <c r="L7" s="251"/>
      <c r="R7" s="104"/>
    </row>
    <row r="8" spans="1:26" ht="16.5" customHeight="1" x14ac:dyDescent="0.25">
      <c r="A8" s="83"/>
      <c r="E8" s="309"/>
      <c r="J8" s="321"/>
      <c r="K8" s="246"/>
      <c r="L8" s="247"/>
      <c r="R8" s="104"/>
      <c r="T8" s="194"/>
    </row>
    <row r="9" spans="1:26" ht="15" customHeight="1" x14ac:dyDescent="0.25">
      <c r="A9" s="83"/>
      <c r="E9" s="309"/>
      <c r="J9" s="321"/>
      <c r="K9" s="246"/>
      <c r="L9" s="247"/>
      <c r="R9" s="104"/>
      <c r="T9" s="194"/>
    </row>
    <row r="10" spans="1:26" ht="15" customHeight="1" x14ac:dyDescent="0.25">
      <c r="A10" s="83"/>
      <c r="E10" s="309"/>
      <c r="J10" s="321"/>
      <c r="K10" s="246"/>
      <c r="L10" s="247"/>
      <c r="R10" s="104"/>
      <c r="T10" s="194"/>
    </row>
    <row r="11" spans="1:26" ht="15" customHeight="1" x14ac:dyDescent="0.25">
      <c r="A11" s="83"/>
      <c r="E11" s="309"/>
      <c r="J11" s="321"/>
      <c r="K11" s="246"/>
      <c r="L11" s="247"/>
      <c r="R11" s="104"/>
      <c r="T11" s="194"/>
    </row>
    <row r="12" spans="1:26" ht="15" customHeight="1" x14ac:dyDescent="0.25">
      <c r="A12" s="83"/>
      <c r="E12" s="309"/>
      <c r="J12" s="321"/>
      <c r="K12" s="246"/>
      <c r="L12" s="247"/>
      <c r="R12" s="104"/>
      <c r="T12" s="194"/>
    </row>
    <row r="13" spans="1:26" ht="15" customHeight="1" x14ac:dyDescent="0.25">
      <c r="A13" s="83"/>
      <c r="E13" s="309"/>
      <c r="J13" s="321"/>
      <c r="K13" s="246"/>
      <c r="L13" s="247"/>
      <c r="R13" s="104"/>
      <c r="T13" s="194"/>
    </row>
    <row r="14" spans="1:26" ht="15" customHeight="1" thickBot="1" x14ac:dyDescent="0.3">
      <c r="A14" s="83"/>
      <c r="E14" s="309"/>
      <c r="J14" s="321"/>
      <c r="K14" s="246"/>
      <c r="L14" s="247"/>
      <c r="R14" s="104"/>
      <c r="T14" s="194"/>
    </row>
    <row r="15" spans="1:26" ht="15" customHeight="1" x14ac:dyDescent="0.25">
      <c r="A15" s="83"/>
      <c r="E15" s="309"/>
      <c r="J15" s="321"/>
      <c r="K15" s="246"/>
      <c r="L15" s="247"/>
      <c r="N15" s="368"/>
      <c r="O15" s="369"/>
      <c r="P15" s="368"/>
      <c r="Q15" s="369"/>
      <c r="R15" s="368"/>
      <c r="S15" s="369"/>
      <c r="T15" s="194"/>
    </row>
    <row r="16" spans="1:26" ht="15" customHeight="1" x14ac:dyDescent="0.25">
      <c r="A16" s="83"/>
      <c r="E16" s="309"/>
      <c r="J16" s="321"/>
      <c r="K16" s="246"/>
      <c r="L16" s="247"/>
      <c r="N16" s="370"/>
      <c r="O16" s="371"/>
      <c r="P16" s="370"/>
      <c r="Q16" s="371"/>
      <c r="R16" s="370"/>
      <c r="S16" s="371"/>
      <c r="T16" s="194"/>
    </row>
    <row r="17" spans="1:21" ht="15" customHeight="1" x14ac:dyDescent="0.25">
      <c r="A17" s="83"/>
      <c r="E17" s="309"/>
      <c r="J17" s="321"/>
      <c r="K17" s="246"/>
      <c r="L17" s="247"/>
      <c r="N17" s="370"/>
      <c r="O17" s="371"/>
      <c r="P17" s="370"/>
      <c r="Q17" s="371"/>
      <c r="R17" s="370"/>
      <c r="S17" s="371"/>
      <c r="T17" s="194"/>
    </row>
    <row r="18" spans="1:21" ht="15" customHeight="1" x14ac:dyDescent="0.25">
      <c r="E18" s="309"/>
      <c r="J18" s="321"/>
      <c r="K18" s="246"/>
      <c r="L18" s="247"/>
      <c r="N18" s="370"/>
      <c r="O18" s="371"/>
      <c r="P18" s="370"/>
      <c r="Q18" s="371"/>
      <c r="R18" s="370"/>
      <c r="S18" s="371"/>
      <c r="T18" s="194"/>
    </row>
    <row r="19" spans="1:21" ht="15" customHeight="1" thickBot="1" x14ac:dyDescent="0.3">
      <c r="E19" s="310"/>
      <c r="J19" s="322"/>
      <c r="K19" s="248"/>
      <c r="L19" s="249"/>
      <c r="N19" s="372"/>
      <c r="O19" s="373"/>
      <c r="P19" s="372"/>
      <c r="Q19" s="373"/>
      <c r="R19" s="372"/>
      <c r="S19" s="373"/>
    </row>
    <row r="20" spans="1:21" ht="15" customHeight="1" thickBot="1" x14ac:dyDescent="0.3">
      <c r="A20" s="82"/>
      <c r="E20" s="103"/>
      <c r="T20" s="194"/>
    </row>
    <row r="21" spans="1:21" ht="15" customHeight="1" x14ac:dyDescent="0.25">
      <c r="B21" s="341" t="s">
        <v>4</v>
      </c>
      <c r="C21" s="342"/>
      <c r="D21" s="342"/>
      <c r="E21" s="343"/>
      <c r="G21" s="323" t="s">
        <v>5</v>
      </c>
      <c r="H21" s="324"/>
      <c r="I21" s="324"/>
      <c r="J21" s="324"/>
      <c r="K21" s="324"/>
      <c r="L21" s="325"/>
      <c r="N21" s="359" t="s">
        <v>6</v>
      </c>
      <c r="O21" s="392"/>
      <c r="P21" s="392"/>
      <c r="Q21" s="392"/>
      <c r="R21" s="392"/>
      <c r="S21" s="393"/>
      <c r="T21" s="194"/>
      <c r="U21" s="107"/>
    </row>
    <row r="22" spans="1:21" ht="15" customHeight="1" x14ac:dyDescent="0.25">
      <c r="B22" s="344"/>
      <c r="C22" s="345"/>
      <c r="D22" s="345"/>
      <c r="E22" s="346"/>
      <c r="G22" s="326"/>
      <c r="H22" s="327"/>
      <c r="I22" s="327"/>
      <c r="J22" s="327"/>
      <c r="K22" s="327"/>
      <c r="L22" s="328"/>
      <c r="N22" s="394"/>
      <c r="O22" s="395"/>
      <c r="P22" s="395"/>
      <c r="Q22" s="395"/>
      <c r="R22" s="395"/>
      <c r="S22" s="396"/>
      <c r="T22" s="194"/>
    </row>
    <row r="23" spans="1:21" ht="15" customHeight="1" thickBot="1" x14ac:dyDescent="0.3">
      <c r="B23" s="347"/>
      <c r="C23" s="348"/>
      <c r="D23" s="348"/>
      <c r="E23" s="349"/>
      <c r="G23" s="329"/>
      <c r="H23" s="330"/>
      <c r="I23" s="330"/>
      <c r="J23" s="330"/>
      <c r="K23" s="330"/>
      <c r="L23" s="331"/>
      <c r="N23" s="397"/>
      <c r="O23" s="398"/>
      <c r="P23" s="398"/>
      <c r="Q23" s="398"/>
      <c r="R23" s="398"/>
      <c r="S23" s="399"/>
      <c r="T23" s="194"/>
    </row>
    <row r="24" spans="1:21" ht="15.75" thickBot="1" x14ac:dyDescent="0.3">
      <c r="E24" s="104"/>
      <c r="T24" s="194"/>
    </row>
    <row r="25" spans="1:21" ht="15" customHeight="1" x14ac:dyDescent="0.25">
      <c r="E25" s="308" t="s">
        <v>3</v>
      </c>
      <c r="G25" s="332" t="s">
        <v>7</v>
      </c>
      <c r="H25" s="333"/>
      <c r="I25" s="333"/>
      <c r="J25" s="333"/>
      <c r="K25" s="333"/>
      <c r="L25" s="334"/>
      <c r="T25" s="194"/>
    </row>
    <row r="26" spans="1:21" x14ac:dyDescent="0.25">
      <c r="E26" s="309"/>
      <c r="G26" s="335"/>
      <c r="H26" s="336"/>
      <c r="I26" s="336"/>
      <c r="J26" s="336"/>
      <c r="K26" s="336"/>
      <c r="L26" s="337"/>
      <c r="T26" s="194"/>
    </row>
    <row r="27" spans="1:21" x14ac:dyDescent="0.25">
      <c r="E27" s="309"/>
      <c r="G27" s="335"/>
      <c r="H27" s="336"/>
      <c r="I27" s="336"/>
      <c r="J27" s="336"/>
      <c r="K27" s="336"/>
      <c r="L27" s="337"/>
      <c r="T27" s="194"/>
    </row>
    <row r="28" spans="1:21" x14ac:dyDescent="0.25">
      <c r="E28" s="309"/>
      <c r="G28" s="335"/>
      <c r="H28" s="336"/>
      <c r="I28" s="336"/>
      <c r="J28" s="336"/>
      <c r="K28" s="336"/>
      <c r="L28" s="337"/>
      <c r="T28" s="194"/>
    </row>
    <row r="29" spans="1:21" x14ac:dyDescent="0.25">
      <c r="E29" s="309"/>
      <c r="G29" s="335"/>
      <c r="H29" s="336"/>
      <c r="I29" s="336"/>
      <c r="J29" s="336"/>
      <c r="K29" s="336"/>
      <c r="L29" s="337"/>
      <c r="T29" s="194"/>
    </row>
    <row r="30" spans="1:21" x14ac:dyDescent="0.25">
      <c r="E30" s="309"/>
      <c r="G30" s="335"/>
      <c r="H30" s="336"/>
      <c r="I30" s="336"/>
      <c r="J30" s="336"/>
      <c r="K30" s="336"/>
      <c r="L30" s="337"/>
      <c r="T30" s="194"/>
    </row>
    <row r="31" spans="1:21" x14ac:dyDescent="0.25">
      <c r="E31" s="309"/>
      <c r="G31" s="335"/>
      <c r="H31" s="336"/>
      <c r="I31" s="336"/>
      <c r="J31" s="336"/>
      <c r="K31" s="336"/>
      <c r="L31" s="337"/>
    </row>
    <row r="32" spans="1:21" ht="15.75" thickBot="1" x14ac:dyDescent="0.3">
      <c r="E32" s="309"/>
      <c r="G32" s="338"/>
      <c r="H32" s="339"/>
      <c r="I32" s="339"/>
      <c r="J32" s="339"/>
      <c r="K32" s="339"/>
      <c r="L32" s="340"/>
    </row>
    <row r="33" spans="5:19" x14ac:dyDescent="0.25">
      <c r="E33" s="309"/>
      <c r="N33" s="368"/>
      <c r="O33" s="400"/>
      <c r="P33" s="400"/>
      <c r="Q33" s="400"/>
      <c r="R33" s="400"/>
      <c r="S33" s="369"/>
    </row>
    <row r="34" spans="5:19" ht="15.75" thickBot="1" x14ac:dyDescent="0.3">
      <c r="E34" s="309"/>
      <c r="N34" s="370"/>
      <c r="O34" s="401"/>
      <c r="P34" s="401"/>
      <c r="Q34" s="401"/>
      <c r="R34" s="401"/>
      <c r="S34" s="371"/>
    </row>
    <row r="35" spans="5:19" x14ac:dyDescent="0.25">
      <c r="E35" s="309"/>
      <c r="G35" s="311" t="s">
        <v>8</v>
      </c>
      <c r="H35" s="312"/>
      <c r="I35" s="312"/>
      <c r="J35" s="312"/>
      <c r="K35" s="312"/>
      <c r="L35" s="313"/>
      <c r="N35" s="370"/>
      <c r="O35" s="401"/>
      <c r="P35" s="401"/>
      <c r="Q35" s="401"/>
      <c r="R35" s="401"/>
      <c r="S35" s="371"/>
    </row>
    <row r="36" spans="5:19" x14ac:dyDescent="0.25">
      <c r="E36" s="309"/>
      <c r="G36" s="314"/>
      <c r="H36" s="315"/>
      <c r="I36" s="315"/>
      <c r="J36" s="315"/>
      <c r="K36" s="315"/>
      <c r="L36" s="316"/>
      <c r="N36" s="370"/>
      <c r="O36" s="401"/>
      <c r="P36" s="401"/>
      <c r="Q36" s="401"/>
      <c r="R36" s="401"/>
      <c r="S36" s="371"/>
    </row>
    <row r="37" spans="5:19" ht="15.75" thickBot="1" x14ac:dyDescent="0.3">
      <c r="E37" s="310"/>
      <c r="G37" s="317"/>
      <c r="H37" s="318"/>
      <c r="I37" s="318"/>
      <c r="J37" s="318"/>
      <c r="K37" s="318"/>
      <c r="L37" s="319"/>
      <c r="N37" s="372"/>
      <c r="O37" s="402"/>
      <c r="P37" s="402"/>
      <c r="Q37" s="402"/>
      <c r="R37" s="402"/>
      <c r="S37" s="373"/>
    </row>
    <row r="38" spans="5:19" ht="15.75" thickBot="1" x14ac:dyDescent="0.3"/>
    <row r="39" spans="5:19" ht="15" customHeight="1" x14ac:dyDescent="0.25">
      <c r="E39" s="308" t="s">
        <v>9</v>
      </c>
      <c r="J39" s="320"/>
      <c r="K39" s="250"/>
      <c r="L39" s="251"/>
      <c r="N39" s="383" t="s">
        <v>10</v>
      </c>
      <c r="O39" s="384"/>
      <c r="P39" s="384"/>
      <c r="Q39" s="384"/>
      <c r="R39" s="384"/>
      <c r="S39" s="385"/>
    </row>
    <row r="40" spans="5:19" ht="15" customHeight="1" x14ac:dyDescent="0.25">
      <c r="E40" s="309"/>
      <c r="J40" s="321"/>
      <c r="K40" s="246"/>
      <c r="L40" s="247"/>
      <c r="N40" s="386"/>
      <c r="O40" s="387"/>
      <c r="P40" s="387"/>
      <c r="Q40" s="387"/>
      <c r="R40" s="387"/>
      <c r="S40" s="388"/>
    </row>
    <row r="41" spans="5:19" ht="15.75" customHeight="1" thickBot="1" x14ac:dyDescent="0.3">
      <c r="E41" s="309"/>
      <c r="J41" s="321"/>
      <c r="K41" s="246"/>
      <c r="L41" s="247"/>
      <c r="N41" s="389"/>
      <c r="O41" s="390"/>
      <c r="P41" s="390"/>
      <c r="Q41" s="390"/>
      <c r="R41" s="390"/>
      <c r="S41" s="391"/>
    </row>
    <row r="42" spans="5:19" x14ac:dyDescent="0.25">
      <c r="E42" s="309"/>
      <c r="J42" s="321"/>
      <c r="K42" s="246"/>
      <c r="L42" s="247"/>
    </row>
    <row r="43" spans="5:19" x14ac:dyDescent="0.25">
      <c r="E43" s="309"/>
      <c r="J43" s="321"/>
      <c r="K43" s="246"/>
      <c r="L43" s="247"/>
    </row>
    <row r="44" spans="5:19" x14ac:dyDescent="0.25">
      <c r="E44" s="309"/>
      <c r="J44" s="321"/>
      <c r="K44" s="246"/>
      <c r="L44" s="247"/>
    </row>
    <row r="45" spans="5:19" x14ac:dyDescent="0.25">
      <c r="E45" s="309"/>
      <c r="J45" s="321"/>
      <c r="K45" s="246"/>
      <c r="L45" s="247"/>
    </row>
    <row r="46" spans="5:19" x14ac:dyDescent="0.25">
      <c r="E46" s="309"/>
      <c r="J46" s="321"/>
      <c r="K46" s="246"/>
      <c r="L46" s="247"/>
    </row>
    <row r="47" spans="5:19" x14ac:dyDescent="0.25">
      <c r="E47" s="309"/>
      <c r="J47" s="321"/>
      <c r="K47" s="246"/>
      <c r="L47" s="247"/>
    </row>
    <row r="48" spans="5:19" x14ac:dyDescent="0.25">
      <c r="E48" s="309"/>
      <c r="J48" s="321"/>
      <c r="K48" s="246"/>
      <c r="L48" s="247"/>
    </row>
    <row r="49" spans="5:17" x14ac:dyDescent="0.25">
      <c r="E49" s="309"/>
      <c r="J49" s="321"/>
      <c r="K49" s="246"/>
      <c r="L49" s="247"/>
    </row>
    <row r="50" spans="5:17" x14ac:dyDescent="0.25">
      <c r="E50" s="309"/>
      <c r="J50" s="321"/>
      <c r="K50" s="246"/>
      <c r="L50" s="247"/>
    </row>
    <row r="51" spans="5:17" ht="15.75" thickBot="1" x14ac:dyDescent="0.3">
      <c r="E51" s="310"/>
      <c r="J51" s="322"/>
      <c r="K51" s="248"/>
      <c r="L51" s="249"/>
    </row>
    <row r="52" spans="5:17" x14ac:dyDescent="0.25">
      <c r="H52" s="104"/>
      <c r="N52" s="374" t="s">
        <v>11</v>
      </c>
      <c r="O52" s="375"/>
      <c r="P52" s="375"/>
      <c r="Q52" s="376"/>
    </row>
    <row r="53" spans="5:17" x14ac:dyDescent="0.25">
      <c r="H53" s="104"/>
      <c r="N53" s="377"/>
      <c r="O53" s="378"/>
      <c r="P53" s="378"/>
      <c r="Q53" s="379"/>
    </row>
    <row r="54" spans="5:17" ht="15.75" thickBot="1" x14ac:dyDescent="0.3">
      <c r="H54" s="104"/>
      <c r="N54" s="380"/>
      <c r="O54" s="381"/>
      <c r="P54" s="381"/>
      <c r="Q54" s="382"/>
    </row>
    <row r="55" spans="5:17" x14ac:dyDescent="0.25">
      <c r="H55" s="104"/>
    </row>
    <row r="56" spans="5:17" x14ac:dyDescent="0.25">
      <c r="H56" s="104"/>
    </row>
    <row r="57" spans="5:17" x14ac:dyDescent="0.25">
      <c r="H57" s="104"/>
    </row>
    <row r="58" spans="5:17" x14ac:dyDescent="0.25">
      <c r="H58" s="104"/>
      <c r="N58" s="107"/>
      <c r="O58" s="107"/>
      <c r="P58" s="107"/>
      <c r="Q58" s="107"/>
    </row>
    <row r="59" spans="5:17" x14ac:dyDescent="0.25">
      <c r="H59" s="104"/>
      <c r="N59" s="107"/>
      <c r="O59" s="107"/>
      <c r="P59" s="107"/>
      <c r="Q59" s="107"/>
    </row>
    <row r="60" spans="5:17" x14ac:dyDescent="0.25">
      <c r="N60" s="107"/>
      <c r="O60" s="107"/>
      <c r="P60" s="107"/>
      <c r="Q60" s="107"/>
    </row>
  </sheetData>
  <mergeCells count="19">
    <mergeCell ref="N3:S5"/>
    <mergeCell ref="N15:O19"/>
    <mergeCell ref="P15:Q19"/>
    <mergeCell ref="R15:S19"/>
    <mergeCell ref="N52:Q54"/>
    <mergeCell ref="N39:S41"/>
    <mergeCell ref="N21:S23"/>
    <mergeCell ref="N33:S37"/>
    <mergeCell ref="B3:E5"/>
    <mergeCell ref="E39:E51"/>
    <mergeCell ref="G35:L37"/>
    <mergeCell ref="J39:L51"/>
    <mergeCell ref="G21:L23"/>
    <mergeCell ref="G25:L32"/>
    <mergeCell ref="E25:E37"/>
    <mergeCell ref="B21:E23"/>
    <mergeCell ref="E7:E19"/>
    <mergeCell ref="J7:L19"/>
    <mergeCell ref="G3:L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Button_Clear_Discord_Export">
                <anchor moveWithCells="1" sizeWithCells="1">
                  <from>
                    <xdr:col>13</xdr:col>
                    <xdr:colOff>38100</xdr:colOff>
                    <xdr:row>14</xdr:row>
                    <xdr:rowOff>19050</xdr:rowOff>
                  </from>
                  <to>
                    <xdr:col>14</xdr:col>
                    <xdr:colOff>733425</xdr:colOff>
                    <xdr:row>18</xdr:row>
                    <xdr:rowOff>171450</xdr:rowOff>
                  </to>
                </anchor>
              </controlPr>
            </control>
          </mc:Choice>
        </mc:AlternateContent>
        <mc:AlternateContent xmlns:mc="http://schemas.openxmlformats.org/markup-compatibility/2006">
          <mc:Choice Requires="x14">
            <control shapeId="1029" r:id="rId4" name="Button 5">
              <controlPr defaultSize="0" print="0" autoFill="0" autoPict="0" macro="[0]!Button_Clear_Players_And_Maps">
                <anchor moveWithCells="1" sizeWithCells="1">
                  <from>
                    <xdr:col>15</xdr:col>
                    <xdr:colOff>9525</xdr:colOff>
                    <xdr:row>14</xdr:row>
                    <xdr:rowOff>28575</xdr:rowOff>
                  </from>
                  <to>
                    <xdr:col>16</xdr:col>
                    <xdr:colOff>733425</xdr:colOff>
                    <xdr:row>18</xdr:row>
                    <xdr:rowOff>171450</xdr:rowOff>
                  </to>
                </anchor>
              </controlPr>
            </control>
          </mc:Choice>
        </mc:AlternateContent>
        <mc:AlternateContent xmlns:mc="http://schemas.openxmlformats.org/markup-compatibility/2006">
          <mc:Choice Requires="x14">
            <control shapeId="1035" r:id="rId5" name="Button 11">
              <controlPr defaultSize="0" print="0" autoFill="0" autoPict="0" macro="[0]!Lancer_Export_Format">
                <anchor moveWithCells="1" sizeWithCells="1">
                  <from>
                    <xdr:col>9</xdr:col>
                    <xdr:colOff>19050</xdr:colOff>
                    <xdr:row>6</xdr:row>
                    <xdr:rowOff>28575</xdr:rowOff>
                  </from>
                  <to>
                    <xdr:col>11</xdr:col>
                    <xdr:colOff>704850</xdr:colOff>
                    <xdr:row>18</xdr:row>
                    <xdr:rowOff>180975</xdr:rowOff>
                  </to>
                </anchor>
              </controlPr>
            </control>
          </mc:Choice>
        </mc:AlternateContent>
        <mc:AlternateContent xmlns:mc="http://schemas.openxmlformats.org/markup-compatibility/2006">
          <mc:Choice Requires="x14">
            <control shapeId="1039" r:id="rId6" name="Button 15">
              <controlPr defaultSize="0" print="0" autoFill="0" autoPict="0" macro="[0]!Button_Clear_DataScores">
                <anchor moveWithCells="1" sizeWithCells="1">
                  <from>
                    <xdr:col>17</xdr:col>
                    <xdr:colOff>38100</xdr:colOff>
                    <xdr:row>14</xdr:row>
                    <xdr:rowOff>19050</xdr:rowOff>
                  </from>
                  <to>
                    <xdr:col>18</xdr:col>
                    <xdr:colOff>733425</xdr:colOff>
                    <xdr:row>18</xdr:row>
                    <xdr:rowOff>171450</xdr:rowOff>
                  </to>
                </anchor>
              </controlPr>
            </control>
          </mc:Choice>
        </mc:AlternateContent>
        <mc:AlternateContent xmlns:mc="http://schemas.openxmlformats.org/markup-compatibility/2006">
          <mc:Choice Requires="x14">
            <control shapeId="1040" r:id="rId7" name="Button 16">
              <controlPr defaultSize="0" print="0" autoFill="0" autoPict="0" macro="[0]!Button_Clear_All_Data">
                <anchor moveWithCells="1" sizeWithCells="1">
                  <from>
                    <xdr:col>13</xdr:col>
                    <xdr:colOff>38100</xdr:colOff>
                    <xdr:row>32</xdr:row>
                    <xdr:rowOff>19050</xdr:rowOff>
                  </from>
                  <to>
                    <xdr:col>18</xdr:col>
                    <xdr:colOff>733425</xdr:colOff>
                    <xdr:row>36</xdr:row>
                    <xdr:rowOff>180975</xdr:rowOff>
                  </to>
                </anchor>
              </controlPr>
            </control>
          </mc:Choice>
        </mc:AlternateContent>
        <mc:AlternateContent xmlns:mc="http://schemas.openxmlformats.org/markup-compatibility/2006">
          <mc:Choice Requires="x14">
            <control shapeId="1042" r:id="rId8" name="Button 18">
              <controlPr defaultSize="0" print="0" autoFill="0" autoPict="0">
                <anchor moveWithCells="1" sizeWithCells="1">
                  <from>
                    <xdr:col>9</xdr:col>
                    <xdr:colOff>47625</xdr:colOff>
                    <xdr:row>38</xdr:row>
                    <xdr:rowOff>38100</xdr:rowOff>
                  </from>
                  <to>
                    <xdr:col>11</xdr:col>
                    <xdr:colOff>704850</xdr:colOff>
                    <xdr:row>50</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F1930-AC28-4EF4-AFD9-245949AD21EE}">
  <sheetPr codeName="Feuil6">
    <tabColor rgb="FFFFFF00"/>
  </sheetPr>
  <dimension ref="A1:AG115"/>
  <sheetViews>
    <sheetView zoomScale="85" zoomScaleNormal="85" workbookViewId="0">
      <selection activeCell="C13" sqref="C13:D13"/>
    </sheetView>
  </sheetViews>
  <sheetFormatPr baseColWidth="10" defaultColWidth="11.42578125" defaultRowHeight="15" x14ac:dyDescent="0.25"/>
  <cols>
    <col min="3" max="3" width="16" customWidth="1"/>
    <col min="4" max="4" width="14.28515625" customWidth="1"/>
    <col min="6" max="6" width="14.140625" bestFit="1" customWidth="1"/>
    <col min="8" max="8" width="13.28515625" bestFit="1" customWidth="1"/>
    <col min="29" max="29" width="17.5703125" bestFit="1" customWidth="1"/>
    <col min="30" max="30" width="16.140625" bestFit="1" customWidth="1"/>
  </cols>
  <sheetData>
    <row r="1" spans="1:33" x14ac:dyDescent="0.25">
      <c r="A1" s="93"/>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row>
    <row r="2" spans="1:33" x14ac:dyDescent="0.25">
      <c r="A2" s="93"/>
      <c r="B2" s="93"/>
      <c r="C2" s="93"/>
      <c r="D2" s="93"/>
      <c r="E2" s="92"/>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3"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3" x14ac:dyDescent="0.25">
      <c r="A4" s="93"/>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3" ht="27" customHeight="1" x14ac:dyDescent="0.4">
      <c r="A5" s="93"/>
      <c r="B5" s="235" t="s">
        <v>12</v>
      </c>
      <c r="C5" s="260" t="s">
        <v>13</v>
      </c>
      <c r="D5" s="260"/>
      <c r="E5" s="254" t="s">
        <v>14</v>
      </c>
      <c r="F5" s="255"/>
      <c r="G5" s="254" t="s">
        <v>15</v>
      </c>
      <c r="H5" s="255"/>
      <c r="I5" s="254" t="s">
        <v>16</v>
      </c>
      <c r="J5" s="255"/>
      <c r="K5" s="254" t="s">
        <v>17</v>
      </c>
      <c r="L5" s="255"/>
      <c r="M5" s="254" t="s">
        <v>18</v>
      </c>
      <c r="N5" s="255"/>
      <c r="O5" s="254" t="s">
        <v>19</v>
      </c>
      <c r="P5" s="255"/>
      <c r="Q5" s="254" t="s">
        <v>20</v>
      </c>
      <c r="R5" s="255"/>
      <c r="S5" s="254" t="s">
        <v>21</v>
      </c>
      <c r="T5" s="255"/>
      <c r="U5" s="254" t="s">
        <v>22</v>
      </c>
      <c r="V5" s="255"/>
      <c r="W5" s="254" t="s">
        <v>23</v>
      </c>
      <c r="X5" s="255"/>
      <c r="Y5" s="254" t="s">
        <v>24</v>
      </c>
      <c r="Z5" s="255"/>
      <c r="AA5" s="254" t="s">
        <v>25</v>
      </c>
      <c r="AB5" s="255"/>
      <c r="AC5" s="203" t="s">
        <v>26</v>
      </c>
      <c r="AD5" s="195" t="s">
        <v>27</v>
      </c>
      <c r="AE5" s="93"/>
    </row>
    <row r="6" spans="1:33" ht="15" customHeight="1" x14ac:dyDescent="0.25">
      <c r="A6" s="93"/>
      <c r="B6" s="270"/>
      <c r="C6" s="265"/>
      <c r="D6" s="266"/>
      <c r="E6" s="219">
        <v>10</v>
      </c>
      <c r="F6" s="212">
        <f>Metadata!B11</f>
        <v>10</v>
      </c>
      <c r="G6" s="76">
        <v>15</v>
      </c>
      <c r="H6" s="212">
        <f>Metadata!I11</f>
        <v>15</v>
      </c>
      <c r="I6" s="76">
        <v>12</v>
      </c>
      <c r="J6" s="212">
        <f>Metadata!P11</f>
        <v>12</v>
      </c>
      <c r="K6" s="76">
        <v>9</v>
      </c>
      <c r="L6" s="212">
        <f>Metadata!W11</f>
        <v>9</v>
      </c>
      <c r="M6" s="76">
        <v>8</v>
      </c>
      <c r="N6" s="212">
        <f>Metadata!AD11</f>
        <v>8</v>
      </c>
      <c r="O6" s="76">
        <v>7</v>
      </c>
      <c r="P6" s="212">
        <f>Metadata!AK11</f>
        <v>7</v>
      </c>
      <c r="Q6" s="76">
        <v>6</v>
      </c>
      <c r="R6" s="212">
        <f>Metadata!AR11</f>
        <v>6</v>
      </c>
      <c r="S6" s="76">
        <v>5</v>
      </c>
      <c r="T6" s="212">
        <f>Metadata!AY11</f>
        <v>5</v>
      </c>
      <c r="U6" s="76">
        <v>4</v>
      </c>
      <c r="V6" s="212">
        <f>Metadata!BF11</f>
        <v>4</v>
      </c>
      <c r="W6" s="76">
        <v>3</v>
      </c>
      <c r="X6" s="212">
        <f>Metadata!BM11</f>
        <v>3</v>
      </c>
      <c r="Y6" s="76">
        <v>2</v>
      </c>
      <c r="Z6" s="212">
        <f>Metadata!BT11</f>
        <v>2</v>
      </c>
      <c r="AA6" s="76">
        <v>1</v>
      </c>
      <c r="AB6" s="212">
        <f>Metadata!CA11</f>
        <v>1</v>
      </c>
      <c r="AC6" s="215">
        <f>SUM(F6,H6,J6,L6,N6,P6,R6,T6,V6,X6,Z6,AB6)</f>
        <v>82</v>
      </c>
      <c r="AD6" s="216" t="str" cm="1">
        <f t="array" ref="AD6">IF(AND($AC6&lt;&gt;82,$AC6&lt;&gt;67,$AC6&lt;&gt;56),IF(SUMPRODUCT((ISEVEN(COLUMN($F6:$AB6)))*($F6:$AB6&gt;1)*(COUNTIFS($F6:$AB6,$F6:$AB6)&gt;1))&gt;0,"FALSE / DOUBLE","OK"),"OK")</f>
        <v>OK</v>
      </c>
      <c r="AE6" s="93"/>
    </row>
    <row r="7" spans="1:33" ht="15" customHeight="1" x14ac:dyDescent="0.25">
      <c r="A7" s="93"/>
      <c r="B7" s="270"/>
      <c r="C7" s="263"/>
      <c r="D7" s="264"/>
      <c r="E7" s="78">
        <v>12</v>
      </c>
      <c r="F7" s="122">
        <f>Metadata!B12</f>
        <v>2</v>
      </c>
      <c r="G7" s="77">
        <v>23</v>
      </c>
      <c r="H7" s="122">
        <f>Metadata!I12</f>
        <v>8</v>
      </c>
      <c r="I7" s="77">
        <v>27</v>
      </c>
      <c r="J7" s="122">
        <f>Metadata!P12</f>
        <v>15</v>
      </c>
      <c r="K7" s="77">
        <v>21</v>
      </c>
      <c r="L7" s="122">
        <f>Metadata!W12</f>
        <v>12</v>
      </c>
      <c r="M7" s="77">
        <v>17</v>
      </c>
      <c r="N7" s="122">
        <f>Metadata!AD12</f>
        <v>9</v>
      </c>
      <c r="O7" s="77">
        <v>17</v>
      </c>
      <c r="P7" s="122">
        <f>Metadata!AK12</f>
        <v>10</v>
      </c>
      <c r="Q7" s="77">
        <v>10</v>
      </c>
      <c r="R7" s="122">
        <f>Metadata!AR12</f>
        <v>4</v>
      </c>
      <c r="S7" s="77">
        <v>10</v>
      </c>
      <c r="T7" s="122">
        <f>Metadata!AY12</f>
        <v>5</v>
      </c>
      <c r="U7" s="77">
        <v>5</v>
      </c>
      <c r="V7" s="122">
        <f>Metadata!BF12</f>
        <v>1</v>
      </c>
      <c r="W7" s="77">
        <v>6</v>
      </c>
      <c r="X7" s="122">
        <f>Metadata!BM12</f>
        <v>3</v>
      </c>
      <c r="Y7" s="77">
        <v>9</v>
      </c>
      <c r="Z7" s="122">
        <f>Metadata!BT12</f>
        <v>7</v>
      </c>
      <c r="AA7" s="77">
        <v>7</v>
      </c>
      <c r="AB7" s="122">
        <f>Metadata!CA12</f>
        <v>6</v>
      </c>
      <c r="AC7" s="215">
        <f t="shared" ref="AC7:AC17" si="0">SUM(F7,H7,J7,L7,N7,P7,R7,T7,V7,X7,Z7,AB7)</f>
        <v>82</v>
      </c>
      <c r="AD7" s="217" t="str" cm="1">
        <f t="array" ref="AD7">IF(AND($AC7&lt;&gt;82,$AC7&lt;&gt;67,$AC7&lt;&gt;56),IF(SUMPRODUCT((ISEVEN(COLUMN($F7:$AB7)))*($F7:$AB7&gt;1)*(COUNTIFS($F7:$AB7,$F7:$AB7)&gt;1))&gt;0,"FALSE / DOUBLE","OK"),"OK")</f>
        <v>OK</v>
      </c>
      <c r="AE7" s="93"/>
    </row>
    <row r="8" spans="1:33" ht="15" customHeight="1" x14ac:dyDescent="0.25">
      <c r="A8" s="93"/>
      <c r="B8" s="270"/>
      <c r="C8" s="263"/>
      <c r="D8" s="264"/>
      <c r="E8" s="78">
        <v>15</v>
      </c>
      <c r="F8" s="122">
        <f>Metadata!B13</f>
        <v>3</v>
      </c>
      <c r="G8" s="77">
        <v>31</v>
      </c>
      <c r="H8" s="122">
        <f>Metadata!I13</f>
        <v>8</v>
      </c>
      <c r="I8" s="77">
        <v>34</v>
      </c>
      <c r="J8" s="122">
        <f>Metadata!P13</f>
        <v>7</v>
      </c>
      <c r="K8" s="77">
        <v>26</v>
      </c>
      <c r="L8" s="122">
        <f>Metadata!W13</f>
        <v>5</v>
      </c>
      <c r="M8" s="77">
        <v>29</v>
      </c>
      <c r="N8" s="122">
        <f>Metadata!AD13</f>
        <v>12</v>
      </c>
      <c r="O8" s="77">
        <v>21</v>
      </c>
      <c r="P8" s="122">
        <f>Metadata!AK13</f>
        <v>4</v>
      </c>
      <c r="Q8" s="77">
        <v>25</v>
      </c>
      <c r="R8" s="122">
        <f>Metadata!AR13</f>
        <v>15</v>
      </c>
      <c r="S8" s="77">
        <v>20</v>
      </c>
      <c r="T8" s="122">
        <f>Metadata!AY13</f>
        <v>10</v>
      </c>
      <c r="U8" s="77">
        <v>11</v>
      </c>
      <c r="V8" s="122">
        <f>Metadata!BF13</f>
        <v>6</v>
      </c>
      <c r="W8" s="77">
        <v>7</v>
      </c>
      <c r="X8" s="122">
        <f>Metadata!BM13</f>
        <v>1</v>
      </c>
      <c r="Y8" s="77">
        <v>11</v>
      </c>
      <c r="Z8" s="122">
        <f>Metadata!BT13</f>
        <v>2</v>
      </c>
      <c r="AA8" s="77">
        <v>16</v>
      </c>
      <c r="AB8" s="122">
        <f>Metadata!CA13</f>
        <v>9</v>
      </c>
      <c r="AC8" s="215">
        <f t="shared" si="0"/>
        <v>82</v>
      </c>
      <c r="AD8" s="217" t="str" cm="1">
        <f t="array" ref="AD8">IF(AND($AC8&lt;&gt;82,$AC8&lt;&gt;67,$AC8&lt;&gt;56),IF(SUMPRODUCT((ISEVEN(COLUMN($F8:$AB8)))*($F8:$AB8&gt;1)*(COUNTIFS($F8:$AB8,$F8:$AB8)&gt;1))&gt;0,"FALSE / DOUBLE","OK"),"OK")</f>
        <v>OK</v>
      </c>
      <c r="AE8" s="93"/>
    </row>
    <row r="9" spans="1:33" ht="15" customHeight="1" x14ac:dyDescent="0.25">
      <c r="A9" s="93"/>
      <c r="B9" s="270"/>
      <c r="C9" s="263"/>
      <c r="D9" s="264"/>
      <c r="E9" s="78">
        <v>27</v>
      </c>
      <c r="F9" s="122">
        <f>Metadata!B14</f>
        <v>12</v>
      </c>
      <c r="G9" s="77">
        <v>46</v>
      </c>
      <c r="H9" s="122">
        <f>Metadata!I14</f>
        <v>15</v>
      </c>
      <c r="I9" s="77">
        <v>44</v>
      </c>
      <c r="J9" s="122">
        <f>Metadata!P14</f>
        <v>10</v>
      </c>
      <c r="K9" s="77">
        <v>29</v>
      </c>
      <c r="L9" s="122">
        <f>Metadata!W14</f>
        <v>3</v>
      </c>
      <c r="M9" s="77">
        <v>37</v>
      </c>
      <c r="N9" s="122">
        <f>Metadata!AD14</f>
        <v>8</v>
      </c>
      <c r="O9" s="77">
        <v>26</v>
      </c>
      <c r="P9" s="122">
        <f>Metadata!AK14</f>
        <v>5</v>
      </c>
      <c r="Q9" s="77">
        <v>29</v>
      </c>
      <c r="R9" s="122">
        <f>Metadata!AR14</f>
        <v>4</v>
      </c>
      <c r="S9" s="77">
        <v>29</v>
      </c>
      <c r="T9" s="122">
        <f>Metadata!AY14</f>
        <v>9</v>
      </c>
      <c r="U9" s="77">
        <v>17</v>
      </c>
      <c r="V9" s="122">
        <f>Metadata!BF14</f>
        <v>6</v>
      </c>
      <c r="W9" s="77">
        <v>2</v>
      </c>
      <c r="X9" s="122">
        <f>Metadata!BM14</f>
        <v>2</v>
      </c>
      <c r="Y9" s="77">
        <v>1</v>
      </c>
      <c r="Z9" s="122">
        <f>Metadata!BT14</f>
        <v>1</v>
      </c>
      <c r="AA9" s="77">
        <v>23</v>
      </c>
      <c r="AB9" s="122">
        <f>Metadata!CA14</f>
        <v>7</v>
      </c>
      <c r="AC9" s="215">
        <f t="shared" si="0"/>
        <v>82</v>
      </c>
      <c r="AD9" s="217" t="str" cm="1">
        <f t="array" ref="AD9">IF(AND($AC9&lt;&gt;82,$AC9&lt;&gt;67,$AC9&lt;&gt;56),IF(SUMPRODUCT((ISEVEN(COLUMN($F9:$AB9)))*($F9:$AB9&gt;1)*(COUNTIFS($F9:$AB9,$F9:$AB9)&gt;1))&gt;0,"FALSE / DOUBLE","OK"),"OK")</f>
        <v>OK</v>
      </c>
      <c r="AE9" s="93"/>
    </row>
    <row r="10" spans="1:33" ht="15" customHeight="1" x14ac:dyDescent="0.25">
      <c r="A10" s="93"/>
      <c r="B10" s="270"/>
      <c r="C10" s="263" t="s">
        <v>28</v>
      </c>
      <c r="D10" s="264"/>
      <c r="E10" s="78">
        <v>35</v>
      </c>
      <c r="F10" s="122">
        <f>Metadata!B15</f>
        <v>8</v>
      </c>
      <c r="G10" s="77">
        <v>52</v>
      </c>
      <c r="H10" s="122">
        <f>Metadata!I15</f>
        <v>6</v>
      </c>
      <c r="I10" s="77">
        <v>45</v>
      </c>
      <c r="J10" s="122">
        <f>Metadata!P15</f>
        <v>1</v>
      </c>
      <c r="K10" s="77">
        <v>41</v>
      </c>
      <c r="L10" s="122">
        <f>Metadata!W15</f>
        <v>12</v>
      </c>
      <c r="M10" s="77">
        <v>40</v>
      </c>
      <c r="N10" s="122">
        <f>Metadata!AD15</f>
        <v>3</v>
      </c>
      <c r="O10" s="77">
        <v>35</v>
      </c>
      <c r="P10" s="122">
        <f>Metadata!AK15</f>
        <v>9</v>
      </c>
      <c r="Q10" s="77">
        <v>34</v>
      </c>
      <c r="R10" s="122">
        <f>Metadata!AR15</f>
        <v>5</v>
      </c>
      <c r="S10" s="77">
        <v>31</v>
      </c>
      <c r="T10" s="122">
        <f>Metadata!AY15</f>
        <v>2</v>
      </c>
      <c r="U10" s="77">
        <v>24</v>
      </c>
      <c r="V10" s="122">
        <f>Metadata!BF15</f>
        <v>7</v>
      </c>
      <c r="W10" s="77" t="s">
        <v>29</v>
      </c>
      <c r="X10" s="122">
        <f>Metadata!BM15</f>
        <v>0</v>
      </c>
      <c r="Y10" s="77">
        <v>10</v>
      </c>
      <c r="Z10" s="122">
        <f>Metadata!BT15</f>
        <v>9</v>
      </c>
      <c r="AA10" s="77">
        <v>27</v>
      </c>
      <c r="AB10" s="122">
        <f>Metadata!CA15</f>
        <v>4</v>
      </c>
      <c r="AC10" s="215">
        <f t="shared" si="0"/>
        <v>66</v>
      </c>
      <c r="AD10" s="217" t="str" cm="1">
        <f t="array" ref="AD10">IF(AND($AC10&lt;&gt;82,$AC10&lt;&gt;67,$AC10&lt;&gt;56),IF(SUMPRODUCT((ISEVEN(COLUMN($F10:$AB10)))*($F10:$AB10&gt;1)*(COUNTIFS($F10:$AB10,$F10:$AB10)&gt;1))&gt;0,"FALSE / DOUBLE","OK"),"OK")</f>
        <v>FALSE / DOUBLE</v>
      </c>
      <c r="AE10" s="93"/>
    </row>
    <row r="11" spans="1:33" ht="15" customHeight="1" x14ac:dyDescent="0.25">
      <c r="A11" s="93"/>
      <c r="B11" s="270"/>
      <c r="C11" s="263"/>
      <c r="D11" s="264"/>
      <c r="E11" s="78">
        <v>41</v>
      </c>
      <c r="F11" s="122">
        <f>Metadata!B16</f>
        <v>6</v>
      </c>
      <c r="G11" s="77">
        <v>63</v>
      </c>
      <c r="H11" s="122">
        <f>Metadata!I16</f>
        <v>11</v>
      </c>
      <c r="I11" s="77">
        <v>53</v>
      </c>
      <c r="J11" s="122">
        <f>Metadata!P16</f>
        <v>8</v>
      </c>
      <c r="K11" s="77">
        <v>45</v>
      </c>
      <c r="L11" s="122">
        <f>Metadata!W16</f>
        <v>4</v>
      </c>
      <c r="M11" s="77">
        <v>41</v>
      </c>
      <c r="N11" s="122">
        <f>Metadata!AD16</f>
        <v>1</v>
      </c>
      <c r="O11" s="77" t="s">
        <v>29</v>
      </c>
      <c r="P11" s="122">
        <f>Metadata!AK16</f>
        <v>0</v>
      </c>
      <c r="Q11" s="77">
        <v>41</v>
      </c>
      <c r="R11" s="122">
        <f>Metadata!AR16</f>
        <v>7</v>
      </c>
      <c r="S11" s="77">
        <v>40</v>
      </c>
      <c r="T11" s="122">
        <f>Metadata!AY16</f>
        <v>9</v>
      </c>
      <c r="U11" s="77">
        <v>27</v>
      </c>
      <c r="V11" s="122">
        <f>Metadata!BF16</f>
        <v>3</v>
      </c>
      <c r="W11" s="77" t="s">
        <v>29</v>
      </c>
      <c r="X11" s="122">
        <f>Metadata!BM16</f>
        <v>0</v>
      </c>
      <c r="Y11" s="77">
        <v>12</v>
      </c>
      <c r="Z11" s="122">
        <f>Metadata!BT16</f>
        <v>2</v>
      </c>
      <c r="AA11" s="77">
        <v>32</v>
      </c>
      <c r="AB11" s="122">
        <f>Metadata!CA16</f>
        <v>5</v>
      </c>
      <c r="AC11" s="215">
        <f t="shared" si="0"/>
        <v>56</v>
      </c>
      <c r="AD11" s="217" t="str" cm="1">
        <f t="array" ref="AD11">IF(AND($AC11&lt;&gt;82,$AC11&lt;&gt;67,$AC11&lt;&gt;56),IF(SUMPRODUCT((ISEVEN(COLUMN($F11:$AB11)))*($F11:$AB11&gt;1)*(COUNTIFS($F11:$AB11,$F11:$AB11)&gt;1))&gt;0,"FALSE / DOUBLE","OK"),"OK")</f>
        <v>OK</v>
      </c>
      <c r="AE11" s="93"/>
    </row>
    <row r="12" spans="1:33" ht="15" customHeight="1" x14ac:dyDescent="0.25">
      <c r="A12" s="93"/>
      <c r="B12" s="270"/>
      <c r="C12" s="263"/>
      <c r="D12" s="264"/>
      <c r="E12" s="78">
        <v>5</v>
      </c>
      <c r="F12" s="122">
        <f>Metadata!B17</f>
        <v>5</v>
      </c>
      <c r="G12" s="77">
        <v>4</v>
      </c>
      <c r="H12" s="122">
        <f>Metadata!I17</f>
        <v>4</v>
      </c>
      <c r="I12" s="77">
        <v>7</v>
      </c>
      <c r="J12" s="122">
        <f>Metadata!P17</f>
        <v>7</v>
      </c>
      <c r="K12" s="77">
        <v>8</v>
      </c>
      <c r="L12" s="122">
        <f>Metadata!W17</f>
        <v>8</v>
      </c>
      <c r="M12" s="77">
        <v>10</v>
      </c>
      <c r="N12" s="122">
        <f>Metadata!AD17</f>
        <v>10</v>
      </c>
      <c r="O12" s="77">
        <v>3</v>
      </c>
      <c r="P12" s="122">
        <f>Metadata!AK17</f>
        <v>3</v>
      </c>
      <c r="Q12" s="77">
        <v>6</v>
      </c>
      <c r="R12" s="122">
        <f>Metadata!AR17</f>
        <v>6</v>
      </c>
      <c r="S12" s="77">
        <v>2</v>
      </c>
      <c r="T12" s="122">
        <f>Metadata!AY17</f>
        <v>2</v>
      </c>
      <c r="U12" s="77">
        <v>1</v>
      </c>
      <c r="V12" s="122">
        <f>Metadata!BF17</f>
        <v>1</v>
      </c>
      <c r="W12" s="77" t="s">
        <v>29</v>
      </c>
      <c r="X12" s="122">
        <f>Metadata!BM17</f>
        <v>0</v>
      </c>
      <c r="Y12" s="77">
        <v>9</v>
      </c>
      <c r="Z12" s="122">
        <f>Metadata!BT17</f>
        <v>9</v>
      </c>
      <c r="AA12" s="77">
        <v>12</v>
      </c>
      <c r="AB12" s="122">
        <f>Metadata!CA17</f>
        <v>12</v>
      </c>
      <c r="AC12" s="215">
        <f t="shared" si="0"/>
        <v>67</v>
      </c>
      <c r="AD12" s="217" t="str" cm="1">
        <f t="array" ref="AD12">IF(AND($AC12&lt;&gt;82,$AC12&lt;&gt;67,$AC12&lt;&gt;56),IF(SUMPRODUCT((ISEVEN(COLUMN($F12:$AB12)))*($F12:$AB12&gt;1)*(COUNTIFS($F12:$AB12,$F12:$AB12)&gt;1))&gt;0,"FALSE / DOUBLE","OK"),"OK")</f>
        <v>OK</v>
      </c>
      <c r="AE12" s="93"/>
    </row>
    <row r="13" spans="1:33" ht="15" customHeight="1" x14ac:dyDescent="0.25">
      <c r="A13" s="93"/>
      <c r="B13" s="270"/>
      <c r="C13" s="263"/>
      <c r="D13" s="264"/>
      <c r="E13" s="78">
        <v>17</v>
      </c>
      <c r="F13" s="122">
        <f>Metadata!B18</f>
        <v>12</v>
      </c>
      <c r="G13" s="77">
        <v>13</v>
      </c>
      <c r="H13" s="122">
        <f>Metadata!I18</f>
        <v>9</v>
      </c>
      <c r="I13" s="77">
        <v>12</v>
      </c>
      <c r="J13" s="122">
        <f>Metadata!P18</f>
        <v>5</v>
      </c>
      <c r="K13" s="77">
        <v>14</v>
      </c>
      <c r="L13" s="122">
        <f>Metadata!W18</f>
        <v>6</v>
      </c>
      <c r="M13" s="77">
        <v>18</v>
      </c>
      <c r="N13" s="122">
        <f>Metadata!AD18</f>
        <v>8</v>
      </c>
      <c r="O13" s="77">
        <v>10</v>
      </c>
      <c r="P13" s="122">
        <f>Metadata!AK18</f>
        <v>7</v>
      </c>
      <c r="Q13" s="77">
        <v>10</v>
      </c>
      <c r="R13" s="122">
        <f>Metadata!AR18</f>
        <v>4</v>
      </c>
      <c r="S13" s="77">
        <v>4</v>
      </c>
      <c r="T13" s="122">
        <f>Metadata!AY18</f>
        <v>2</v>
      </c>
      <c r="U13" s="77">
        <v>2</v>
      </c>
      <c r="V13" s="122">
        <f>Metadata!BF18</f>
        <v>1</v>
      </c>
      <c r="W13" s="77" t="s">
        <v>29</v>
      </c>
      <c r="X13" s="122">
        <f>Metadata!BM18</f>
        <v>0</v>
      </c>
      <c r="Y13" s="77">
        <v>12</v>
      </c>
      <c r="Z13" s="122">
        <f>Metadata!BT18</f>
        <v>3</v>
      </c>
      <c r="AA13" s="77">
        <v>22</v>
      </c>
      <c r="AB13" s="122">
        <f>Metadata!CA18</f>
        <v>10</v>
      </c>
      <c r="AC13" s="215">
        <f t="shared" si="0"/>
        <v>67</v>
      </c>
      <c r="AD13" s="217" t="str" cm="1">
        <f t="array" ref="AD13">IF(AND($AC13&lt;&gt;82,$AC13&lt;&gt;67,$AC13&lt;&gt;56),IF(SUMPRODUCT((ISEVEN(COLUMN($F13:$AB13)))*($F13:$AB13&gt;1)*(COUNTIFS($F13:$AB13,$F13:$AB13)&gt;1))&gt;0,"FALSE / DOUBLE","OK"),"OK")</f>
        <v>OK</v>
      </c>
      <c r="AE13" s="93"/>
    </row>
    <row r="14" spans="1:33" ht="15.75" customHeight="1" x14ac:dyDescent="0.25">
      <c r="A14" s="93"/>
      <c r="B14" s="270"/>
      <c r="C14" s="263"/>
      <c r="D14" s="264"/>
      <c r="E14" s="78">
        <v>26</v>
      </c>
      <c r="F14" s="122">
        <f>Metadata!B19</f>
        <v>9</v>
      </c>
      <c r="G14" s="77">
        <v>25</v>
      </c>
      <c r="H14" s="122">
        <f>Metadata!I19</f>
        <v>12</v>
      </c>
      <c r="I14" s="77">
        <v>20</v>
      </c>
      <c r="J14" s="122">
        <f>Metadata!P19</f>
        <v>8</v>
      </c>
      <c r="K14" s="77">
        <v>18</v>
      </c>
      <c r="L14" s="122">
        <f>Metadata!W19</f>
        <v>4</v>
      </c>
      <c r="M14" s="77">
        <v>24</v>
      </c>
      <c r="N14" s="122">
        <f>Metadata!AD19</f>
        <v>6</v>
      </c>
      <c r="O14" s="77">
        <v>13</v>
      </c>
      <c r="P14" s="122">
        <f>Metadata!AK19</f>
        <v>3</v>
      </c>
      <c r="Q14" s="77">
        <v>17</v>
      </c>
      <c r="R14" s="122">
        <f>Metadata!AR19</f>
        <v>7</v>
      </c>
      <c r="S14" s="77">
        <v>14</v>
      </c>
      <c r="T14" s="122">
        <f>Metadata!AY19</f>
        <v>10</v>
      </c>
      <c r="U14" s="77">
        <v>7</v>
      </c>
      <c r="V14" s="122">
        <f>Metadata!BF19</f>
        <v>5</v>
      </c>
      <c r="W14" s="77" t="s">
        <v>29</v>
      </c>
      <c r="X14" s="122">
        <f>Metadata!BM19</f>
        <v>0</v>
      </c>
      <c r="Y14" s="77">
        <v>14</v>
      </c>
      <c r="Z14" s="122">
        <f>Metadata!BT19</f>
        <v>2</v>
      </c>
      <c r="AA14" s="77">
        <v>23</v>
      </c>
      <c r="AB14" s="122">
        <f>Metadata!CA19</f>
        <v>1</v>
      </c>
      <c r="AC14" s="215">
        <f t="shared" si="0"/>
        <v>67</v>
      </c>
      <c r="AD14" s="217" t="str" cm="1">
        <f t="array" ref="AD14">IF(AND($AC14&lt;&gt;82,$AC14&lt;&gt;67,$AC14&lt;&gt;56),IF(SUMPRODUCT((ISEVEN(COLUMN($F14:$AB14)))*($F14:$AB14&gt;1)*(COUNTIFS($F14:$AB14,$F14:$AB14)&gt;1))&gt;0,"FALSE / DOUBLE","OK"),"OK")</f>
        <v>OK</v>
      </c>
      <c r="AE14" s="93"/>
      <c r="AF14" s="109"/>
      <c r="AG14" s="109"/>
    </row>
    <row r="15" spans="1:33" ht="15" customHeight="1" x14ac:dyDescent="0.25">
      <c r="A15" s="93"/>
      <c r="B15" s="270"/>
      <c r="C15" s="263"/>
      <c r="D15" s="264"/>
      <c r="E15" s="78">
        <v>41</v>
      </c>
      <c r="F15" s="122">
        <f>Metadata!B20</f>
        <v>15</v>
      </c>
      <c r="G15" s="77">
        <v>31</v>
      </c>
      <c r="H15" s="122">
        <f>Metadata!I20</f>
        <v>6</v>
      </c>
      <c r="I15" s="77">
        <v>29</v>
      </c>
      <c r="J15" s="122">
        <f>Metadata!P20</f>
        <v>9</v>
      </c>
      <c r="K15" s="77">
        <v>26</v>
      </c>
      <c r="L15" s="122">
        <f>Metadata!W20</f>
        <v>8</v>
      </c>
      <c r="M15" s="77">
        <v>34</v>
      </c>
      <c r="N15" s="122">
        <f>Metadata!AD20</f>
        <v>10</v>
      </c>
      <c r="O15" s="77">
        <v>16</v>
      </c>
      <c r="P15" s="122">
        <f>Metadata!AK20</f>
        <v>3</v>
      </c>
      <c r="Q15" s="77">
        <v>22</v>
      </c>
      <c r="R15" s="122">
        <f>Metadata!AR20</f>
        <v>5</v>
      </c>
      <c r="S15" s="77">
        <v>18</v>
      </c>
      <c r="T15" s="122">
        <f>Metadata!AY20</f>
        <v>4</v>
      </c>
      <c r="U15" s="77">
        <v>8</v>
      </c>
      <c r="V15" s="122">
        <f>Metadata!BF20</f>
        <v>1</v>
      </c>
      <c r="W15" s="77">
        <v>2</v>
      </c>
      <c r="X15" s="122">
        <f>Metadata!BM20</f>
        <v>2</v>
      </c>
      <c r="Y15" s="77">
        <v>26</v>
      </c>
      <c r="Z15" s="122">
        <f>Metadata!BT20</f>
        <v>12</v>
      </c>
      <c r="AA15" s="77">
        <v>30</v>
      </c>
      <c r="AB15" s="122">
        <f>Metadata!CA20</f>
        <v>7</v>
      </c>
      <c r="AC15" s="215">
        <f t="shared" si="0"/>
        <v>82</v>
      </c>
      <c r="AD15" s="217" t="str" cm="1">
        <f t="array" ref="AD15">IF(AND($AC15&lt;&gt;82,$AC15&lt;&gt;67,$AC15&lt;&gt;56),IF(SUMPRODUCT((ISEVEN(COLUMN($F15:$AB15)))*($F15:$AB15&gt;1)*(COUNTIFS($F15:$AB15,$F15:$AB15)&gt;1))&gt;0,"FALSE / DOUBLE","OK"),"OK")</f>
        <v>OK</v>
      </c>
      <c r="AE15" s="93"/>
    </row>
    <row r="16" spans="1:33" ht="15" customHeight="1" x14ac:dyDescent="0.25">
      <c r="A16" s="93"/>
      <c r="B16" s="270"/>
      <c r="C16" s="263"/>
      <c r="D16" s="264"/>
      <c r="E16" s="78">
        <v>44</v>
      </c>
      <c r="F16" s="122">
        <f>Metadata!B21</f>
        <v>3</v>
      </c>
      <c r="G16" s="77">
        <v>46</v>
      </c>
      <c r="H16" s="122">
        <f>Metadata!I21</f>
        <v>15</v>
      </c>
      <c r="I16" s="77">
        <v>34</v>
      </c>
      <c r="J16" s="122">
        <f>Metadata!P21</f>
        <v>5</v>
      </c>
      <c r="K16" s="77">
        <v>38</v>
      </c>
      <c r="L16" s="122">
        <f>Metadata!W21</f>
        <v>12</v>
      </c>
      <c r="M16" s="77">
        <v>43</v>
      </c>
      <c r="N16" s="122">
        <f>Metadata!AD21</f>
        <v>9</v>
      </c>
      <c r="O16" s="77">
        <v>26</v>
      </c>
      <c r="P16" s="122">
        <f>Metadata!AK21</f>
        <v>10</v>
      </c>
      <c r="Q16" s="77">
        <v>28</v>
      </c>
      <c r="R16" s="122">
        <f>Metadata!AR21</f>
        <v>6</v>
      </c>
      <c r="S16" s="77">
        <v>26</v>
      </c>
      <c r="T16" s="122">
        <f>Metadata!AY21</f>
        <v>8</v>
      </c>
      <c r="U16" s="77">
        <v>12</v>
      </c>
      <c r="V16" s="122">
        <f>Metadata!BF21</f>
        <v>4</v>
      </c>
      <c r="W16" s="77">
        <v>3</v>
      </c>
      <c r="X16" s="122">
        <f>Metadata!BM21</f>
        <v>1</v>
      </c>
      <c r="Y16" s="77">
        <v>28</v>
      </c>
      <c r="Z16" s="122">
        <f>Metadata!BT21</f>
        <v>2</v>
      </c>
      <c r="AA16" s="77">
        <v>37</v>
      </c>
      <c r="AB16" s="122">
        <f>Metadata!CA21</f>
        <v>7</v>
      </c>
      <c r="AC16" s="215">
        <f t="shared" si="0"/>
        <v>82</v>
      </c>
      <c r="AD16" s="217" t="str" cm="1">
        <f t="array" ref="AD16">IF(AND($AC16&lt;&gt;82,$AC16&lt;&gt;67,$AC16&lt;&gt;56),IF(SUMPRODUCT((ISEVEN(COLUMN($F16:$AB16)))*($F16:$AB16&gt;1)*(COUNTIFS($F16:$AB16,$F16:$AB16)&gt;1))&gt;0,"FALSE / DOUBLE","OK"),"OK")</f>
        <v>OK</v>
      </c>
      <c r="AE16" s="93"/>
    </row>
    <row r="17" spans="1:31" ht="15.75" customHeight="1" x14ac:dyDescent="0.25">
      <c r="A17" s="93"/>
      <c r="B17" s="270"/>
      <c r="C17" s="261"/>
      <c r="D17" s="262"/>
      <c r="E17" s="220">
        <v>49</v>
      </c>
      <c r="F17" s="214">
        <f>Metadata!B22</f>
        <v>5</v>
      </c>
      <c r="G17" s="213">
        <v>47</v>
      </c>
      <c r="H17" s="214">
        <f>Metadata!I22</f>
        <v>1</v>
      </c>
      <c r="I17" s="213">
        <v>46</v>
      </c>
      <c r="J17" s="214">
        <f>Metadata!P22</f>
        <v>12</v>
      </c>
      <c r="K17" s="213">
        <v>40</v>
      </c>
      <c r="L17" s="214">
        <f>Metadata!W22</f>
        <v>2</v>
      </c>
      <c r="M17" s="213">
        <v>50</v>
      </c>
      <c r="N17" s="214">
        <f>Metadata!AD22</f>
        <v>7</v>
      </c>
      <c r="O17" s="213">
        <v>32</v>
      </c>
      <c r="P17" s="214">
        <f>Metadata!AK22</f>
        <v>6</v>
      </c>
      <c r="Q17" s="213">
        <v>37</v>
      </c>
      <c r="R17" s="214">
        <f>Metadata!AR22</f>
        <v>9</v>
      </c>
      <c r="S17" s="213">
        <v>36</v>
      </c>
      <c r="T17" s="214">
        <f>Metadata!AY22</f>
        <v>10</v>
      </c>
      <c r="U17" s="213">
        <v>16</v>
      </c>
      <c r="V17" s="214">
        <f>Metadata!BF22</f>
        <v>4</v>
      </c>
      <c r="W17" s="213">
        <v>11</v>
      </c>
      <c r="X17" s="214">
        <f>Metadata!BM22</f>
        <v>8</v>
      </c>
      <c r="Y17" s="213">
        <v>31</v>
      </c>
      <c r="Z17" s="214">
        <f>Metadata!BT22</f>
        <v>3</v>
      </c>
      <c r="AA17" s="213">
        <v>52</v>
      </c>
      <c r="AB17" s="214">
        <f>Metadata!CA22</f>
        <v>15</v>
      </c>
      <c r="AC17" s="215">
        <f t="shared" si="0"/>
        <v>82</v>
      </c>
      <c r="AD17" s="218" t="str" cm="1">
        <f t="array" ref="AD17">IF(AND($AC17&lt;&gt;82,$AC17&lt;&gt;67,$AC17&lt;&gt;56),IF(SUMPRODUCT((ISEVEN(COLUMN($F17:$AB17)))*($F17:$AB17&gt;1)*(COUNTIFS($F17:$AB17,$F17:$AB17)&gt;1))&gt;0,"FALSE / DOUBLE","OK"),"OK")</f>
        <v>OK</v>
      </c>
      <c r="AE17" s="93"/>
    </row>
    <row r="18" spans="1:31" ht="19.5" customHeight="1" x14ac:dyDescent="0.3">
      <c r="A18" s="93"/>
      <c r="B18" s="236"/>
      <c r="C18" s="269" t="s">
        <v>30</v>
      </c>
      <c r="D18" s="269"/>
      <c r="E18" s="271">
        <f>SUM(F6:F17)</f>
        <v>90</v>
      </c>
      <c r="F18" s="272"/>
      <c r="G18" s="271">
        <f>SUM(H6:H17)</f>
        <v>110</v>
      </c>
      <c r="H18" s="272"/>
      <c r="I18" s="271">
        <f>SUM(J6:J17)</f>
        <v>99</v>
      </c>
      <c r="J18" s="272"/>
      <c r="K18" s="271">
        <f>SUM(L6:L17)</f>
        <v>85</v>
      </c>
      <c r="L18" s="272"/>
      <c r="M18" s="271">
        <f>SUM(N6:N17)</f>
        <v>91</v>
      </c>
      <c r="N18" s="272"/>
      <c r="O18" s="271">
        <f>SUM(P6:P17)</f>
        <v>67</v>
      </c>
      <c r="P18" s="272"/>
      <c r="Q18" s="271">
        <f>SUM(R6:R17)</f>
        <v>78</v>
      </c>
      <c r="R18" s="272"/>
      <c r="S18" s="271">
        <f>SUM(T6:T17)</f>
        <v>76</v>
      </c>
      <c r="T18" s="272"/>
      <c r="U18" s="271">
        <f>SUM(V6:V17)</f>
        <v>43</v>
      </c>
      <c r="V18" s="272"/>
      <c r="W18" s="271">
        <f>SUM(X6:X17)</f>
        <v>20</v>
      </c>
      <c r="X18" s="272"/>
      <c r="Y18" s="271">
        <f>SUM(Z6:Z17)</f>
        <v>54</v>
      </c>
      <c r="Z18" s="272"/>
      <c r="AA18" s="271">
        <f>SUM(AB6:AB17)</f>
        <v>84</v>
      </c>
      <c r="AB18" s="272"/>
      <c r="AC18" s="125">
        <f>IFERROR(E18+G18+I18+K18+M18+O18+Q18+S18+U18+W18+Y18+AA18, "Calc Auto Metadata")</f>
        <v>897</v>
      </c>
      <c r="AD18" s="297"/>
      <c r="AE18" s="93"/>
    </row>
    <row r="19" spans="1:31" ht="19.5" customHeight="1" x14ac:dyDescent="0.25">
      <c r="A19" s="93"/>
      <c r="B19" s="236"/>
      <c r="C19" s="210" t="s">
        <v>31</v>
      </c>
      <c r="D19" s="211" t="s">
        <v>32</v>
      </c>
      <c r="E19" s="208">
        <f>SUM(Metadata!C11:C22)</f>
        <v>8</v>
      </c>
      <c r="F19" s="209">
        <f>SUM(Metadata!D11:D22)</f>
        <v>0</v>
      </c>
      <c r="G19" s="208">
        <f>SUM(Metadata!J11:J22)</f>
        <v>10</v>
      </c>
      <c r="H19" s="209">
        <f>SUM(Metadata!K11:K22)</f>
        <v>0</v>
      </c>
      <c r="I19" s="208">
        <f>SUM(Metadata!Q11:Q22)</f>
        <v>6</v>
      </c>
      <c r="J19" s="209">
        <f>SUM(Metadata!R11:R22)</f>
        <v>0</v>
      </c>
      <c r="K19" s="208">
        <f>SUM(Metadata!X11:X22)</f>
        <v>8</v>
      </c>
      <c r="L19" s="209">
        <f>SUM(Metadata!Y11:Y22)</f>
        <v>0</v>
      </c>
      <c r="M19" s="208">
        <f>SUM(Metadata!AE11:AE22)</f>
        <v>6</v>
      </c>
      <c r="N19" s="209">
        <f>SUM(Metadata!AF11:AF22)</f>
        <v>0</v>
      </c>
      <c r="O19" s="208">
        <f>SUM(Metadata!AL11:AL22)</f>
        <v>4</v>
      </c>
      <c r="P19" s="209">
        <f>SUM(Metadata!AM11:AM22)</f>
        <v>1</v>
      </c>
      <c r="Q19" s="208">
        <f>SUM(Metadata!AS11:AS22)</f>
        <v>6</v>
      </c>
      <c r="R19" s="209">
        <f>SUM(Metadata!AT11:AT22)</f>
        <v>0</v>
      </c>
      <c r="S19" s="208">
        <f>SUM(Metadata!AZ11:AZ22)</f>
        <v>8</v>
      </c>
      <c r="T19" s="209">
        <f>SUM(Metadata!BA11:BA22)</f>
        <v>0</v>
      </c>
      <c r="U19" s="208">
        <f>SUM(Metadata!BG11:BG22)</f>
        <v>6</v>
      </c>
      <c r="V19" s="209">
        <f>SUM(Metadata!BH11:BH22)</f>
        <v>0</v>
      </c>
      <c r="W19" s="208">
        <f>SUM(Metadata!BN11:BN22)</f>
        <v>0</v>
      </c>
      <c r="X19" s="209">
        <f>SUM(Metadata!BO11:BO22)</f>
        <v>5</v>
      </c>
      <c r="Y19" s="208">
        <f>SUM(Metadata!BU11:BU22)</f>
        <v>6</v>
      </c>
      <c r="Z19" s="209">
        <f>SUM(Metadata!BV11:BV22)</f>
        <v>0</v>
      </c>
      <c r="AA19" s="208">
        <f>SUM(Metadata!CB11:CB22)</f>
        <v>9</v>
      </c>
      <c r="AB19" s="209">
        <f>SUM(Metadata!CC11:CC22)</f>
        <v>0</v>
      </c>
      <c r="AC19" s="125">
        <f>E19+F19+G19+H19+I19+J19+K19+L19+M19+N19+O19+P19+Q19+R19+S19+T19+U19+V19+W19+X19+Y19+Z19+AA19+AB19</f>
        <v>83</v>
      </c>
      <c r="AD19" s="297"/>
      <c r="AE19" s="93"/>
    </row>
    <row r="20" spans="1:31" ht="18.75" customHeight="1" x14ac:dyDescent="0.25">
      <c r="A20" s="93"/>
      <c r="B20" s="236"/>
      <c r="C20" s="257" t="s">
        <v>33</v>
      </c>
      <c r="D20" s="267"/>
      <c r="E20" s="277">
        <f>Metadata!F22</f>
        <v>98</v>
      </c>
      <c r="F20" s="278"/>
      <c r="G20" s="273">
        <f>Metadata!M22</f>
        <v>120</v>
      </c>
      <c r="H20" s="274"/>
      <c r="I20" s="273">
        <f>Metadata!T22</f>
        <v>105</v>
      </c>
      <c r="J20" s="274"/>
      <c r="K20" s="273">
        <f>Metadata!AA22</f>
        <v>93</v>
      </c>
      <c r="L20" s="274"/>
      <c r="M20" s="273">
        <f>Metadata!AH22</f>
        <v>97</v>
      </c>
      <c r="N20" s="274"/>
      <c r="O20" s="273">
        <f>Metadata!AO22</f>
        <v>72</v>
      </c>
      <c r="P20" s="274"/>
      <c r="Q20" s="273">
        <f>Metadata!AV22</f>
        <v>84</v>
      </c>
      <c r="R20" s="274"/>
      <c r="S20" s="273">
        <f>Metadata!BC22</f>
        <v>84</v>
      </c>
      <c r="T20" s="274"/>
      <c r="U20" s="273">
        <f>Metadata!BJ22</f>
        <v>49</v>
      </c>
      <c r="V20" s="274"/>
      <c r="W20" s="273">
        <f>Metadata!BQ22</f>
        <v>25</v>
      </c>
      <c r="X20" s="274"/>
      <c r="Y20" s="273">
        <f>Metadata!BX22</f>
        <v>60</v>
      </c>
      <c r="Z20" s="274"/>
      <c r="AA20" s="273">
        <f>Metadata!CE22</f>
        <v>93</v>
      </c>
      <c r="AB20" s="274"/>
      <c r="AC20" s="252">
        <f>E20+G20+I20+K20+M20+O20+Q20+S20+U20+W20+Y20+AA20</f>
        <v>980</v>
      </c>
      <c r="AD20" s="297"/>
      <c r="AE20" s="93"/>
    </row>
    <row r="21" spans="1:31" ht="15.75" customHeight="1" thickBot="1" x14ac:dyDescent="0.3">
      <c r="A21" s="93"/>
      <c r="B21" s="236"/>
      <c r="C21" s="258"/>
      <c r="D21" s="268"/>
      <c r="E21" s="275"/>
      <c r="F21" s="276"/>
      <c r="G21" s="275"/>
      <c r="H21" s="276"/>
      <c r="I21" s="275"/>
      <c r="J21" s="276"/>
      <c r="K21" s="275"/>
      <c r="L21" s="276"/>
      <c r="M21" s="275"/>
      <c r="N21" s="276"/>
      <c r="O21" s="275"/>
      <c r="P21" s="276"/>
      <c r="Q21" s="275"/>
      <c r="R21" s="276"/>
      <c r="S21" s="275"/>
      <c r="T21" s="276"/>
      <c r="U21" s="275"/>
      <c r="V21" s="276"/>
      <c r="W21" s="275"/>
      <c r="X21" s="276"/>
      <c r="Y21" s="275"/>
      <c r="Z21" s="276"/>
      <c r="AA21" s="275"/>
      <c r="AB21" s="276"/>
      <c r="AC21" s="253"/>
      <c r="AD21" s="297"/>
      <c r="AE21" s="93"/>
    </row>
    <row r="22" spans="1:31" x14ac:dyDescent="0.25">
      <c r="A22" s="93"/>
      <c r="B22" s="236"/>
      <c r="C22" s="238" t="s">
        <v>34</v>
      </c>
      <c r="D22" s="239"/>
      <c r="E22" s="279">
        <f>41+49+1+2+1+3+1</f>
        <v>98</v>
      </c>
      <c r="F22" s="280"/>
      <c r="G22" s="279">
        <f>63+47+1+4+1+1+3</f>
        <v>120</v>
      </c>
      <c r="H22" s="280"/>
      <c r="I22" s="279">
        <f>53+46+1+2+1+1+1</f>
        <v>105</v>
      </c>
      <c r="J22" s="280"/>
      <c r="K22" s="279">
        <f>45+40+3+2+1+1+1</f>
        <v>93</v>
      </c>
      <c r="L22" s="280"/>
      <c r="M22" s="279">
        <f>41+50+1+2+2+1+1</f>
        <v>98</v>
      </c>
      <c r="N22" s="280"/>
      <c r="O22" s="279">
        <f>35+1+32+1+1+1+1</f>
        <v>72</v>
      </c>
      <c r="P22" s="280"/>
      <c r="Q22" s="279">
        <f>41+37+1+2+1+1+1</f>
        <v>84</v>
      </c>
      <c r="R22" s="280"/>
      <c r="S22" s="279">
        <f>40+36+1+3+1+1+2</f>
        <v>84</v>
      </c>
      <c r="T22" s="280"/>
      <c r="U22" s="279">
        <f>27+16+1+2+1+1+1</f>
        <v>49</v>
      </c>
      <c r="V22" s="280"/>
      <c r="W22" s="279">
        <f>7+2+1+1+1+1+1+11</f>
        <v>25</v>
      </c>
      <c r="X22" s="280"/>
      <c r="Y22" s="279">
        <f>11+1+12+31+2+2+1+1+1</f>
        <v>62</v>
      </c>
      <c r="Z22" s="280"/>
      <c r="AA22" s="279">
        <f>32+52+1+2+3+2+1</f>
        <v>93</v>
      </c>
      <c r="AB22" s="280"/>
      <c r="AC22" s="295">
        <f>E22+G22+I22+K22+M22+O22+Q22+S22+U22+W22+Y22+AA22</f>
        <v>983</v>
      </c>
      <c r="AD22" s="297"/>
      <c r="AE22" s="93"/>
    </row>
    <row r="23" spans="1:31" ht="15.75" thickBot="1" x14ac:dyDescent="0.3">
      <c r="A23" s="93"/>
      <c r="B23" s="237"/>
      <c r="C23" s="240"/>
      <c r="D23" s="241"/>
      <c r="E23" s="281"/>
      <c r="F23" s="282"/>
      <c r="G23" s="281"/>
      <c r="H23" s="282"/>
      <c r="I23" s="281"/>
      <c r="J23" s="282"/>
      <c r="K23" s="281"/>
      <c r="L23" s="282"/>
      <c r="M23" s="281"/>
      <c r="N23" s="282"/>
      <c r="O23" s="281"/>
      <c r="P23" s="282"/>
      <c r="Q23" s="281"/>
      <c r="R23" s="282"/>
      <c r="S23" s="281"/>
      <c r="T23" s="282"/>
      <c r="U23" s="281"/>
      <c r="V23" s="282"/>
      <c r="W23" s="281"/>
      <c r="X23" s="282"/>
      <c r="Y23" s="281"/>
      <c r="Z23" s="282"/>
      <c r="AA23" s="281"/>
      <c r="AB23" s="282"/>
      <c r="AC23" s="296"/>
      <c r="AD23" s="298"/>
      <c r="AE23" s="93"/>
    </row>
    <row r="24" spans="1:31" x14ac:dyDescent="0.25">
      <c r="A24" s="93"/>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row>
    <row r="25" spans="1:31" x14ac:dyDescent="0.25">
      <c r="A25" s="93"/>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row>
    <row r="26" spans="1:31" x14ac:dyDescent="0.25">
      <c r="A26" s="93"/>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row>
    <row r="27" spans="1:31" ht="15.75" thickBot="1" x14ac:dyDescent="0.3">
      <c r="A27" s="93"/>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row>
    <row r="28" spans="1:31" ht="27" customHeight="1" thickBot="1" x14ac:dyDescent="0.45">
      <c r="A28" s="93"/>
      <c r="B28" s="235" t="s">
        <v>35</v>
      </c>
      <c r="C28" s="259" t="s">
        <v>13</v>
      </c>
      <c r="D28" s="259"/>
      <c r="E28" s="254"/>
      <c r="F28" s="255"/>
      <c r="G28" s="254"/>
      <c r="H28" s="255"/>
      <c r="I28" s="254"/>
      <c r="J28" s="255"/>
      <c r="K28" s="254"/>
      <c r="L28" s="255"/>
      <c r="M28" s="254"/>
      <c r="N28" s="255"/>
      <c r="O28" s="254"/>
      <c r="P28" s="255"/>
      <c r="Q28" s="254"/>
      <c r="R28" s="255"/>
      <c r="S28" s="254"/>
      <c r="T28" s="255"/>
      <c r="U28" s="254"/>
      <c r="V28" s="255"/>
      <c r="W28" s="254"/>
      <c r="X28" s="255"/>
      <c r="Y28" s="254"/>
      <c r="Z28" s="255"/>
      <c r="AA28" s="254"/>
      <c r="AB28" s="255"/>
      <c r="AC28" s="71" t="s">
        <v>36</v>
      </c>
      <c r="AD28" s="93"/>
      <c r="AE28" s="93"/>
    </row>
    <row r="29" spans="1:31" ht="15" customHeight="1" x14ac:dyDescent="0.25">
      <c r="A29" s="93"/>
      <c r="B29" s="236"/>
      <c r="C29" s="250"/>
      <c r="D29" s="251"/>
      <c r="E29" s="77">
        <v>1</v>
      </c>
      <c r="F29" s="122">
        <f>Metadata!B34</f>
        <v>0</v>
      </c>
      <c r="G29" s="77">
        <v>9</v>
      </c>
      <c r="H29" s="122">
        <f>Metadata!I34</f>
        <v>0</v>
      </c>
      <c r="I29" s="77">
        <v>8</v>
      </c>
      <c r="J29" s="122">
        <f>Metadata!P34</f>
        <v>0</v>
      </c>
      <c r="K29" s="77">
        <v>10</v>
      </c>
      <c r="L29" s="122">
        <f>Metadata!W34</f>
        <v>0</v>
      </c>
      <c r="M29" s="77">
        <v>15</v>
      </c>
      <c r="N29" s="122">
        <f>Metadata!AD34</f>
        <v>0</v>
      </c>
      <c r="O29" s="77">
        <v>2</v>
      </c>
      <c r="P29" s="122">
        <f>Metadata!AK34</f>
        <v>0</v>
      </c>
      <c r="Q29" s="77">
        <v>12</v>
      </c>
      <c r="R29" s="122">
        <f>Metadata!AR34</f>
        <v>0</v>
      </c>
      <c r="S29" s="77">
        <v>4</v>
      </c>
      <c r="T29" s="122">
        <f>Metadata!AY34</f>
        <v>0</v>
      </c>
      <c r="U29" s="77">
        <v>7</v>
      </c>
      <c r="V29" s="122">
        <f>Metadata!BF34</f>
        <v>0</v>
      </c>
      <c r="W29" s="77">
        <v>6</v>
      </c>
      <c r="X29" s="122">
        <f>Metadata!BM34</f>
        <v>0</v>
      </c>
      <c r="Y29" s="77">
        <v>3</v>
      </c>
      <c r="Z29" s="122">
        <f>Metadata!BT34</f>
        <v>0</v>
      </c>
      <c r="AA29" s="77">
        <v>5</v>
      </c>
      <c r="AB29" s="122">
        <f>Metadata!CA34</f>
        <v>0</v>
      </c>
      <c r="AC29" s="51"/>
      <c r="AD29" s="93"/>
      <c r="AE29" s="93"/>
    </row>
    <row r="30" spans="1:31" ht="15" customHeight="1" x14ac:dyDescent="0.25">
      <c r="A30" s="93"/>
      <c r="B30" s="236"/>
      <c r="C30" s="246"/>
      <c r="D30" s="247"/>
      <c r="E30" s="77">
        <v>10</v>
      </c>
      <c r="F30" s="122">
        <f>Metadata!B35</f>
        <v>0</v>
      </c>
      <c r="G30" s="77">
        <v>14</v>
      </c>
      <c r="H30" s="122">
        <f>Metadata!I35</f>
        <v>0</v>
      </c>
      <c r="I30" s="77">
        <v>23</v>
      </c>
      <c r="J30" s="122">
        <f>Metadata!P35</f>
        <v>0</v>
      </c>
      <c r="K30" s="77">
        <v>17</v>
      </c>
      <c r="L30" s="122">
        <f>Metadata!W35</f>
        <v>0</v>
      </c>
      <c r="M30" s="77">
        <v>19</v>
      </c>
      <c r="N30" s="122">
        <f>Metadata!AD35</f>
        <v>0</v>
      </c>
      <c r="O30" s="77">
        <v>5</v>
      </c>
      <c r="P30" s="122">
        <f>Metadata!AK35</f>
        <v>0</v>
      </c>
      <c r="Q30" s="77">
        <v>13</v>
      </c>
      <c r="R30" s="122">
        <f>Metadata!AR35</f>
        <v>0</v>
      </c>
      <c r="S30" s="77">
        <v>6</v>
      </c>
      <c r="T30" s="122">
        <f>Metadata!AY35</f>
        <v>0</v>
      </c>
      <c r="U30" s="77">
        <v>15</v>
      </c>
      <c r="V30" s="122">
        <f>Metadata!BF35</f>
        <v>0</v>
      </c>
      <c r="W30" s="77">
        <v>18</v>
      </c>
      <c r="X30" s="122">
        <f>Metadata!BM35</f>
        <v>0</v>
      </c>
      <c r="Y30" s="77">
        <v>13</v>
      </c>
      <c r="Z30" s="122">
        <f>Metadata!BT35</f>
        <v>0</v>
      </c>
      <c r="AA30" s="77">
        <v>11</v>
      </c>
      <c r="AB30" s="122">
        <f>Metadata!CA35</f>
        <v>0</v>
      </c>
      <c r="AC30" s="51"/>
      <c r="AD30" s="93"/>
      <c r="AE30" s="93"/>
    </row>
    <row r="31" spans="1:31" ht="15" customHeight="1" x14ac:dyDescent="0.25">
      <c r="A31" s="93"/>
      <c r="B31" s="236"/>
      <c r="C31" s="246"/>
      <c r="D31" s="247"/>
      <c r="E31" s="77">
        <v>22</v>
      </c>
      <c r="F31" s="122">
        <f>Metadata!B36</f>
        <v>0</v>
      </c>
      <c r="G31" s="77">
        <v>29</v>
      </c>
      <c r="H31" s="122">
        <f>Metadata!I36</f>
        <v>0</v>
      </c>
      <c r="I31" s="77">
        <v>32</v>
      </c>
      <c r="J31" s="122">
        <f>Metadata!P36</f>
        <v>0</v>
      </c>
      <c r="K31" s="77">
        <v>19</v>
      </c>
      <c r="L31" s="122">
        <f>Metadata!W36</f>
        <v>0</v>
      </c>
      <c r="M31" s="77">
        <v>20</v>
      </c>
      <c r="N31" s="122">
        <f>Metadata!AD36</f>
        <v>0</v>
      </c>
      <c r="O31" s="77">
        <v>10</v>
      </c>
      <c r="P31" s="122">
        <f>Metadata!AK36</f>
        <v>0</v>
      </c>
      <c r="Q31" s="77">
        <v>23</v>
      </c>
      <c r="R31" s="122">
        <f>Metadata!AR36</f>
        <v>0</v>
      </c>
      <c r="S31" s="77">
        <v>9</v>
      </c>
      <c r="T31" s="122">
        <f>Metadata!AY36</f>
        <v>0</v>
      </c>
      <c r="U31" s="77">
        <v>22</v>
      </c>
      <c r="V31" s="122">
        <f>Metadata!BF36</f>
        <v>0</v>
      </c>
      <c r="W31" s="77">
        <v>22</v>
      </c>
      <c r="X31" s="122">
        <f>Metadata!BM36</f>
        <v>0</v>
      </c>
      <c r="Y31" s="77">
        <v>21</v>
      </c>
      <c r="Z31" s="122">
        <f>Metadata!BT36</f>
        <v>0</v>
      </c>
      <c r="AA31" s="77">
        <v>17</v>
      </c>
      <c r="AB31" s="122">
        <f>Metadata!CA36</f>
        <v>0</v>
      </c>
      <c r="AC31" s="51"/>
      <c r="AD31" s="93"/>
      <c r="AE31" s="93"/>
    </row>
    <row r="32" spans="1:31" ht="15" customHeight="1" x14ac:dyDescent="0.25">
      <c r="A32" s="93"/>
      <c r="B32" s="236"/>
      <c r="C32" s="246"/>
      <c r="D32" s="247"/>
      <c r="E32" s="77">
        <v>30</v>
      </c>
      <c r="F32" s="122">
        <f>Metadata!B37</f>
        <v>0</v>
      </c>
      <c r="G32" s="77">
        <v>35</v>
      </c>
      <c r="H32" s="122">
        <f>Metadata!I37</f>
        <v>0</v>
      </c>
      <c r="I32" s="77">
        <v>47</v>
      </c>
      <c r="J32" s="122">
        <f>Metadata!P37</f>
        <v>0</v>
      </c>
      <c r="K32" s="77">
        <v>23</v>
      </c>
      <c r="L32" s="122">
        <f>Metadata!W37</f>
        <v>0</v>
      </c>
      <c r="M32" s="77">
        <v>29</v>
      </c>
      <c r="N32" s="122">
        <f>Metadata!AD37</f>
        <v>0</v>
      </c>
      <c r="O32" s="77">
        <v>20</v>
      </c>
      <c r="P32" s="122">
        <f>Metadata!AK37</f>
        <v>0</v>
      </c>
      <c r="Q32" s="77">
        <v>28</v>
      </c>
      <c r="R32" s="122">
        <f>Metadata!AR37</f>
        <v>0</v>
      </c>
      <c r="S32" s="77">
        <v>10</v>
      </c>
      <c r="T32" s="122">
        <f>Metadata!AY37</f>
        <v>0</v>
      </c>
      <c r="U32" s="77">
        <v>25</v>
      </c>
      <c r="V32" s="122">
        <f>Metadata!BF37</f>
        <v>0</v>
      </c>
      <c r="W32" s="77">
        <v>29</v>
      </c>
      <c r="X32" s="122">
        <f>Metadata!BM37</f>
        <v>0</v>
      </c>
      <c r="Y32" s="77">
        <v>23</v>
      </c>
      <c r="Z32" s="122">
        <f>Metadata!BT37</f>
        <v>0</v>
      </c>
      <c r="AA32" s="77">
        <v>29</v>
      </c>
      <c r="AB32" s="122">
        <f>Metadata!CA37</f>
        <v>0</v>
      </c>
      <c r="AC32" s="51"/>
      <c r="AD32" s="93"/>
      <c r="AE32" s="93"/>
    </row>
    <row r="33" spans="1:31" ht="15" customHeight="1" x14ac:dyDescent="0.25">
      <c r="A33" s="93"/>
      <c r="B33" s="236"/>
      <c r="C33" s="246"/>
      <c r="D33" s="247"/>
      <c r="E33" s="77">
        <v>36</v>
      </c>
      <c r="F33" s="122">
        <f>Metadata!B38</f>
        <v>0</v>
      </c>
      <c r="G33" s="77">
        <v>43</v>
      </c>
      <c r="H33" s="122">
        <f>Metadata!I38</f>
        <v>0</v>
      </c>
      <c r="I33" s="77">
        <v>50</v>
      </c>
      <c r="J33" s="122">
        <f>Metadata!P38</f>
        <v>0</v>
      </c>
      <c r="K33" s="77">
        <v>25</v>
      </c>
      <c r="L33" s="122">
        <f>Metadata!W38</f>
        <v>0</v>
      </c>
      <c r="M33" s="77">
        <v>39</v>
      </c>
      <c r="N33" s="122">
        <f>Metadata!AD38</f>
        <v>0</v>
      </c>
      <c r="O33" s="77">
        <v>25</v>
      </c>
      <c r="P33" s="122">
        <f>Metadata!AK38</f>
        <v>0</v>
      </c>
      <c r="Q33" s="77">
        <v>37</v>
      </c>
      <c r="R33" s="122">
        <f>Metadata!AR38</f>
        <v>0</v>
      </c>
      <c r="S33" s="77" t="s">
        <v>29</v>
      </c>
      <c r="T33" s="122">
        <f>Metadata!AY38</f>
        <v>0</v>
      </c>
      <c r="U33" s="77">
        <v>29</v>
      </c>
      <c r="V33" s="122">
        <f>Metadata!BF38</f>
        <v>0</v>
      </c>
      <c r="W33" s="77">
        <v>30</v>
      </c>
      <c r="X33" s="122">
        <f>Metadata!BM38</f>
        <v>0</v>
      </c>
      <c r="Y33" s="77">
        <v>30</v>
      </c>
      <c r="Z33" s="122">
        <f>Metadata!BT38</f>
        <v>0</v>
      </c>
      <c r="AA33" s="77">
        <v>41</v>
      </c>
      <c r="AB33" s="122">
        <f>Metadata!CA38</f>
        <v>0</v>
      </c>
      <c r="AC33" s="51"/>
      <c r="AD33" s="93"/>
      <c r="AE33" s="93"/>
    </row>
    <row r="34" spans="1:31" ht="15" customHeight="1" x14ac:dyDescent="0.25">
      <c r="A34" s="93"/>
      <c r="B34" s="236"/>
      <c r="C34" s="246"/>
      <c r="D34" s="247"/>
      <c r="E34" s="77">
        <v>37</v>
      </c>
      <c r="F34" s="122">
        <f>Metadata!B39</f>
        <v>0</v>
      </c>
      <c r="G34" s="77">
        <v>47</v>
      </c>
      <c r="H34" s="122">
        <f>Metadata!I39</f>
        <v>0</v>
      </c>
      <c r="I34" s="77">
        <v>62</v>
      </c>
      <c r="J34" s="122">
        <f>Metadata!P39</f>
        <v>0</v>
      </c>
      <c r="K34" s="77">
        <v>30</v>
      </c>
      <c r="L34" s="122">
        <f>Metadata!W39</f>
        <v>0</v>
      </c>
      <c r="M34" s="77">
        <v>46</v>
      </c>
      <c r="N34" s="122">
        <f>Metadata!AD39</f>
        <v>0</v>
      </c>
      <c r="O34" s="77">
        <v>31</v>
      </c>
      <c r="P34" s="122">
        <f>Metadata!AK39</f>
        <v>0</v>
      </c>
      <c r="Q34" s="77">
        <v>46</v>
      </c>
      <c r="R34" s="122">
        <f>Metadata!AR39</f>
        <v>0</v>
      </c>
      <c r="S34" s="77" t="s">
        <v>29</v>
      </c>
      <c r="T34" s="122">
        <f>Metadata!AY39</f>
        <v>0</v>
      </c>
      <c r="U34" s="77">
        <v>39</v>
      </c>
      <c r="V34" s="122">
        <f>Metadata!BF39</f>
        <v>0</v>
      </c>
      <c r="W34" s="77">
        <v>38</v>
      </c>
      <c r="X34" s="122">
        <f>Metadata!BM39</f>
        <v>0</v>
      </c>
      <c r="Y34" s="77">
        <v>32</v>
      </c>
      <c r="Z34" s="122">
        <f>Metadata!BT39</f>
        <v>0</v>
      </c>
      <c r="AA34" s="77">
        <v>44</v>
      </c>
      <c r="AB34" s="122">
        <f>Metadata!CA39</f>
        <v>0</v>
      </c>
      <c r="AC34" s="51"/>
      <c r="AD34" s="93"/>
      <c r="AE34" s="93"/>
    </row>
    <row r="35" spans="1:31" ht="15" customHeight="1" x14ac:dyDescent="0.25">
      <c r="A35" s="93"/>
      <c r="B35" s="236"/>
      <c r="C35" s="246"/>
      <c r="D35" s="247"/>
      <c r="E35" s="77">
        <v>47</v>
      </c>
      <c r="F35" s="122" t="str">
        <f>Metadata!B40</f>
        <v>PDiff</v>
      </c>
      <c r="G35" s="77">
        <v>53</v>
      </c>
      <c r="H35" s="122" t="str">
        <f>Metadata!I40</f>
        <v>PDiff</v>
      </c>
      <c r="I35" s="77">
        <v>66</v>
      </c>
      <c r="J35" s="122" t="str">
        <f>Metadata!P40</f>
        <v>PDiff</v>
      </c>
      <c r="K35" s="77">
        <v>33</v>
      </c>
      <c r="L35" s="122" t="str">
        <f>Metadata!W40</f>
        <v>PDiff</v>
      </c>
      <c r="M35" s="77">
        <v>53</v>
      </c>
      <c r="N35" s="122" t="str">
        <f>Metadata!AD40</f>
        <v>PDiff</v>
      </c>
      <c r="O35" s="77">
        <v>40</v>
      </c>
      <c r="P35" s="122" t="str">
        <f>Metadata!AK40</f>
        <v>PDiff</v>
      </c>
      <c r="Q35" s="77">
        <v>48</v>
      </c>
      <c r="R35" s="122" t="str">
        <f>Metadata!AR40</f>
        <v>PDiff</v>
      </c>
      <c r="S35" s="77" t="s">
        <v>29</v>
      </c>
      <c r="T35" s="122" t="str">
        <f>Metadata!AY40</f>
        <v>PDiff</v>
      </c>
      <c r="U35" s="77">
        <v>44</v>
      </c>
      <c r="V35" s="122" t="str">
        <f>Metadata!BF40</f>
        <v>PDiff</v>
      </c>
      <c r="W35" s="77">
        <v>46</v>
      </c>
      <c r="X35" s="122" t="str">
        <f>Metadata!BM40</f>
        <v>PDiff</v>
      </c>
      <c r="Y35" s="77">
        <v>44</v>
      </c>
      <c r="Z35" s="122" t="str">
        <f>Metadata!BT40</f>
        <v>PDiff</v>
      </c>
      <c r="AA35" s="77">
        <v>45</v>
      </c>
      <c r="AB35" s="122" t="str">
        <f>Metadata!CA40</f>
        <v>PDiff</v>
      </c>
      <c r="AC35" s="51"/>
      <c r="AD35" s="93"/>
      <c r="AE35" s="93"/>
    </row>
    <row r="36" spans="1:31" ht="15" customHeight="1" x14ac:dyDescent="0.25">
      <c r="A36" s="93"/>
      <c r="B36" s="236"/>
      <c r="C36" s="246"/>
      <c r="D36" s="247"/>
      <c r="E36" s="77">
        <v>51</v>
      </c>
      <c r="F36" s="122">
        <f>Metadata!B41</f>
        <v>51</v>
      </c>
      <c r="G36" s="77">
        <v>63</v>
      </c>
      <c r="H36" s="122">
        <f>Metadata!I41</f>
        <v>63</v>
      </c>
      <c r="I36" s="77">
        <v>71</v>
      </c>
      <c r="J36" s="122">
        <f>Metadata!P41</f>
        <v>71</v>
      </c>
      <c r="K36" s="77">
        <v>41</v>
      </c>
      <c r="L36" s="122">
        <f>Metadata!W41</f>
        <v>41</v>
      </c>
      <c r="M36" s="77">
        <v>59</v>
      </c>
      <c r="N36" s="122">
        <f>Metadata!AD41</f>
        <v>59</v>
      </c>
      <c r="O36" s="77">
        <v>43</v>
      </c>
      <c r="P36" s="122">
        <f>Metadata!AK41</f>
        <v>43</v>
      </c>
      <c r="Q36" s="77">
        <v>60</v>
      </c>
      <c r="R36" s="122">
        <f>Metadata!AR41</f>
        <v>60</v>
      </c>
      <c r="S36" s="77" t="s">
        <v>29</v>
      </c>
      <c r="T36" s="122" t="str">
        <f>Metadata!AY41</f>
        <v>DC</v>
      </c>
      <c r="U36" s="77">
        <v>46</v>
      </c>
      <c r="V36" s="122">
        <f>Metadata!BF41</f>
        <v>47</v>
      </c>
      <c r="W36" s="77">
        <v>47</v>
      </c>
      <c r="X36" s="122">
        <f>Metadata!BM41</f>
        <v>47</v>
      </c>
      <c r="Y36" s="77">
        <v>51</v>
      </c>
      <c r="Z36" s="122">
        <f>Metadata!BT41</f>
        <v>51</v>
      </c>
      <c r="AA36" s="77">
        <v>54</v>
      </c>
      <c r="AB36" s="122">
        <f>Metadata!CA41</f>
        <v>54</v>
      </c>
      <c r="AC36" s="51"/>
      <c r="AD36" s="93"/>
      <c r="AE36" s="93"/>
    </row>
    <row r="37" spans="1:31" ht="15" customHeight="1" x14ac:dyDescent="0.25">
      <c r="A37" s="93"/>
      <c r="B37" s="236"/>
      <c r="C37" s="246"/>
      <c r="D37" s="247"/>
      <c r="E37" s="77">
        <v>52</v>
      </c>
      <c r="F37" s="122">
        <f>Metadata!B42</f>
        <v>1</v>
      </c>
      <c r="G37" s="77">
        <v>67</v>
      </c>
      <c r="H37" s="122">
        <f>Metadata!I42</f>
        <v>4</v>
      </c>
      <c r="I37" s="77">
        <v>77</v>
      </c>
      <c r="J37" s="122">
        <f>Metadata!P42</f>
        <v>6</v>
      </c>
      <c r="K37" s="77">
        <v>48</v>
      </c>
      <c r="L37" s="122">
        <f>Metadata!W42</f>
        <v>7</v>
      </c>
      <c r="M37" s="77">
        <v>61</v>
      </c>
      <c r="N37" s="122">
        <f>Metadata!AD42</f>
        <v>61</v>
      </c>
      <c r="O37" s="77">
        <v>46</v>
      </c>
      <c r="P37" s="122">
        <f>Metadata!AK42</f>
        <v>46</v>
      </c>
      <c r="Q37" s="77">
        <v>69</v>
      </c>
      <c r="R37" s="122">
        <f>Metadata!AR42</f>
        <v>69</v>
      </c>
      <c r="S37" s="77" t="s">
        <v>29</v>
      </c>
      <c r="T37" s="122">
        <f>Metadata!AY42</f>
        <v>0</v>
      </c>
      <c r="U37" s="77">
        <v>56</v>
      </c>
      <c r="V37" s="122">
        <f>Metadata!BF42</f>
        <v>56</v>
      </c>
      <c r="W37" s="77">
        <v>59</v>
      </c>
      <c r="X37" s="122">
        <f>Metadata!BM42</f>
        <v>59</v>
      </c>
      <c r="Y37" s="77">
        <v>59</v>
      </c>
      <c r="Z37" s="122">
        <f>Metadata!BT42</f>
        <v>59</v>
      </c>
      <c r="AA37" s="77">
        <v>59</v>
      </c>
      <c r="AB37" s="122">
        <f>Metadata!CA42</f>
        <v>59</v>
      </c>
      <c r="AC37" s="51"/>
      <c r="AD37" s="93"/>
      <c r="AE37" s="93"/>
    </row>
    <row r="38" spans="1:31" ht="15" customHeight="1" x14ac:dyDescent="0.25">
      <c r="A38" s="93"/>
      <c r="B38" s="236"/>
      <c r="C38" s="246"/>
      <c r="D38" s="247"/>
      <c r="E38" s="77">
        <v>53</v>
      </c>
      <c r="F38" s="122">
        <f>Metadata!B43</f>
        <v>1</v>
      </c>
      <c r="G38" s="77">
        <v>74</v>
      </c>
      <c r="H38" s="122">
        <f>Metadata!I43</f>
        <v>7</v>
      </c>
      <c r="I38" s="77">
        <v>81</v>
      </c>
      <c r="J38" s="122">
        <f>Metadata!P43</f>
        <v>4</v>
      </c>
      <c r="K38" s="77">
        <v>51</v>
      </c>
      <c r="L38" s="122">
        <f>Metadata!W43</f>
        <v>3</v>
      </c>
      <c r="M38" s="77">
        <v>63</v>
      </c>
      <c r="N38" s="122">
        <f>Metadata!AD43</f>
        <v>63</v>
      </c>
      <c r="O38" s="77">
        <v>52</v>
      </c>
      <c r="P38" s="122">
        <f>Metadata!AK43</f>
        <v>52</v>
      </c>
      <c r="Q38" s="77">
        <v>78</v>
      </c>
      <c r="R38" s="122">
        <f>Metadata!AR43</f>
        <v>78</v>
      </c>
      <c r="S38" s="77" t="s">
        <v>29</v>
      </c>
      <c r="T38" s="122">
        <f>Metadata!AY43</f>
        <v>0</v>
      </c>
      <c r="U38" s="77">
        <v>64</v>
      </c>
      <c r="V38" s="122">
        <f>Metadata!BF43</f>
        <v>64</v>
      </c>
      <c r="W38" s="77">
        <v>71</v>
      </c>
      <c r="X38" s="122">
        <f>Metadata!BM43</f>
        <v>71</v>
      </c>
      <c r="Y38" s="77">
        <v>64</v>
      </c>
      <c r="Z38" s="122">
        <f>Metadata!BT43</f>
        <v>64</v>
      </c>
      <c r="AA38" s="77">
        <v>69</v>
      </c>
      <c r="AB38" s="122">
        <f>Metadata!CA43</f>
        <v>69</v>
      </c>
      <c r="AC38" s="51"/>
      <c r="AD38" s="93"/>
      <c r="AE38" s="93"/>
    </row>
    <row r="39" spans="1:31" ht="15" customHeight="1" x14ac:dyDescent="0.25">
      <c r="A39" s="93"/>
      <c r="B39" s="236"/>
      <c r="C39" s="246"/>
      <c r="D39" s="247"/>
      <c r="E39" s="77">
        <v>63</v>
      </c>
      <c r="F39" s="122">
        <f>Metadata!B44</f>
        <v>10</v>
      </c>
      <c r="G39" s="77">
        <v>86</v>
      </c>
      <c r="H39" s="122">
        <f>Metadata!I44</f>
        <v>12</v>
      </c>
      <c r="I39" s="77">
        <v>86</v>
      </c>
      <c r="J39" s="122">
        <f>Metadata!P44</f>
        <v>5</v>
      </c>
      <c r="K39" s="77">
        <v>54</v>
      </c>
      <c r="L39" s="122">
        <f>Metadata!W44</f>
        <v>3</v>
      </c>
      <c r="M39" s="77">
        <v>64</v>
      </c>
      <c r="N39" s="122">
        <f>Metadata!AD44</f>
        <v>64</v>
      </c>
      <c r="O39" s="77">
        <v>56</v>
      </c>
      <c r="P39" s="122">
        <f>Metadata!AK44</f>
        <v>56</v>
      </c>
      <c r="Q39" s="77">
        <v>85</v>
      </c>
      <c r="R39" s="122">
        <f>Metadata!AR44</f>
        <v>85</v>
      </c>
      <c r="S39" s="77" t="s">
        <v>29</v>
      </c>
      <c r="T39" s="122">
        <f>Metadata!AY44</f>
        <v>0</v>
      </c>
      <c r="U39" s="77">
        <v>70</v>
      </c>
      <c r="V39" s="122">
        <f>Metadata!BF44</f>
        <v>70</v>
      </c>
      <c r="W39" s="77">
        <v>79</v>
      </c>
      <c r="X39" s="122">
        <f>Metadata!BM44</f>
        <v>79</v>
      </c>
      <c r="Y39" s="77">
        <v>73</v>
      </c>
      <c r="Z39" s="122">
        <f>Metadata!BT44</f>
        <v>73</v>
      </c>
      <c r="AA39" s="77">
        <v>71</v>
      </c>
      <c r="AB39" s="122">
        <f>Metadata!CA44</f>
        <v>71</v>
      </c>
      <c r="AC39" s="51"/>
      <c r="AD39" s="93"/>
      <c r="AE39" s="93"/>
    </row>
    <row r="40" spans="1:31" ht="15.75" customHeight="1" thickBot="1" x14ac:dyDescent="0.3">
      <c r="A40" s="93"/>
      <c r="B40" s="236"/>
      <c r="C40" s="248"/>
      <c r="D40" s="249"/>
      <c r="E40" s="77">
        <v>68</v>
      </c>
      <c r="F40" s="122">
        <f>Metadata!B45</f>
        <v>5</v>
      </c>
      <c r="G40" s="77">
        <v>89</v>
      </c>
      <c r="H40" s="122">
        <f>Metadata!I45</f>
        <v>3</v>
      </c>
      <c r="I40" s="77">
        <v>88</v>
      </c>
      <c r="J40" s="122">
        <f>Metadata!P45</f>
        <v>2</v>
      </c>
      <c r="K40" s="77">
        <v>60</v>
      </c>
      <c r="L40" s="122">
        <f>Metadata!W45</f>
        <v>6</v>
      </c>
      <c r="M40" s="77">
        <v>65</v>
      </c>
      <c r="N40" s="122">
        <f>Metadata!AD45</f>
        <v>65</v>
      </c>
      <c r="O40" s="77">
        <v>65</v>
      </c>
      <c r="P40" s="122">
        <f>Metadata!AK45</f>
        <v>65</v>
      </c>
      <c r="Q40" s="77">
        <v>97</v>
      </c>
      <c r="R40" s="122">
        <f>Metadata!AR45</f>
        <v>97</v>
      </c>
      <c r="S40" s="77" t="s">
        <v>29</v>
      </c>
      <c r="T40" s="122">
        <f>Metadata!AY45</f>
        <v>0</v>
      </c>
      <c r="U40" s="77">
        <v>74</v>
      </c>
      <c r="V40" s="122">
        <f>Metadata!BF45</f>
        <v>74</v>
      </c>
      <c r="W40" s="77">
        <v>89</v>
      </c>
      <c r="X40" s="122">
        <f>Metadata!BM45</f>
        <v>89</v>
      </c>
      <c r="Y40" s="77">
        <v>80</v>
      </c>
      <c r="Z40" s="122">
        <f>Metadata!BT45</f>
        <v>80</v>
      </c>
      <c r="AA40" s="77">
        <v>79</v>
      </c>
      <c r="AB40" s="122">
        <f>Metadata!CA45</f>
        <v>79</v>
      </c>
      <c r="AC40" s="51"/>
      <c r="AD40" s="93"/>
      <c r="AE40" s="93"/>
    </row>
    <row r="41" spans="1:31" ht="19.5" customHeight="1" thickBot="1" x14ac:dyDescent="0.35">
      <c r="A41" s="93"/>
      <c r="B41" s="236"/>
      <c r="C41" s="256" t="s">
        <v>30</v>
      </c>
      <c r="D41" s="256"/>
      <c r="E41" s="227"/>
      <c r="F41" s="228"/>
      <c r="G41" s="227"/>
      <c r="H41" s="228"/>
      <c r="I41" s="227"/>
      <c r="J41" s="228"/>
      <c r="K41" s="227"/>
      <c r="L41" s="228"/>
      <c r="M41" s="227"/>
      <c r="N41" s="228"/>
      <c r="O41" s="227"/>
      <c r="P41" s="228"/>
      <c r="Q41" s="227"/>
      <c r="R41" s="228"/>
      <c r="S41" s="227"/>
      <c r="T41" s="228"/>
      <c r="U41" s="227"/>
      <c r="V41" s="228"/>
      <c r="W41" s="227"/>
      <c r="X41" s="228"/>
      <c r="Y41" s="227"/>
      <c r="Z41" s="228"/>
      <c r="AA41" s="227"/>
      <c r="AB41" s="228"/>
      <c r="AC41" s="125">
        <f>E41+G41+I41+K41+M41+O41+Q41+S41+U41+W41+Y41+AA41</f>
        <v>0</v>
      </c>
      <c r="AD41" s="93"/>
      <c r="AE41" s="93"/>
    </row>
    <row r="42" spans="1:31" ht="19.5" customHeight="1" thickBot="1" x14ac:dyDescent="0.3">
      <c r="A42" s="93"/>
      <c r="B42" s="236"/>
      <c r="C42" s="158" t="s">
        <v>31</v>
      </c>
      <c r="D42" s="123" t="s">
        <v>32</v>
      </c>
      <c r="E42" s="105"/>
      <c r="F42" s="124"/>
      <c r="G42" s="105"/>
      <c r="H42" s="124"/>
      <c r="I42" s="105"/>
      <c r="J42" s="124"/>
      <c r="K42" s="105"/>
      <c r="L42" s="124"/>
      <c r="M42" s="105"/>
      <c r="N42" s="124"/>
      <c r="O42" s="105"/>
      <c r="P42" s="124"/>
      <c r="Q42" s="105"/>
      <c r="R42" s="124"/>
      <c r="S42" s="105"/>
      <c r="T42" s="124"/>
      <c r="U42" s="105"/>
      <c r="V42" s="124"/>
      <c r="W42" s="105"/>
      <c r="X42" s="124"/>
      <c r="Y42" s="105"/>
      <c r="Z42" s="124"/>
      <c r="AA42" s="105"/>
      <c r="AB42" s="124"/>
      <c r="AC42" s="125">
        <f>E42+F42+G42+H42+I42+J42+K42+L42+M42+N42+O42+P42+Q42+R42+S42+T42+U42+V42+W42+X42+Y42+Z42+AA42+AB42</f>
        <v>0</v>
      </c>
      <c r="AD42" s="93"/>
      <c r="AE42" s="93"/>
    </row>
    <row r="43" spans="1:31" ht="15" customHeight="1" x14ac:dyDescent="0.25">
      <c r="A43" s="93"/>
      <c r="B43" s="236"/>
      <c r="C43" s="257" t="s">
        <v>33</v>
      </c>
      <c r="D43" s="257"/>
      <c r="E43" s="277">
        <f>E41+F42+E42</f>
        <v>0</v>
      </c>
      <c r="F43" s="283"/>
      <c r="G43" s="285">
        <f>G41+H42+G42</f>
        <v>0</v>
      </c>
      <c r="H43" s="274"/>
      <c r="I43" s="277">
        <f t="shared" ref="I43" si="1">I41+J42+I42</f>
        <v>0</v>
      </c>
      <c r="J43" s="283"/>
      <c r="K43" s="285">
        <f>K41+L42+K42</f>
        <v>0</v>
      </c>
      <c r="L43" s="274"/>
      <c r="M43" s="277">
        <f>M41+N42+M42</f>
        <v>0</v>
      </c>
      <c r="N43" s="283"/>
      <c r="O43" s="285">
        <f t="shared" ref="O43" si="2">O41+P42+O42</f>
        <v>0</v>
      </c>
      <c r="P43" s="274"/>
      <c r="Q43" s="277">
        <f t="shared" ref="Q43" si="3">Q41+R42+Q42</f>
        <v>0</v>
      </c>
      <c r="R43" s="283"/>
      <c r="S43" s="285">
        <f t="shared" ref="S43" si="4">S41+T42+S42</f>
        <v>0</v>
      </c>
      <c r="T43" s="274"/>
      <c r="U43" s="277">
        <f t="shared" ref="U43" si="5">U41+V42+U42</f>
        <v>0</v>
      </c>
      <c r="V43" s="283"/>
      <c r="W43" s="285">
        <f t="shared" ref="W43" si="6">W41+X42+W42</f>
        <v>0</v>
      </c>
      <c r="X43" s="274"/>
      <c r="Y43" s="277">
        <f t="shared" ref="Y43" si="7">Y41+Z42+Y42</f>
        <v>0</v>
      </c>
      <c r="Z43" s="283"/>
      <c r="AA43" s="285">
        <f t="shared" ref="AA43" si="8">AA41+AB42+AA42</f>
        <v>0</v>
      </c>
      <c r="AB43" s="274"/>
      <c r="AC43" s="252">
        <f>E43+G43+I43+K43+M43+O43+Q43+S43+U43+W43+Y43+AA43</f>
        <v>0</v>
      </c>
      <c r="AD43" s="93"/>
      <c r="AE43" s="93"/>
    </row>
    <row r="44" spans="1:31" ht="15.75" customHeight="1" thickBot="1" x14ac:dyDescent="0.3">
      <c r="A44" s="93"/>
      <c r="B44" s="236"/>
      <c r="C44" s="258"/>
      <c r="D44" s="258"/>
      <c r="E44" s="275"/>
      <c r="F44" s="284"/>
      <c r="G44" s="284"/>
      <c r="H44" s="276"/>
      <c r="I44" s="275"/>
      <c r="J44" s="284"/>
      <c r="K44" s="284"/>
      <c r="L44" s="276"/>
      <c r="M44" s="275"/>
      <c r="N44" s="284"/>
      <c r="O44" s="284"/>
      <c r="P44" s="276"/>
      <c r="Q44" s="275"/>
      <c r="R44" s="284"/>
      <c r="S44" s="284"/>
      <c r="T44" s="276"/>
      <c r="U44" s="275"/>
      <c r="V44" s="284"/>
      <c r="W44" s="284"/>
      <c r="X44" s="276"/>
      <c r="Y44" s="275"/>
      <c r="Z44" s="284"/>
      <c r="AA44" s="284"/>
      <c r="AB44" s="276"/>
      <c r="AC44" s="253"/>
      <c r="AD44" s="93"/>
      <c r="AE44" s="93"/>
    </row>
    <row r="45" spans="1:31" ht="18.75" customHeight="1" x14ac:dyDescent="0.25">
      <c r="A45" s="93"/>
      <c r="B45" s="236"/>
      <c r="C45" s="286" t="s">
        <v>37</v>
      </c>
      <c r="D45" s="287"/>
      <c r="E45" s="221">
        <f>E43+G43</f>
        <v>0</v>
      </c>
      <c r="F45" s="222"/>
      <c r="G45" s="222"/>
      <c r="H45" s="223"/>
      <c r="I45" s="292">
        <f>I43+K43</f>
        <v>0</v>
      </c>
      <c r="J45" s="293"/>
      <c r="K45" s="293"/>
      <c r="L45" s="294"/>
      <c r="M45" s="292">
        <f>M43+O43</f>
        <v>0</v>
      </c>
      <c r="N45" s="293"/>
      <c r="O45" s="293"/>
      <c r="P45" s="294"/>
      <c r="Q45" s="292">
        <f>Q43+S43</f>
        <v>0</v>
      </c>
      <c r="R45" s="293"/>
      <c r="S45" s="293"/>
      <c r="T45" s="294"/>
      <c r="U45" s="292">
        <f>U43+W43</f>
        <v>0</v>
      </c>
      <c r="V45" s="293"/>
      <c r="W45" s="293"/>
      <c r="X45" s="294"/>
      <c r="Y45" s="292">
        <f>Y43+AA43</f>
        <v>0</v>
      </c>
      <c r="Z45" s="293"/>
      <c r="AA45" s="293"/>
      <c r="AB45" s="294"/>
      <c r="AC45" s="290">
        <f>E45+I45+M45+Q45+U45+Y45</f>
        <v>0</v>
      </c>
      <c r="AD45" s="93"/>
      <c r="AE45" s="93"/>
    </row>
    <row r="46" spans="1:31" ht="15.75" customHeight="1" thickBot="1" x14ac:dyDescent="0.3">
      <c r="A46" s="93"/>
      <c r="B46" s="236"/>
      <c r="C46" s="288"/>
      <c r="D46" s="289"/>
      <c r="E46" s="224"/>
      <c r="F46" s="225"/>
      <c r="G46" s="225"/>
      <c r="H46" s="226"/>
      <c r="I46" s="224"/>
      <c r="J46" s="225"/>
      <c r="K46" s="225"/>
      <c r="L46" s="226"/>
      <c r="M46" s="224"/>
      <c r="N46" s="225"/>
      <c r="O46" s="225"/>
      <c r="P46" s="226"/>
      <c r="Q46" s="224"/>
      <c r="R46" s="225"/>
      <c r="S46" s="225"/>
      <c r="T46" s="226"/>
      <c r="U46" s="224"/>
      <c r="V46" s="225"/>
      <c r="W46" s="225"/>
      <c r="X46" s="226"/>
      <c r="Y46" s="224"/>
      <c r="Z46" s="225"/>
      <c r="AA46" s="225"/>
      <c r="AB46" s="226"/>
      <c r="AC46" s="291"/>
      <c r="AD46" s="93"/>
      <c r="AE46" s="93"/>
    </row>
    <row r="47" spans="1:31" x14ac:dyDescent="0.25">
      <c r="A47" s="93"/>
      <c r="B47" s="236"/>
      <c r="C47" s="238" t="s">
        <v>34</v>
      </c>
      <c r="D47" s="239"/>
      <c r="E47" s="229"/>
      <c r="F47" s="230"/>
      <c r="G47" s="229"/>
      <c r="H47" s="230"/>
      <c r="I47" s="229"/>
      <c r="J47" s="230"/>
      <c r="K47" s="229"/>
      <c r="L47" s="230"/>
      <c r="M47" s="229"/>
      <c r="N47" s="230"/>
      <c r="O47" s="229"/>
      <c r="P47" s="230"/>
      <c r="Q47" s="229"/>
      <c r="R47" s="230"/>
      <c r="S47" s="229"/>
      <c r="T47" s="230"/>
      <c r="U47" s="229"/>
      <c r="V47" s="230"/>
      <c r="W47" s="229"/>
      <c r="X47" s="230"/>
      <c r="Y47" s="229"/>
      <c r="Z47" s="230"/>
      <c r="AA47" s="229"/>
      <c r="AB47" s="230"/>
      <c r="AC47" s="233"/>
      <c r="AD47" s="93"/>
      <c r="AE47" s="93"/>
    </row>
    <row r="48" spans="1:31" ht="15.75" thickBot="1" x14ac:dyDescent="0.3">
      <c r="A48" s="93"/>
      <c r="B48" s="237"/>
      <c r="C48" s="240"/>
      <c r="D48" s="241"/>
      <c r="E48" s="231"/>
      <c r="F48" s="232"/>
      <c r="G48" s="231"/>
      <c r="H48" s="232"/>
      <c r="I48" s="231"/>
      <c r="J48" s="232"/>
      <c r="K48" s="231"/>
      <c r="L48" s="232"/>
      <c r="M48" s="231"/>
      <c r="N48" s="232"/>
      <c r="O48" s="231"/>
      <c r="P48" s="232"/>
      <c r="Q48" s="231"/>
      <c r="R48" s="232"/>
      <c r="S48" s="231"/>
      <c r="T48" s="232"/>
      <c r="U48" s="231"/>
      <c r="V48" s="232"/>
      <c r="W48" s="231"/>
      <c r="X48" s="232"/>
      <c r="Y48" s="231"/>
      <c r="Z48" s="232"/>
      <c r="AA48" s="231"/>
      <c r="AB48" s="232"/>
      <c r="AC48" s="234"/>
      <c r="AD48" s="93"/>
      <c r="AE48" s="93"/>
    </row>
    <row r="49" spans="1:31" x14ac:dyDescent="0.25">
      <c r="A49" s="93"/>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row>
    <row r="50" spans="1:31" x14ac:dyDescent="0.25">
      <c r="A50" s="93"/>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row>
    <row r="51" spans="1:31" x14ac:dyDescent="0.25">
      <c r="A51" s="93"/>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row>
    <row r="52" spans="1:31" ht="15.75" thickBot="1" x14ac:dyDescent="0.3">
      <c r="A52" s="93"/>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row>
    <row r="53" spans="1:31" ht="27" customHeight="1" thickBot="1" x14ac:dyDescent="0.45">
      <c r="A53" s="93"/>
      <c r="B53" s="235" t="s">
        <v>38</v>
      </c>
      <c r="C53" s="259" t="s">
        <v>13</v>
      </c>
      <c r="D53" s="259"/>
      <c r="E53" s="254"/>
      <c r="F53" s="255"/>
      <c r="G53" s="254"/>
      <c r="H53" s="255"/>
      <c r="I53" s="254"/>
      <c r="J53" s="255"/>
      <c r="K53" s="254"/>
      <c r="L53" s="255"/>
      <c r="M53" s="254"/>
      <c r="N53" s="255"/>
      <c r="O53" s="254"/>
      <c r="P53" s="255"/>
      <c r="Q53" s="254"/>
      <c r="R53" s="255"/>
      <c r="S53" s="254"/>
      <c r="T53" s="255"/>
      <c r="U53" s="254"/>
      <c r="V53" s="255"/>
      <c r="W53" s="254"/>
      <c r="X53" s="255"/>
      <c r="Y53" s="254"/>
      <c r="Z53" s="255"/>
      <c r="AA53" s="254"/>
      <c r="AB53" s="255"/>
      <c r="AC53" s="95" t="s">
        <v>36</v>
      </c>
      <c r="AD53" s="93"/>
      <c r="AE53" s="93"/>
    </row>
    <row r="54" spans="1:31" ht="15" customHeight="1" x14ac:dyDescent="0.25">
      <c r="A54" s="93"/>
      <c r="B54" s="236"/>
      <c r="C54" s="250"/>
      <c r="D54" s="251"/>
      <c r="E54" s="78"/>
      <c r="F54" s="122"/>
      <c r="G54" s="78"/>
      <c r="H54" s="122"/>
      <c r="I54" s="78"/>
      <c r="J54" s="122"/>
      <c r="K54" s="77"/>
      <c r="L54" s="122"/>
      <c r="M54" s="78"/>
      <c r="N54" s="122"/>
      <c r="O54" s="78"/>
      <c r="P54" s="122"/>
      <c r="Q54" s="77"/>
      <c r="R54" s="122"/>
      <c r="S54" s="78"/>
      <c r="T54" s="122"/>
      <c r="U54" s="78"/>
      <c r="V54" s="122"/>
      <c r="W54" s="77"/>
      <c r="X54" s="122"/>
      <c r="Y54" s="78"/>
      <c r="Z54" s="122"/>
      <c r="AA54" s="78"/>
      <c r="AB54" s="122"/>
      <c r="AC54" s="51"/>
      <c r="AD54" s="93"/>
      <c r="AE54" s="93"/>
    </row>
    <row r="55" spans="1:31" ht="15" customHeight="1" x14ac:dyDescent="0.25">
      <c r="A55" s="93"/>
      <c r="B55" s="236"/>
      <c r="C55" s="246"/>
      <c r="D55" s="247"/>
      <c r="E55" s="78"/>
      <c r="F55" s="122"/>
      <c r="G55" s="78"/>
      <c r="H55" s="122"/>
      <c r="I55" s="78"/>
      <c r="J55" s="122"/>
      <c r="K55" s="77"/>
      <c r="L55" s="122"/>
      <c r="M55" s="78"/>
      <c r="N55" s="122"/>
      <c r="O55" s="78"/>
      <c r="P55" s="122"/>
      <c r="Q55" s="77"/>
      <c r="R55" s="122"/>
      <c r="S55" s="78"/>
      <c r="T55" s="122"/>
      <c r="U55" s="78"/>
      <c r="V55" s="122"/>
      <c r="W55" s="77"/>
      <c r="X55" s="122"/>
      <c r="Y55" s="78"/>
      <c r="Z55" s="122"/>
      <c r="AA55" s="78"/>
      <c r="AB55" s="122"/>
      <c r="AC55" s="51"/>
      <c r="AD55" s="93"/>
      <c r="AE55" s="93"/>
    </row>
    <row r="56" spans="1:31" ht="15" customHeight="1" x14ac:dyDescent="0.25">
      <c r="A56" s="93"/>
      <c r="B56" s="236"/>
      <c r="C56" s="246"/>
      <c r="D56" s="247"/>
      <c r="E56" s="78"/>
      <c r="F56" s="122"/>
      <c r="G56" s="78"/>
      <c r="H56" s="122"/>
      <c r="I56" s="78"/>
      <c r="J56" s="122"/>
      <c r="K56" s="77"/>
      <c r="L56" s="122"/>
      <c r="M56" s="78"/>
      <c r="N56" s="122"/>
      <c r="O56" s="78"/>
      <c r="P56" s="122"/>
      <c r="Q56" s="77"/>
      <c r="R56" s="122"/>
      <c r="S56" s="78"/>
      <c r="T56" s="122"/>
      <c r="U56" s="78"/>
      <c r="V56" s="122"/>
      <c r="W56" s="77"/>
      <c r="X56" s="122"/>
      <c r="Y56" s="78"/>
      <c r="Z56" s="122"/>
      <c r="AA56" s="78"/>
      <c r="AB56" s="122"/>
      <c r="AC56" s="51"/>
      <c r="AD56" s="93"/>
      <c r="AE56" s="93"/>
    </row>
    <row r="57" spans="1:31" ht="15" customHeight="1" x14ac:dyDescent="0.25">
      <c r="A57" s="93"/>
      <c r="B57" s="236"/>
      <c r="C57" s="246"/>
      <c r="D57" s="247"/>
      <c r="E57" s="78"/>
      <c r="F57" s="122"/>
      <c r="G57" s="78"/>
      <c r="H57" s="122"/>
      <c r="I57" s="78"/>
      <c r="J57" s="122"/>
      <c r="K57" s="77"/>
      <c r="L57" s="122"/>
      <c r="M57" s="78"/>
      <c r="N57" s="122"/>
      <c r="O57" s="78"/>
      <c r="P57" s="122"/>
      <c r="Q57" s="77"/>
      <c r="R57" s="122"/>
      <c r="S57" s="78"/>
      <c r="T57" s="122"/>
      <c r="U57" s="78"/>
      <c r="V57" s="122"/>
      <c r="W57" s="77"/>
      <c r="X57" s="122"/>
      <c r="Y57" s="78"/>
      <c r="Z57" s="122"/>
      <c r="AA57" s="78"/>
      <c r="AB57" s="122"/>
      <c r="AC57" s="51"/>
      <c r="AD57" s="93"/>
      <c r="AE57" s="93"/>
    </row>
    <row r="58" spans="1:31" ht="15" customHeight="1" x14ac:dyDescent="0.25">
      <c r="A58" s="93"/>
      <c r="B58" s="236"/>
      <c r="C58" s="246"/>
      <c r="D58" s="247"/>
      <c r="E58" s="78"/>
      <c r="F58" s="122"/>
      <c r="G58" s="78"/>
      <c r="H58" s="122"/>
      <c r="I58" s="78"/>
      <c r="J58" s="122"/>
      <c r="K58" s="77"/>
      <c r="L58" s="122"/>
      <c r="M58" s="78"/>
      <c r="N58" s="122"/>
      <c r="O58" s="78"/>
      <c r="P58" s="122"/>
      <c r="Q58" s="77"/>
      <c r="R58" s="122"/>
      <c r="S58" s="78"/>
      <c r="T58" s="122"/>
      <c r="U58" s="78"/>
      <c r="V58" s="122"/>
      <c r="W58" s="77"/>
      <c r="X58" s="122"/>
      <c r="Y58" s="78"/>
      <c r="Z58" s="122"/>
      <c r="AA58" s="78"/>
      <c r="AB58" s="122"/>
      <c r="AC58" s="51"/>
      <c r="AD58" s="93"/>
      <c r="AE58" s="93"/>
    </row>
    <row r="59" spans="1:31" ht="15" customHeight="1" x14ac:dyDescent="0.25">
      <c r="A59" s="93"/>
      <c r="B59" s="236"/>
      <c r="C59" s="246"/>
      <c r="D59" s="247"/>
      <c r="E59" s="78"/>
      <c r="F59" s="122"/>
      <c r="G59" s="78"/>
      <c r="H59" s="122"/>
      <c r="I59" s="78"/>
      <c r="J59" s="122"/>
      <c r="K59" s="77"/>
      <c r="L59" s="122"/>
      <c r="M59" s="78"/>
      <c r="N59" s="122"/>
      <c r="O59" s="78"/>
      <c r="P59" s="122"/>
      <c r="Q59" s="77"/>
      <c r="R59" s="122"/>
      <c r="S59" s="78"/>
      <c r="T59" s="122"/>
      <c r="U59" s="78"/>
      <c r="V59" s="122"/>
      <c r="W59" s="77"/>
      <c r="X59" s="122"/>
      <c r="Y59" s="78"/>
      <c r="Z59" s="122"/>
      <c r="AA59" s="78"/>
      <c r="AB59" s="122"/>
      <c r="AC59" s="51"/>
      <c r="AD59" s="93"/>
      <c r="AE59" s="93"/>
    </row>
    <row r="60" spans="1:31" ht="15" customHeight="1" x14ac:dyDescent="0.25">
      <c r="A60" s="93"/>
      <c r="B60" s="236"/>
      <c r="C60" s="246"/>
      <c r="D60" s="247"/>
      <c r="E60" s="78"/>
      <c r="F60" s="122"/>
      <c r="G60" s="78"/>
      <c r="H60" s="122"/>
      <c r="I60" s="78"/>
      <c r="J60" s="122"/>
      <c r="K60" s="77"/>
      <c r="L60" s="122"/>
      <c r="M60" s="78"/>
      <c r="N60" s="122"/>
      <c r="O60" s="78"/>
      <c r="P60" s="122"/>
      <c r="Q60" s="77"/>
      <c r="R60" s="122"/>
      <c r="S60" s="78"/>
      <c r="T60" s="122"/>
      <c r="U60" s="78"/>
      <c r="V60" s="122"/>
      <c r="W60" s="77"/>
      <c r="X60" s="122"/>
      <c r="Y60" s="78"/>
      <c r="Z60" s="122"/>
      <c r="AA60" s="78"/>
      <c r="AB60" s="122"/>
      <c r="AC60" s="51"/>
      <c r="AD60" s="93"/>
      <c r="AE60" s="93"/>
    </row>
    <row r="61" spans="1:31" ht="15" customHeight="1" x14ac:dyDescent="0.25">
      <c r="A61" s="93"/>
      <c r="B61" s="236"/>
      <c r="C61" s="246"/>
      <c r="D61" s="247"/>
      <c r="E61" s="78"/>
      <c r="F61" s="122"/>
      <c r="G61" s="78"/>
      <c r="H61" s="122"/>
      <c r="I61" s="78"/>
      <c r="J61" s="122"/>
      <c r="K61" s="77"/>
      <c r="L61" s="122"/>
      <c r="M61" s="78"/>
      <c r="N61" s="122"/>
      <c r="O61" s="78"/>
      <c r="P61" s="122"/>
      <c r="Q61" s="77"/>
      <c r="R61" s="122"/>
      <c r="S61" s="78"/>
      <c r="T61" s="122"/>
      <c r="U61" s="78"/>
      <c r="V61" s="122"/>
      <c r="W61" s="77"/>
      <c r="X61" s="122"/>
      <c r="Y61" s="78"/>
      <c r="Z61" s="122"/>
      <c r="AA61" s="78"/>
      <c r="AB61" s="122"/>
      <c r="AC61" s="51"/>
      <c r="AD61" s="93"/>
      <c r="AE61" s="93"/>
    </row>
    <row r="62" spans="1:31" ht="15" customHeight="1" x14ac:dyDescent="0.25">
      <c r="A62" s="93"/>
      <c r="B62" s="236"/>
      <c r="C62" s="246"/>
      <c r="D62" s="247"/>
      <c r="E62" s="78"/>
      <c r="F62" s="122"/>
      <c r="G62" s="78"/>
      <c r="H62" s="122"/>
      <c r="I62" s="78"/>
      <c r="J62" s="122"/>
      <c r="K62" s="77"/>
      <c r="L62" s="122"/>
      <c r="M62" s="78"/>
      <c r="N62" s="122"/>
      <c r="O62" s="78"/>
      <c r="P62" s="122"/>
      <c r="Q62" s="77"/>
      <c r="R62" s="122"/>
      <c r="S62" s="78"/>
      <c r="T62" s="122"/>
      <c r="U62" s="78"/>
      <c r="V62" s="122"/>
      <c r="W62" s="77"/>
      <c r="X62" s="122"/>
      <c r="Y62" s="78"/>
      <c r="Z62" s="122"/>
      <c r="AA62" s="78"/>
      <c r="AB62" s="122"/>
      <c r="AC62" s="51"/>
      <c r="AD62" s="93"/>
      <c r="AE62" s="93"/>
    </row>
    <row r="63" spans="1:31" ht="15" customHeight="1" x14ac:dyDescent="0.25">
      <c r="A63" s="93"/>
      <c r="B63" s="236"/>
      <c r="C63" s="246"/>
      <c r="D63" s="247"/>
      <c r="E63" s="78"/>
      <c r="F63" s="122"/>
      <c r="G63" s="78"/>
      <c r="H63" s="122"/>
      <c r="I63" s="78"/>
      <c r="J63" s="122"/>
      <c r="K63" s="77"/>
      <c r="L63" s="122"/>
      <c r="M63" s="78"/>
      <c r="N63" s="122"/>
      <c r="O63" s="78"/>
      <c r="P63" s="122"/>
      <c r="Q63" s="77"/>
      <c r="R63" s="122"/>
      <c r="S63" s="78"/>
      <c r="T63" s="122"/>
      <c r="U63" s="78"/>
      <c r="V63" s="122"/>
      <c r="W63" s="77"/>
      <c r="X63" s="122"/>
      <c r="Y63" s="78"/>
      <c r="Z63" s="122"/>
      <c r="AA63" s="78"/>
      <c r="AB63" s="122"/>
      <c r="AC63" s="51"/>
      <c r="AD63" s="93"/>
      <c r="AE63" s="93"/>
    </row>
    <row r="64" spans="1:31" ht="15" customHeight="1" x14ac:dyDescent="0.25">
      <c r="A64" s="93"/>
      <c r="B64" s="236"/>
      <c r="C64" s="246"/>
      <c r="D64" s="247"/>
      <c r="E64" s="78"/>
      <c r="F64" s="122"/>
      <c r="G64" s="78"/>
      <c r="H64" s="122"/>
      <c r="I64" s="78"/>
      <c r="J64" s="122"/>
      <c r="K64" s="77"/>
      <c r="L64" s="122"/>
      <c r="M64" s="78"/>
      <c r="N64" s="122"/>
      <c r="O64" s="78"/>
      <c r="P64" s="122"/>
      <c r="Q64" s="77"/>
      <c r="R64" s="122"/>
      <c r="S64" s="78"/>
      <c r="T64" s="122"/>
      <c r="U64" s="78"/>
      <c r="V64" s="122"/>
      <c r="W64" s="77"/>
      <c r="X64" s="122"/>
      <c r="Y64" s="78"/>
      <c r="Z64" s="122"/>
      <c r="AA64" s="78"/>
      <c r="AB64" s="122"/>
      <c r="AC64" s="51"/>
      <c r="AD64" s="93"/>
      <c r="AE64" s="93"/>
    </row>
    <row r="65" spans="1:31" ht="15.75" customHeight="1" thickBot="1" x14ac:dyDescent="0.3">
      <c r="A65" s="93"/>
      <c r="B65" s="236"/>
      <c r="C65" s="248"/>
      <c r="D65" s="249"/>
      <c r="E65" s="78"/>
      <c r="F65" s="122"/>
      <c r="G65" s="78"/>
      <c r="H65" s="122"/>
      <c r="I65" s="78"/>
      <c r="J65" s="122"/>
      <c r="K65" s="77"/>
      <c r="L65" s="122"/>
      <c r="M65" s="78"/>
      <c r="N65" s="122"/>
      <c r="O65" s="78"/>
      <c r="P65" s="122"/>
      <c r="Q65" s="77"/>
      <c r="R65" s="122"/>
      <c r="S65" s="78"/>
      <c r="T65" s="122"/>
      <c r="U65" s="78"/>
      <c r="V65" s="122"/>
      <c r="W65" s="77"/>
      <c r="X65" s="122"/>
      <c r="Y65" s="78"/>
      <c r="Z65" s="122"/>
      <c r="AA65" s="78"/>
      <c r="AB65" s="122"/>
      <c r="AC65" s="51"/>
      <c r="AD65" s="93"/>
      <c r="AE65" s="93"/>
    </row>
    <row r="66" spans="1:31" ht="19.5" customHeight="1" thickBot="1" x14ac:dyDescent="0.35">
      <c r="A66" s="93"/>
      <c r="B66" s="236"/>
      <c r="C66" s="256" t="s">
        <v>30</v>
      </c>
      <c r="D66" s="256"/>
      <c r="E66" s="227"/>
      <c r="F66" s="228"/>
      <c r="G66" s="227"/>
      <c r="H66" s="228"/>
      <c r="I66" s="227"/>
      <c r="J66" s="228"/>
      <c r="K66" s="227"/>
      <c r="L66" s="228"/>
      <c r="M66" s="227"/>
      <c r="N66" s="228"/>
      <c r="O66" s="227"/>
      <c r="P66" s="228"/>
      <c r="Q66" s="227"/>
      <c r="R66" s="228"/>
      <c r="S66" s="227"/>
      <c r="T66" s="228"/>
      <c r="U66" s="227"/>
      <c r="V66" s="228"/>
      <c r="W66" s="227"/>
      <c r="X66" s="228"/>
      <c r="Y66" s="227"/>
      <c r="Z66" s="228"/>
      <c r="AA66" s="227"/>
      <c r="AB66" s="228"/>
      <c r="AC66" s="125">
        <f>E66+G66+I66+K66+M66+O66+Q66+S66+U66+W66+Y66+AA66</f>
        <v>0</v>
      </c>
      <c r="AD66" s="93"/>
      <c r="AE66" s="93"/>
    </row>
    <row r="67" spans="1:31" ht="19.5" customHeight="1" thickBot="1" x14ac:dyDescent="0.3">
      <c r="A67" s="93"/>
      <c r="B67" s="236"/>
      <c r="C67" s="158" t="s">
        <v>31</v>
      </c>
      <c r="D67" s="123" t="s">
        <v>32</v>
      </c>
      <c r="E67" s="105"/>
      <c r="F67" s="124"/>
      <c r="G67" s="105"/>
      <c r="H67" s="124"/>
      <c r="I67" s="105"/>
      <c r="J67" s="124"/>
      <c r="K67" s="105"/>
      <c r="L67" s="124"/>
      <c r="M67" s="105"/>
      <c r="N67" s="124"/>
      <c r="O67" s="105"/>
      <c r="P67" s="124"/>
      <c r="Q67" s="105"/>
      <c r="R67" s="124"/>
      <c r="S67" s="105"/>
      <c r="T67" s="124"/>
      <c r="U67" s="105"/>
      <c r="V67" s="124"/>
      <c r="W67" s="105"/>
      <c r="X67" s="124"/>
      <c r="Y67" s="105"/>
      <c r="Z67" s="124"/>
      <c r="AA67" s="105"/>
      <c r="AB67" s="124"/>
      <c r="AC67" s="125">
        <f>E67+F67+G67+H67+I67+J67+K67+L67+M67+N67+O67+P67+Q67+R67+S67+T67+U67+V67+W67+X67+Y67+Z67+AA67+AB67</f>
        <v>0</v>
      </c>
      <c r="AD67" s="93"/>
      <c r="AE67" s="93"/>
    </row>
    <row r="68" spans="1:31" ht="15" customHeight="1" x14ac:dyDescent="0.25">
      <c r="A68" s="93"/>
      <c r="B68" s="236"/>
      <c r="C68" s="257" t="s">
        <v>33</v>
      </c>
      <c r="D68" s="257"/>
      <c r="E68" s="273">
        <f>E66+F67+E67</f>
        <v>0</v>
      </c>
      <c r="F68" s="285"/>
      <c r="G68" s="285">
        <f>G66+H67+G67</f>
        <v>0</v>
      </c>
      <c r="H68" s="285"/>
      <c r="I68" s="285">
        <f>I66+J67+I67</f>
        <v>0</v>
      </c>
      <c r="J68" s="274"/>
      <c r="K68" s="273">
        <f t="shared" ref="K68" si="9">K66+L67+K67</f>
        <v>0</v>
      </c>
      <c r="L68" s="285"/>
      <c r="M68" s="285">
        <f>M66+N67+M67</f>
        <v>0</v>
      </c>
      <c r="N68" s="285"/>
      <c r="O68" s="285">
        <f t="shared" ref="O68" si="10">O66+P67+O67</f>
        <v>0</v>
      </c>
      <c r="P68" s="274"/>
      <c r="Q68" s="273">
        <f t="shared" ref="Q68" si="11">Q66+R67+Q67</f>
        <v>0</v>
      </c>
      <c r="R68" s="285"/>
      <c r="S68" s="285">
        <f t="shared" ref="S68" si="12">S66+T67+S67</f>
        <v>0</v>
      </c>
      <c r="T68" s="285"/>
      <c r="U68" s="285">
        <f t="shared" ref="U68" si="13">U66+V67+U67</f>
        <v>0</v>
      </c>
      <c r="V68" s="274"/>
      <c r="W68" s="273">
        <f t="shared" ref="W68" si="14">W66+X67+W67</f>
        <v>0</v>
      </c>
      <c r="X68" s="285"/>
      <c r="Y68" s="285">
        <f t="shared" ref="Y68" si="15">Y66+Z67+Y67</f>
        <v>0</v>
      </c>
      <c r="Z68" s="285"/>
      <c r="AA68" s="285">
        <f t="shared" ref="AA68" si="16">AA66+AB67+AA67</f>
        <v>0</v>
      </c>
      <c r="AB68" s="274"/>
      <c r="AC68" s="252">
        <f>E68+G68+I68+K68+M68+O68+Q68+S68+U68+W68+Y68+AA68</f>
        <v>0</v>
      </c>
      <c r="AD68" s="93"/>
      <c r="AE68" s="93"/>
    </row>
    <row r="69" spans="1:31" ht="15.75" customHeight="1" thickBot="1" x14ac:dyDescent="0.3">
      <c r="A69" s="93"/>
      <c r="B69" s="236"/>
      <c r="C69" s="258"/>
      <c r="D69" s="258"/>
      <c r="E69" s="275"/>
      <c r="F69" s="284"/>
      <c r="G69" s="284"/>
      <c r="H69" s="284"/>
      <c r="I69" s="284"/>
      <c r="J69" s="276"/>
      <c r="K69" s="275"/>
      <c r="L69" s="284"/>
      <c r="M69" s="284"/>
      <c r="N69" s="284"/>
      <c r="O69" s="284"/>
      <c r="P69" s="276"/>
      <c r="Q69" s="275"/>
      <c r="R69" s="284"/>
      <c r="S69" s="284"/>
      <c r="T69" s="284"/>
      <c r="U69" s="284"/>
      <c r="V69" s="276"/>
      <c r="W69" s="275"/>
      <c r="X69" s="284"/>
      <c r="Y69" s="284"/>
      <c r="Z69" s="284"/>
      <c r="AA69" s="284"/>
      <c r="AB69" s="276"/>
      <c r="AC69" s="253"/>
      <c r="AD69" s="93"/>
      <c r="AE69" s="93"/>
    </row>
    <row r="70" spans="1:31" ht="15" customHeight="1" x14ac:dyDescent="0.25">
      <c r="A70" s="93"/>
      <c r="B70" s="236"/>
      <c r="C70" s="286" t="s">
        <v>37</v>
      </c>
      <c r="D70" s="287"/>
      <c r="E70" s="221">
        <f>E68+G68+I68</f>
        <v>0</v>
      </c>
      <c r="F70" s="222"/>
      <c r="G70" s="222"/>
      <c r="H70" s="222"/>
      <c r="I70" s="222"/>
      <c r="J70" s="223"/>
      <c r="K70" s="221">
        <f t="shared" ref="K70" si="17">K68+M68+O68</f>
        <v>0</v>
      </c>
      <c r="L70" s="222"/>
      <c r="M70" s="222"/>
      <c r="N70" s="222"/>
      <c r="O70" s="222"/>
      <c r="P70" s="223"/>
      <c r="Q70" s="221">
        <f t="shared" ref="Q70" si="18">Q68+S68+U68</f>
        <v>0</v>
      </c>
      <c r="R70" s="222"/>
      <c r="S70" s="222"/>
      <c r="T70" s="222"/>
      <c r="U70" s="222"/>
      <c r="V70" s="223"/>
      <c r="W70" s="221">
        <f t="shared" ref="W70" si="19">W68+Y68+AA68</f>
        <v>0</v>
      </c>
      <c r="X70" s="222"/>
      <c r="Y70" s="222"/>
      <c r="Z70" s="222"/>
      <c r="AA70" s="222"/>
      <c r="AB70" s="223"/>
      <c r="AC70" s="290">
        <f>E70+K70+Q70+W70</f>
        <v>0</v>
      </c>
      <c r="AD70" s="93"/>
      <c r="AE70" s="93"/>
    </row>
    <row r="71" spans="1:31" ht="15.75" customHeight="1" thickBot="1" x14ac:dyDescent="0.3">
      <c r="A71" s="93"/>
      <c r="B71" s="236"/>
      <c r="C71" s="288"/>
      <c r="D71" s="289"/>
      <c r="E71" s="224"/>
      <c r="F71" s="225"/>
      <c r="G71" s="225"/>
      <c r="H71" s="225"/>
      <c r="I71" s="225"/>
      <c r="J71" s="226"/>
      <c r="K71" s="224"/>
      <c r="L71" s="225"/>
      <c r="M71" s="225"/>
      <c r="N71" s="225"/>
      <c r="O71" s="225"/>
      <c r="P71" s="226"/>
      <c r="Q71" s="224"/>
      <c r="R71" s="225"/>
      <c r="S71" s="225"/>
      <c r="T71" s="225"/>
      <c r="U71" s="225"/>
      <c r="V71" s="226"/>
      <c r="W71" s="224"/>
      <c r="X71" s="225"/>
      <c r="Y71" s="225"/>
      <c r="Z71" s="225"/>
      <c r="AA71" s="225"/>
      <c r="AB71" s="226"/>
      <c r="AC71" s="291"/>
      <c r="AD71" s="93"/>
      <c r="AE71" s="93"/>
    </row>
    <row r="72" spans="1:31" x14ac:dyDescent="0.25">
      <c r="A72" s="93"/>
      <c r="B72" s="236"/>
      <c r="C72" s="238" t="s">
        <v>34</v>
      </c>
      <c r="D72" s="239"/>
      <c r="E72" s="242"/>
      <c r="F72" s="243"/>
      <c r="G72" s="242"/>
      <c r="H72" s="243"/>
      <c r="I72" s="242"/>
      <c r="J72" s="243"/>
      <c r="K72" s="242"/>
      <c r="L72" s="243"/>
      <c r="M72" s="242"/>
      <c r="N72" s="243"/>
      <c r="O72" s="242"/>
      <c r="P72" s="243"/>
      <c r="Q72" s="242"/>
      <c r="R72" s="243"/>
      <c r="S72" s="242"/>
      <c r="T72" s="243"/>
      <c r="U72" s="242"/>
      <c r="V72" s="243"/>
      <c r="W72" s="242"/>
      <c r="X72" s="243"/>
      <c r="Y72" s="242"/>
      <c r="Z72" s="243"/>
      <c r="AA72" s="242"/>
      <c r="AB72" s="243"/>
      <c r="AC72" s="156"/>
      <c r="AD72" s="93"/>
      <c r="AE72" s="93"/>
    </row>
    <row r="73" spans="1:31" ht="15.75" thickBot="1" x14ac:dyDescent="0.3">
      <c r="A73" s="93"/>
      <c r="B73" s="237"/>
      <c r="C73" s="240"/>
      <c r="D73" s="241"/>
      <c r="E73" s="244"/>
      <c r="F73" s="245"/>
      <c r="G73" s="244"/>
      <c r="H73" s="245"/>
      <c r="I73" s="244"/>
      <c r="J73" s="245"/>
      <c r="K73" s="244"/>
      <c r="L73" s="245"/>
      <c r="M73" s="244"/>
      <c r="N73" s="245"/>
      <c r="O73" s="244"/>
      <c r="P73" s="245"/>
      <c r="Q73" s="244"/>
      <c r="R73" s="245"/>
      <c r="S73" s="244"/>
      <c r="T73" s="245"/>
      <c r="U73" s="244"/>
      <c r="V73" s="245"/>
      <c r="W73" s="244"/>
      <c r="X73" s="245"/>
      <c r="Y73" s="244"/>
      <c r="Z73" s="245"/>
      <c r="AA73" s="244"/>
      <c r="AB73" s="245"/>
      <c r="AC73" s="157"/>
      <c r="AD73" s="93"/>
      <c r="AE73" s="93"/>
    </row>
    <row r="74" spans="1:31" x14ac:dyDescent="0.25">
      <c r="A74" s="93"/>
      <c r="B74" s="94"/>
      <c r="C74" s="94"/>
      <c r="D74" s="94"/>
      <c r="E74" s="94"/>
      <c r="F74" s="94"/>
      <c r="G74" s="94"/>
      <c r="H74" s="94"/>
      <c r="I74" s="94"/>
      <c r="J74" s="94"/>
      <c r="K74" s="94"/>
      <c r="L74" s="94"/>
      <c r="M74" s="94"/>
      <c r="N74" s="94"/>
      <c r="O74" s="94"/>
      <c r="P74" s="94"/>
      <c r="Q74" s="94"/>
      <c r="R74" s="94"/>
      <c r="S74" s="94"/>
      <c r="T74" s="94"/>
      <c r="U74" s="94"/>
      <c r="V74" s="94"/>
      <c r="W74" s="94"/>
      <c r="X74" s="94"/>
      <c r="Y74" s="94"/>
      <c r="Z74" s="94"/>
      <c r="AA74" s="94"/>
      <c r="AB74" s="94"/>
      <c r="AC74" s="94"/>
      <c r="AD74" s="93"/>
      <c r="AE74" s="93"/>
    </row>
    <row r="75" spans="1:31" x14ac:dyDescent="0.25">
      <c r="A75" s="93"/>
      <c r="B75" s="94"/>
      <c r="C75" s="94"/>
      <c r="D75" s="94"/>
      <c r="E75" s="94"/>
      <c r="F75" s="94"/>
      <c r="G75" s="94"/>
      <c r="H75" s="94"/>
      <c r="I75" s="94"/>
      <c r="J75" s="94"/>
      <c r="K75" s="94"/>
      <c r="L75" s="94"/>
      <c r="M75" s="94"/>
      <c r="N75" s="94"/>
      <c r="O75" s="94"/>
      <c r="P75" s="94"/>
      <c r="Q75" s="94"/>
      <c r="R75" s="94"/>
      <c r="S75" s="94"/>
      <c r="T75" s="94"/>
      <c r="U75" s="94"/>
      <c r="V75" s="94"/>
      <c r="W75" s="94"/>
      <c r="X75" s="94"/>
      <c r="Y75" s="94"/>
      <c r="Z75" s="94"/>
      <c r="AA75" s="94"/>
      <c r="AB75" s="94"/>
      <c r="AC75" s="94"/>
      <c r="AD75" s="93"/>
      <c r="AE75" s="93"/>
    </row>
    <row r="76" spans="1:31" x14ac:dyDescent="0.25">
      <c r="A76" s="93"/>
      <c r="B76" s="94"/>
      <c r="C76" s="94"/>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3"/>
      <c r="AE76" s="93"/>
    </row>
    <row r="77" spans="1:31" ht="15.75" thickBot="1" x14ac:dyDescent="0.3">
      <c r="A77" s="93"/>
      <c r="B77" s="94"/>
      <c r="C77" s="94"/>
      <c r="D77" s="94"/>
      <c r="E77" s="94"/>
      <c r="F77" s="94"/>
      <c r="G77" s="94"/>
      <c r="H77" s="94"/>
      <c r="I77" s="94"/>
      <c r="J77" s="94"/>
      <c r="K77" s="94"/>
      <c r="L77" s="94"/>
      <c r="M77" s="94"/>
      <c r="N77" s="94"/>
      <c r="O77" s="94"/>
      <c r="P77" s="94"/>
      <c r="Q77" s="94"/>
      <c r="R77" s="94"/>
      <c r="S77" s="94"/>
      <c r="T77" s="94"/>
      <c r="U77" s="94"/>
      <c r="V77" s="94"/>
      <c r="W77" s="94"/>
      <c r="X77" s="94"/>
      <c r="Y77" s="94"/>
      <c r="Z77" s="94"/>
      <c r="AA77" s="94"/>
      <c r="AB77" s="94"/>
      <c r="AC77" s="94"/>
      <c r="AD77" s="93"/>
      <c r="AE77" s="93"/>
    </row>
    <row r="78" spans="1:31" ht="27" customHeight="1" thickBot="1" x14ac:dyDescent="0.45">
      <c r="A78" s="93"/>
      <c r="B78" s="235" t="s">
        <v>39</v>
      </c>
      <c r="C78" s="259" t="s">
        <v>13</v>
      </c>
      <c r="D78" s="259"/>
      <c r="E78" s="254"/>
      <c r="F78" s="255"/>
      <c r="G78" s="254"/>
      <c r="H78" s="255"/>
      <c r="I78" s="254"/>
      <c r="J78" s="255"/>
      <c r="K78" s="254"/>
      <c r="L78" s="255"/>
      <c r="M78" s="254"/>
      <c r="N78" s="255"/>
      <c r="O78" s="254"/>
      <c r="P78" s="255"/>
      <c r="Q78" s="254"/>
      <c r="R78" s="255"/>
      <c r="S78" s="254"/>
      <c r="T78" s="255"/>
      <c r="U78" s="254"/>
      <c r="V78" s="255"/>
      <c r="W78" s="254"/>
      <c r="X78" s="255"/>
      <c r="Y78" s="254"/>
      <c r="Z78" s="255"/>
      <c r="AA78" s="254"/>
      <c r="AB78" s="255"/>
      <c r="AC78" s="95" t="s">
        <v>36</v>
      </c>
      <c r="AD78" s="93"/>
      <c r="AE78" s="93"/>
    </row>
    <row r="79" spans="1:31" ht="15" customHeight="1" x14ac:dyDescent="0.25">
      <c r="A79" s="93"/>
      <c r="B79" s="236"/>
      <c r="C79" s="250"/>
      <c r="D79" s="251"/>
      <c r="E79" s="78"/>
      <c r="F79" s="122"/>
      <c r="G79" s="78"/>
      <c r="H79" s="122"/>
      <c r="I79" s="78"/>
      <c r="J79" s="122"/>
      <c r="K79" s="78"/>
      <c r="L79" s="122"/>
      <c r="M79" s="78"/>
      <c r="N79" s="122"/>
      <c r="O79" s="78"/>
      <c r="P79" s="122"/>
      <c r="Q79" s="77"/>
      <c r="R79" s="122"/>
      <c r="S79" s="78"/>
      <c r="T79" s="122"/>
      <c r="U79" s="78"/>
      <c r="V79" s="122"/>
      <c r="W79" s="78"/>
      <c r="X79" s="122"/>
      <c r="Y79" s="78"/>
      <c r="Z79" s="122"/>
      <c r="AA79" s="78"/>
      <c r="AB79" s="122"/>
      <c r="AC79" s="51"/>
      <c r="AD79" s="93"/>
      <c r="AE79" s="93"/>
    </row>
    <row r="80" spans="1:31" ht="15" customHeight="1" x14ac:dyDescent="0.25">
      <c r="A80" s="93"/>
      <c r="B80" s="236"/>
      <c r="C80" s="246"/>
      <c r="D80" s="247"/>
      <c r="E80" s="78"/>
      <c r="F80" s="122"/>
      <c r="G80" s="78"/>
      <c r="H80" s="122"/>
      <c r="I80" s="78"/>
      <c r="J80" s="122"/>
      <c r="K80" s="78"/>
      <c r="L80" s="122"/>
      <c r="M80" s="78"/>
      <c r="N80" s="122"/>
      <c r="O80" s="78"/>
      <c r="P80" s="122"/>
      <c r="Q80" s="77"/>
      <c r="R80" s="122"/>
      <c r="S80" s="78"/>
      <c r="T80" s="122"/>
      <c r="U80" s="78"/>
      <c r="V80" s="122"/>
      <c r="W80" s="78"/>
      <c r="X80" s="122"/>
      <c r="Y80" s="78"/>
      <c r="Z80" s="122"/>
      <c r="AA80" s="78"/>
      <c r="AB80" s="122"/>
      <c r="AC80" s="51"/>
      <c r="AD80" s="93"/>
      <c r="AE80" s="93"/>
    </row>
    <row r="81" spans="1:31" ht="15" customHeight="1" x14ac:dyDescent="0.25">
      <c r="A81" s="93"/>
      <c r="B81" s="236"/>
      <c r="C81" s="246"/>
      <c r="D81" s="247"/>
      <c r="E81" s="78"/>
      <c r="F81" s="122"/>
      <c r="G81" s="78"/>
      <c r="H81" s="122"/>
      <c r="I81" s="78"/>
      <c r="J81" s="122"/>
      <c r="K81" s="78"/>
      <c r="L81" s="122"/>
      <c r="M81" s="78"/>
      <c r="N81" s="122"/>
      <c r="O81" s="78"/>
      <c r="P81" s="122"/>
      <c r="Q81" s="77"/>
      <c r="R81" s="122"/>
      <c r="S81" s="78"/>
      <c r="T81" s="122"/>
      <c r="U81" s="78"/>
      <c r="V81" s="122"/>
      <c r="W81" s="78"/>
      <c r="X81" s="122"/>
      <c r="Y81" s="78"/>
      <c r="Z81" s="122"/>
      <c r="AA81" s="78"/>
      <c r="AB81" s="122"/>
      <c r="AC81" s="51"/>
      <c r="AD81" s="93"/>
      <c r="AE81" s="93"/>
    </row>
    <row r="82" spans="1:31" ht="15" customHeight="1" x14ac:dyDescent="0.25">
      <c r="A82" s="93"/>
      <c r="B82" s="236"/>
      <c r="C82" s="246"/>
      <c r="D82" s="247"/>
      <c r="E82" s="78"/>
      <c r="F82" s="122"/>
      <c r="G82" s="78"/>
      <c r="H82" s="122"/>
      <c r="I82" s="78"/>
      <c r="J82" s="122"/>
      <c r="K82" s="78"/>
      <c r="L82" s="122"/>
      <c r="M82" s="78"/>
      <c r="N82" s="122"/>
      <c r="O82" s="78"/>
      <c r="P82" s="122"/>
      <c r="Q82" s="77"/>
      <c r="R82" s="122"/>
      <c r="S82" s="78"/>
      <c r="T82" s="122"/>
      <c r="U82" s="78"/>
      <c r="V82" s="122"/>
      <c r="W82" s="78"/>
      <c r="X82" s="122"/>
      <c r="Y82" s="78"/>
      <c r="Z82" s="122"/>
      <c r="AA82" s="78"/>
      <c r="AB82" s="122"/>
      <c r="AC82" s="51"/>
      <c r="AD82" s="93"/>
      <c r="AE82" s="93"/>
    </row>
    <row r="83" spans="1:31" ht="18" customHeight="1" x14ac:dyDescent="0.25">
      <c r="A83" s="93"/>
      <c r="B83" s="236"/>
      <c r="C83" s="246"/>
      <c r="D83" s="247"/>
      <c r="E83" s="78"/>
      <c r="F83" s="122"/>
      <c r="G83" s="78"/>
      <c r="H83" s="122"/>
      <c r="I83" s="78"/>
      <c r="J83" s="122"/>
      <c r="K83" s="78"/>
      <c r="L83" s="122"/>
      <c r="M83" s="78"/>
      <c r="N83" s="122"/>
      <c r="O83" s="78"/>
      <c r="P83" s="122"/>
      <c r="Q83" s="77"/>
      <c r="R83" s="122"/>
      <c r="S83" s="78"/>
      <c r="T83" s="122"/>
      <c r="U83" s="78"/>
      <c r="V83" s="122"/>
      <c r="W83" s="78"/>
      <c r="X83" s="122"/>
      <c r="Y83" s="78"/>
      <c r="Z83" s="122"/>
      <c r="AA83" s="78"/>
      <c r="AB83" s="122"/>
      <c r="AC83" s="51"/>
      <c r="AD83" s="93"/>
      <c r="AE83" s="93"/>
    </row>
    <row r="84" spans="1:31" ht="18.75" customHeight="1" x14ac:dyDescent="0.25">
      <c r="A84" s="93"/>
      <c r="B84" s="236"/>
      <c r="C84" s="246"/>
      <c r="D84" s="247"/>
      <c r="E84" s="78"/>
      <c r="F84" s="122"/>
      <c r="G84" s="78"/>
      <c r="H84" s="122"/>
      <c r="I84" s="78"/>
      <c r="J84" s="122"/>
      <c r="K84" s="78"/>
      <c r="L84" s="122"/>
      <c r="M84" s="78"/>
      <c r="N84" s="122"/>
      <c r="O84" s="78"/>
      <c r="P84" s="122"/>
      <c r="Q84" s="77"/>
      <c r="R84" s="122"/>
      <c r="S84" s="78"/>
      <c r="T84" s="122"/>
      <c r="U84" s="78"/>
      <c r="V84" s="122"/>
      <c r="W84" s="78"/>
      <c r="X84" s="122"/>
      <c r="Y84" s="78"/>
      <c r="Z84" s="122"/>
      <c r="AA84" s="78"/>
      <c r="AB84" s="122"/>
      <c r="AC84" s="51"/>
      <c r="AD84" s="93"/>
      <c r="AE84" s="93"/>
    </row>
    <row r="85" spans="1:31" ht="15" customHeight="1" x14ac:dyDescent="0.25">
      <c r="A85" s="93"/>
      <c r="B85" s="236"/>
      <c r="C85" s="246"/>
      <c r="D85" s="247"/>
      <c r="E85" s="78"/>
      <c r="F85" s="122"/>
      <c r="G85" s="78"/>
      <c r="H85" s="122"/>
      <c r="I85" s="78"/>
      <c r="J85" s="122"/>
      <c r="K85" s="78"/>
      <c r="L85" s="122"/>
      <c r="M85" s="78"/>
      <c r="N85" s="122"/>
      <c r="O85" s="78"/>
      <c r="P85" s="122"/>
      <c r="Q85" s="77"/>
      <c r="R85" s="122"/>
      <c r="S85" s="78"/>
      <c r="T85" s="122"/>
      <c r="U85" s="78"/>
      <c r="V85" s="122"/>
      <c r="W85" s="78"/>
      <c r="X85" s="122"/>
      <c r="Y85" s="78"/>
      <c r="Z85" s="122"/>
      <c r="AA85" s="78"/>
      <c r="AB85" s="122"/>
      <c r="AC85" s="51"/>
      <c r="AD85" s="93"/>
      <c r="AE85" s="93"/>
    </row>
    <row r="86" spans="1:31" ht="15" customHeight="1" x14ac:dyDescent="0.25">
      <c r="A86" s="93"/>
      <c r="B86" s="236"/>
      <c r="C86" s="246"/>
      <c r="D86" s="247"/>
      <c r="E86" s="78"/>
      <c r="F86" s="122"/>
      <c r="G86" s="78"/>
      <c r="H86" s="122"/>
      <c r="I86" s="78"/>
      <c r="J86" s="122"/>
      <c r="K86" s="78"/>
      <c r="L86" s="122"/>
      <c r="M86" s="78"/>
      <c r="N86" s="122"/>
      <c r="O86" s="78"/>
      <c r="P86" s="122"/>
      <c r="Q86" s="77"/>
      <c r="R86" s="122"/>
      <c r="S86" s="78"/>
      <c r="T86" s="122"/>
      <c r="U86" s="78"/>
      <c r="V86" s="122"/>
      <c r="W86" s="78"/>
      <c r="X86" s="122"/>
      <c r="Y86" s="78"/>
      <c r="Z86" s="122"/>
      <c r="AA86" s="78"/>
      <c r="AB86" s="122"/>
      <c r="AC86" s="51"/>
      <c r="AD86" s="93"/>
      <c r="AE86" s="93"/>
    </row>
    <row r="87" spans="1:31" ht="15" customHeight="1" x14ac:dyDescent="0.25">
      <c r="A87" s="93"/>
      <c r="B87" s="236"/>
      <c r="C87" s="246"/>
      <c r="D87" s="247"/>
      <c r="E87" s="78"/>
      <c r="F87" s="122"/>
      <c r="G87" s="78"/>
      <c r="H87" s="122"/>
      <c r="I87" s="78"/>
      <c r="J87" s="122"/>
      <c r="K87" s="78"/>
      <c r="L87" s="122"/>
      <c r="M87" s="78"/>
      <c r="N87" s="122"/>
      <c r="O87" s="78"/>
      <c r="P87" s="122"/>
      <c r="Q87" s="77"/>
      <c r="R87" s="122"/>
      <c r="S87" s="78"/>
      <c r="T87" s="122"/>
      <c r="U87" s="78"/>
      <c r="V87" s="122"/>
      <c r="W87" s="78"/>
      <c r="X87" s="122"/>
      <c r="Y87" s="78"/>
      <c r="Z87" s="122"/>
      <c r="AA87" s="78"/>
      <c r="AB87" s="122"/>
      <c r="AC87" s="51"/>
      <c r="AD87" s="93"/>
      <c r="AE87" s="93"/>
    </row>
    <row r="88" spans="1:31" ht="15" customHeight="1" x14ac:dyDescent="0.25">
      <c r="A88" s="93"/>
      <c r="B88" s="236"/>
      <c r="C88" s="246"/>
      <c r="D88" s="247"/>
      <c r="E88" s="78"/>
      <c r="F88" s="122"/>
      <c r="G88" s="78"/>
      <c r="H88" s="122"/>
      <c r="I88" s="78"/>
      <c r="J88" s="122"/>
      <c r="K88" s="78"/>
      <c r="L88" s="122"/>
      <c r="M88" s="78"/>
      <c r="N88" s="122"/>
      <c r="O88" s="78"/>
      <c r="P88" s="122"/>
      <c r="Q88" s="77"/>
      <c r="R88" s="122"/>
      <c r="S88" s="78"/>
      <c r="T88" s="122"/>
      <c r="U88" s="78"/>
      <c r="V88" s="122"/>
      <c r="W88" s="78"/>
      <c r="X88" s="122"/>
      <c r="Y88" s="78"/>
      <c r="Z88" s="122"/>
      <c r="AA88" s="78"/>
      <c r="AB88" s="122"/>
      <c r="AC88" s="51"/>
      <c r="AD88" s="93"/>
      <c r="AE88" s="93"/>
    </row>
    <row r="89" spans="1:31" ht="15" customHeight="1" x14ac:dyDescent="0.25">
      <c r="A89" s="93"/>
      <c r="B89" s="236"/>
      <c r="C89" s="246"/>
      <c r="D89" s="247"/>
      <c r="E89" s="78"/>
      <c r="F89" s="122"/>
      <c r="G89" s="78"/>
      <c r="H89" s="122"/>
      <c r="I89" s="78"/>
      <c r="J89" s="122"/>
      <c r="K89" s="78"/>
      <c r="L89" s="122"/>
      <c r="M89" s="78"/>
      <c r="N89" s="122"/>
      <c r="O89" s="78"/>
      <c r="P89" s="122"/>
      <c r="Q89" s="77"/>
      <c r="R89" s="122"/>
      <c r="S89" s="78"/>
      <c r="T89" s="122"/>
      <c r="U89" s="78"/>
      <c r="V89" s="122"/>
      <c r="W89" s="78"/>
      <c r="X89" s="122"/>
      <c r="Y89" s="78"/>
      <c r="Z89" s="122"/>
      <c r="AA89" s="78"/>
      <c r="AB89" s="122"/>
      <c r="AC89" s="51"/>
      <c r="AD89" s="93"/>
      <c r="AE89" s="93"/>
    </row>
    <row r="90" spans="1:31" ht="15.75" customHeight="1" thickBot="1" x14ac:dyDescent="0.3">
      <c r="A90" s="93"/>
      <c r="B90" s="236"/>
      <c r="C90" s="248"/>
      <c r="D90" s="249"/>
      <c r="E90" s="78"/>
      <c r="F90" s="122"/>
      <c r="G90" s="78"/>
      <c r="H90" s="122"/>
      <c r="I90" s="78"/>
      <c r="J90" s="122"/>
      <c r="K90" s="78"/>
      <c r="L90" s="122"/>
      <c r="M90" s="78"/>
      <c r="N90" s="122"/>
      <c r="O90" s="78"/>
      <c r="P90" s="122"/>
      <c r="Q90" s="77"/>
      <c r="R90" s="122"/>
      <c r="S90" s="78"/>
      <c r="T90" s="122"/>
      <c r="U90" s="78"/>
      <c r="V90" s="122"/>
      <c r="W90" s="78"/>
      <c r="X90" s="122"/>
      <c r="Y90" s="78"/>
      <c r="Z90" s="122"/>
      <c r="AA90" s="78"/>
      <c r="AB90" s="122"/>
      <c r="AC90" s="51"/>
      <c r="AD90" s="93"/>
      <c r="AE90" s="93"/>
    </row>
    <row r="91" spans="1:31" ht="19.5" customHeight="1" thickBot="1" x14ac:dyDescent="0.35">
      <c r="A91" s="93"/>
      <c r="B91" s="236"/>
      <c r="C91" s="256" t="s">
        <v>30</v>
      </c>
      <c r="D91" s="256"/>
      <c r="E91" s="227"/>
      <c r="F91" s="228"/>
      <c r="G91" s="227"/>
      <c r="H91" s="228"/>
      <c r="I91" s="227"/>
      <c r="J91" s="228"/>
      <c r="K91" s="227"/>
      <c r="L91" s="228"/>
      <c r="M91" s="227"/>
      <c r="N91" s="228"/>
      <c r="O91" s="227"/>
      <c r="P91" s="228"/>
      <c r="Q91" s="227"/>
      <c r="R91" s="228"/>
      <c r="S91" s="227"/>
      <c r="T91" s="228"/>
      <c r="U91" s="227"/>
      <c r="V91" s="228"/>
      <c r="W91" s="227"/>
      <c r="X91" s="228"/>
      <c r="Y91" s="227"/>
      <c r="Z91" s="228"/>
      <c r="AA91" s="227"/>
      <c r="AB91" s="228"/>
      <c r="AC91" s="126">
        <f>E91+G91+I91+K91+M91+O91+Q91+S91+U91+W91+Y91+AA91</f>
        <v>0</v>
      </c>
      <c r="AD91" s="93"/>
      <c r="AE91" s="93"/>
    </row>
    <row r="92" spans="1:31" ht="19.5" customHeight="1" thickBot="1" x14ac:dyDescent="0.3">
      <c r="A92" s="93"/>
      <c r="B92" s="236"/>
      <c r="C92" s="158" t="s">
        <v>31</v>
      </c>
      <c r="D92" s="123" t="s">
        <v>32</v>
      </c>
      <c r="E92" s="105"/>
      <c r="F92" s="124"/>
      <c r="G92" s="105"/>
      <c r="H92" s="124"/>
      <c r="I92" s="105"/>
      <c r="J92" s="124"/>
      <c r="K92" s="105"/>
      <c r="L92" s="124"/>
      <c r="M92" s="105"/>
      <c r="N92" s="124"/>
      <c r="O92" s="105"/>
      <c r="P92" s="124"/>
      <c r="Q92" s="105"/>
      <c r="R92" s="124"/>
      <c r="S92" s="105"/>
      <c r="T92" s="124"/>
      <c r="U92" s="105"/>
      <c r="V92" s="124"/>
      <c r="W92" s="105"/>
      <c r="X92" s="124"/>
      <c r="Y92" s="105"/>
      <c r="Z92" s="124"/>
      <c r="AA92" s="105"/>
      <c r="AB92" s="124"/>
      <c r="AC92" s="125">
        <f>E92+F92+G92+H92+I92+J92+K92+L92+M92+N92+O92+P92+Q92+R92+S92+T92+U92+V92+W92+X92+Y92+Z92+AA92+AB92</f>
        <v>0</v>
      </c>
      <c r="AD92" s="93"/>
      <c r="AE92" s="93"/>
    </row>
    <row r="93" spans="1:31" ht="15" customHeight="1" x14ac:dyDescent="0.25">
      <c r="A93" s="93"/>
      <c r="B93" s="236"/>
      <c r="C93" s="257" t="s">
        <v>33</v>
      </c>
      <c r="D93" s="257"/>
      <c r="E93" s="273">
        <f>E91+E92+F92</f>
        <v>0</v>
      </c>
      <c r="F93" s="285"/>
      <c r="G93" s="285">
        <f t="shared" ref="G93" si="20">G91+G92+H92</f>
        <v>0</v>
      </c>
      <c r="H93" s="285"/>
      <c r="I93" s="285">
        <f t="shared" ref="I93" si="21">I91+I92+J92</f>
        <v>0</v>
      </c>
      <c r="J93" s="285"/>
      <c r="K93" s="285">
        <f>K91+K92+L92</f>
        <v>0</v>
      </c>
      <c r="L93" s="285"/>
      <c r="M93" s="285">
        <f t="shared" ref="M93" si="22">M91+M92+N92</f>
        <v>0</v>
      </c>
      <c r="N93" s="285"/>
      <c r="O93" s="285">
        <f t="shared" ref="O93" si="23">O91+O92+P92</f>
        <v>0</v>
      </c>
      <c r="P93" s="274"/>
      <c r="Q93" s="285">
        <f t="shared" ref="Q93" si="24">Q91+Q92+R92</f>
        <v>0</v>
      </c>
      <c r="R93" s="285"/>
      <c r="S93" s="285">
        <f t="shared" ref="S93" si="25">S91+S92+T92</f>
        <v>0</v>
      </c>
      <c r="T93" s="285"/>
      <c r="U93" s="285">
        <f t="shared" ref="U93" si="26">U91+U92+V92</f>
        <v>0</v>
      </c>
      <c r="V93" s="285"/>
      <c r="W93" s="285">
        <f t="shared" ref="W93" si="27">W91+W92+X92</f>
        <v>0</v>
      </c>
      <c r="X93" s="285"/>
      <c r="Y93" s="285">
        <f t="shared" ref="Y93" si="28">Y91+Y92+Z92</f>
        <v>0</v>
      </c>
      <c r="Z93" s="285"/>
      <c r="AA93" s="285">
        <f t="shared" ref="AA93" si="29">AA91+AA92+AB92</f>
        <v>0</v>
      </c>
      <c r="AB93" s="274"/>
      <c r="AC93" s="274"/>
      <c r="AD93" s="93"/>
      <c r="AE93" s="93"/>
    </row>
    <row r="94" spans="1:31" ht="15.75" customHeight="1" thickBot="1" x14ac:dyDescent="0.3">
      <c r="A94" s="93"/>
      <c r="B94" s="236"/>
      <c r="C94" s="258"/>
      <c r="D94" s="258"/>
      <c r="E94" s="275"/>
      <c r="F94" s="284"/>
      <c r="G94" s="284"/>
      <c r="H94" s="284"/>
      <c r="I94" s="284"/>
      <c r="J94" s="284"/>
      <c r="K94" s="284"/>
      <c r="L94" s="284"/>
      <c r="M94" s="284"/>
      <c r="N94" s="284"/>
      <c r="O94" s="284"/>
      <c r="P94" s="276"/>
      <c r="Q94" s="284"/>
      <c r="R94" s="284"/>
      <c r="S94" s="284"/>
      <c r="T94" s="284"/>
      <c r="U94" s="284"/>
      <c r="V94" s="284"/>
      <c r="W94" s="284"/>
      <c r="X94" s="284"/>
      <c r="Y94" s="284"/>
      <c r="Z94" s="284"/>
      <c r="AA94" s="284"/>
      <c r="AB94" s="276"/>
      <c r="AC94" s="276"/>
      <c r="AD94" s="93"/>
      <c r="AE94" s="93"/>
    </row>
    <row r="95" spans="1:31" ht="15" customHeight="1" x14ac:dyDescent="0.25">
      <c r="A95" s="93"/>
      <c r="B95" s="236"/>
      <c r="C95" s="286" t="s">
        <v>37</v>
      </c>
      <c r="D95" s="287"/>
      <c r="E95" s="221">
        <f>E93+G93+I93+K93+M93+O93</f>
        <v>0</v>
      </c>
      <c r="F95" s="222"/>
      <c r="G95" s="222"/>
      <c r="H95" s="222"/>
      <c r="I95" s="222"/>
      <c r="J95" s="222"/>
      <c r="K95" s="222"/>
      <c r="L95" s="222"/>
      <c r="M95" s="222"/>
      <c r="N95" s="222"/>
      <c r="O95" s="222"/>
      <c r="P95" s="223"/>
      <c r="Q95" s="221">
        <f>Q93+S93+U93+W93+Y93+AA93</f>
        <v>0</v>
      </c>
      <c r="R95" s="222"/>
      <c r="S95" s="222"/>
      <c r="T95" s="222"/>
      <c r="U95" s="222"/>
      <c r="V95" s="222"/>
      <c r="W95" s="222"/>
      <c r="X95" s="222"/>
      <c r="Y95" s="222"/>
      <c r="Z95" s="222"/>
      <c r="AA95" s="222"/>
      <c r="AB95" s="223"/>
      <c r="AC95" s="290"/>
      <c r="AD95" s="93"/>
      <c r="AE95" s="93"/>
    </row>
    <row r="96" spans="1:31" ht="15.75" customHeight="1" thickBot="1" x14ac:dyDescent="0.3">
      <c r="A96" s="93"/>
      <c r="B96" s="236"/>
      <c r="C96" s="288"/>
      <c r="D96" s="289"/>
      <c r="E96" s="224"/>
      <c r="F96" s="225"/>
      <c r="G96" s="225"/>
      <c r="H96" s="225"/>
      <c r="I96" s="225"/>
      <c r="J96" s="225"/>
      <c r="K96" s="225"/>
      <c r="L96" s="225"/>
      <c r="M96" s="225"/>
      <c r="N96" s="225"/>
      <c r="O96" s="225"/>
      <c r="P96" s="226"/>
      <c r="Q96" s="224"/>
      <c r="R96" s="225"/>
      <c r="S96" s="225"/>
      <c r="T96" s="225"/>
      <c r="U96" s="225"/>
      <c r="V96" s="225"/>
      <c r="W96" s="225"/>
      <c r="X96" s="225"/>
      <c r="Y96" s="225"/>
      <c r="Z96" s="225"/>
      <c r="AA96" s="225"/>
      <c r="AB96" s="226"/>
      <c r="AC96" s="291"/>
      <c r="AD96" s="93"/>
      <c r="AE96" s="93"/>
    </row>
    <row r="97" spans="1:31" x14ac:dyDescent="0.25">
      <c r="A97" s="93"/>
      <c r="B97" s="236"/>
      <c r="C97" s="238" t="s">
        <v>34</v>
      </c>
      <c r="D97" s="239"/>
      <c r="E97" s="229"/>
      <c r="F97" s="230"/>
      <c r="G97" s="229"/>
      <c r="H97" s="230"/>
      <c r="I97" s="229"/>
      <c r="J97" s="230"/>
      <c r="K97" s="229"/>
      <c r="L97" s="230"/>
      <c r="M97" s="229"/>
      <c r="N97" s="230"/>
      <c r="O97" s="229"/>
      <c r="P97" s="230"/>
      <c r="Q97" s="229"/>
      <c r="R97" s="230"/>
      <c r="S97" s="229"/>
      <c r="T97" s="230"/>
      <c r="U97" s="229"/>
      <c r="V97" s="230"/>
      <c r="W97" s="229"/>
      <c r="X97" s="230"/>
      <c r="Y97" s="229"/>
      <c r="Z97" s="230"/>
      <c r="AA97" s="229"/>
      <c r="AB97" s="230"/>
      <c r="AC97" s="159"/>
      <c r="AD97" s="93"/>
      <c r="AE97" s="93"/>
    </row>
    <row r="98" spans="1:31" ht="15.75" thickBot="1" x14ac:dyDescent="0.3">
      <c r="A98" s="93"/>
      <c r="B98" s="237"/>
      <c r="C98" s="240"/>
      <c r="D98" s="241"/>
      <c r="E98" s="231"/>
      <c r="F98" s="232"/>
      <c r="G98" s="231"/>
      <c r="H98" s="232"/>
      <c r="I98" s="231"/>
      <c r="J98" s="232"/>
      <c r="K98" s="231"/>
      <c r="L98" s="232"/>
      <c r="M98" s="231"/>
      <c r="N98" s="232"/>
      <c r="O98" s="231"/>
      <c r="P98" s="232"/>
      <c r="Q98" s="231"/>
      <c r="R98" s="232"/>
      <c r="S98" s="231"/>
      <c r="T98" s="232"/>
      <c r="U98" s="231"/>
      <c r="V98" s="232"/>
      <c r="W98" s="231"/>
      <c r="X98" s="232"/>
      <c r="Y98" s="231"/>
      <c r="Z98" s="232"/>
      <c r="AA98" s="231"/>
      <c r="AB98" s="232"/>
      <c r="AC98" s="160"/>
      <c r="AD98" s="93"/>
      <c r="AE98" s="93"/>
    </row>
    <row r="99" spans="1:31" x14ac:dyDescent="0.25">
      <c r="A99" s="93"/>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row>
    <row r="100" spans="1:31" x14ac:dyDescent="0.25">
      <c r="A100" s="93"/>
      <c r="B100" s="93"/>
      <c r="C100" s="93"/>
      <c r="D100" s="93"/>
      <c r="E100" s="93"/>
      <c r="F100" s="93"/>
      <c r="G100" s="93"/>
      <c r="H100" s="93"/>
      <c r="I100" s="93"/>
      <c r="J100" s="93"/>
      <c r="K100" s="93"/>
      <c r="L100" s="93"/>
      <c r="M100" s="93"/>
      <c r="N100" s="93"/>
      <c r="O100" s="93"/>
      <c r="P100" s="93"/>
      <c r="Q100" s="93"/>
      <c r="R100" s="93"/>
      <c r="S100" s="93"/>
      <c r="T100" s="93"/>
      <c r="U100" s="93"/>
      <c r="V100" s="93"/>
      <c r="W100" s="93"/>
      <c r="X100" s="93"/>
      <c r="Y100" s="93"/>
      <c r="Z100" s="93"/>
      <c r="AA100" s="93"/>
      <c r="AB100" s="93"/>
      <c r="AC100" s="93"/>
      <c r="AD100" s="93"/>
      <c r="AE100" s="93"/>
    </row>
    <row r="101" spans="1:31" x14ac:dyDescent="0.25">
      <c r="A101" s="93"/>
      <c r="B101" s="93"/>
      <c r="C101" s="93"/>
      <c r="D101" s="93"/>
      <c r="E101" s="93"/>
      <c r="F101" s="93"/>
      <c r="G101" s="93"/>
      <c r="H101" s="93"/>
      <c r="I101" s="93"/>
      <c r="J101" s="93"/>
      <c r="K101" s="93"/>
      <c r="L101" s="93"/>
      <c r="M101" s="93"/>
      <c r="N101" s="93"/>
      <c r="O101" s="93"/>
      <c r="P101" s="93"/>
      <c r="Q101" s="93"/>
      <c r="R101" s="93"/>
      <c r="S101" s="93"/>
      <c r="T101" s="93"/>
      <c r="U101" s="93"/>
      <c r="V101" s="93"/>
      <c r="W101" s="93"/>
      <c r="X101" s="93"/>
      <c r="Y101" s="93"/>
      <c r="Z101" s="93"/>
      <c r="AA101" s="93"/>
      <c r="AB101" s="93"/>
      <c r="AC101" s="93"/>
      <c r="AD101" s="93"/>
      <c r="AE101" s="93"/>
    </row>
    <row r="102" spans="1:31" x14ac:dyDescent="0.25">
      <c r="A102" s="93"/>
      <c r="B102" s="93"/>
      <c r="C102" s="93"/>
      <c r="D102" s="93"/>
      <c r="E102" s="93"/>
      <c r="F102" s="93"/>
      <c r="G102" s="93"/>
      <c r="H102" s="93"/>
      <c r="I102" s="93"/>
      <c r="J102" s="93"/>
      <c r="K102" s="93"/>
      <c r="L102" s="93"/>
      <c r="M102" s="93"/>
      <c r="N102" s="93"/>
      <c r="O102" s="93"/>
      <c r="P102" s="93"/>
      <c r="Q102" s="93"/>
      <c r="R102" s="93"/>
      <c r="S102" s="93"/>
      <c r="T102" s="93"/>
      <c r="U102" s="93"/>
      <c r="V102" s="93"/>
      <c r="W102" s="93"/>
      <c r="X102" s="93"/>
      <c r="Y102" s="93"/>
      <c r="Z102" s="93"/>
      <c r="AA102" s="93"/>
      <c r="AB102" s="93"/>
      <c r="AC102" s="93"/>
      <c r="AD102" s="93"/>
      <c r="AE102" s="93"/>
    </row>
    <row r="103" spans="1:31" x14ac:dyDescent="0.25">
      <c r="A103" s="93"/>
      <c r="B103" s="93"/>
      <c r="C103" s="93"/>
      <c r="D103" s="93"/>
      <c r="E103" s="93"/>
      <c r="F103" s="93"/>
      <c r="G103" s="93"/>
      <c r="H103" s="93"/>
      <c r="I103" s="93"/>
      <c r="J103" s="93"/>
      <c r="K103" s="93"/>
      <c r="L103" s="93"/>
      <c r="M103" s="93"/>
      <c r="N103" s="93"/>
      <c r="O103" s="93"/>
      <c r="P103" s="93"/>
      <c r="Q103" s="93"/>
      <c r="R103" s="93"/>
      <c r="S103" s="93"/>
      <c r="T103" s="93"/>
      <c r="U103" s="93"/>
      <c r="V103" s="93"/>
      <c r="W103" s="93"/>
      <c r="X103" s="93"/>
      <c r="Y103" s="93"/>
      <c r="Z103" s="93"/>
      <c r="AA103" s="93"/>
      <c r="AB103" s="93"/>
      <c r="AC103" s="93"/>
      <c r="AD103" s="93"/>
      <c r="AE103" s="93"/>
    </row>
    <row r="104" spans="1:31" x14ac:dyDescent="0.25">
      <c r="A104" s="93"/>
      <c r="B104" s="93"/>
      <c r="C104" s="93"/>
      <c r="D104" s="93"/>
      <c r="E104" s="93"/>
      <c r="F104" s="93"/>
      <c r="G104" s="93"/>
      <c r="H104" s="93"/>
      <c r="I104" s="93"/>
      <c r="J104" s="93"/>
      <c r="K104" s="93"/>
      <c r="L104" s="93"/>
      <c r="M104" s="93"/>
      <c r="N104" s="93"/>
      <c r="O104" s="93"/>
      <c r="P104" s="93"/>
      <c r="Q104" s="93"/>
      <c r="R104" s="93"/>
      <c r="S104" s="93"/>
      <c r="T104" s="93"/>
      <c r="U104" s="93"/>
      <c r="V104" s="93"/>
      <c r="W104" s="93"/>
      <c r="X104" s="93"/>
      <c r="Y104" s="93"/>
      <c r="Z104" s="93"/>
      <c r="AA104" s="93"/>
      <c r="AB104" s="93"/>
      <c r="AC104" s="93"/>
      <c r="AD104" s="93"/>
      <c r="AE104" s="93"/>
    </row>
    <row r="105" spans="1:31" x14ac:dyDescent="0.25">
      <c r="A105" s="93"/>
      <c r="B105" s="93"/>
      <c r="C105" s="93"/>
      <c r="D105" s="93"/>
      <c r="E105" s="93"/>
      <c r="F105" s="93"/>
      <c r="G105" s="93"/>
      <c r="H105" s="93"/>
      <c r="I105" s="93"/>
      <c r="J105" s="93"/>
      <c r="K105" s="93"/>
      <c r="L105" s="93"/>
      <c r="M105" s="93"/>
      <c r="N105" s="93"/>
      <c r="O105" s="93"/>
      <c r="P105" s="93"/>
      <c r="Q105" s="93"/>
      <c r="R105" s="93"/>
      <c r="S105" s="93"/>
      <c r="T105" s="93"/>
      <c r="U105" s="93"/>
      <c r="V105" s="93"/>
      <c r="W105" s="93"/>
      <c r="X105" s="93"/>
      <c r="Y105" s="93"/>
      <c r="Z105" s="93"/>
      <c r="AA105" s="93"/>
      <c r="AB105" s="93"/>
      <c r="AC105" s="93"/>
      <c r="AD105" s="93"/>
      <c r="AE105" s="93"/>
    </row>
    <row r="106" spans="1:31" x14ac:dyDescent="0.25">
      <c r="A106" s="93"/>
      <c r="B106" s="93"/>
      <c r="C106" s="93"/>
      <c r="D106" s="93"/>
      <c r="E106" s="93"/>
      <c r="F106" s="93"/>
      <c r="G106" s="93"/>
      <c r="H106" s="93"/>
      <c r="I106" s="93"/>
      <c r="J106" s="93"/>
      <c r="K106" s="93"/>
      <c r="L106" s="93"/>
      <c r="M106" s="93"/>
      <c r="N106" s="93"/>
      <c r="O106" s="93"/>
      <c r="P106" s="93"/>
      <c r="Q106" s="93"/>
      <c r="R106" s="93"/>
      <c r="S106" s="93"/>
      <c r="T106" s="93"/>
      <c r="U106" s="93"/>
      <c r="V106" s="93"/>
      <c r="W106" s="93"/>
      <c r="X106" s="93"/>
      <c r="Y106" s="93"/>
      <c r="Z106" s="93"/>
      <c r="AA106" s="93"/>
      <c r="AB106" s="93"/>
      <c r="AC106" s="93"/>
      <c r="AD106" s="93"/>
      <c r="AE106" s="93"/>
    </row>
    <row r="107" spans="1:31" x14ac:dyDescent="0.25">
      <c r="A107" s="93"/>
      <c r="B107" s="93"/>
      <c r="C107" s="93"/>
      <c r="D107" s="93"/>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c r="AE107" s="93"/>
    </row>
    <row r="108" spans="1:31" x14ac:dyDescent="0.25">
      <c r="A108" s="93"/>
      <c r="B108" s="93"/>
      <c r="C108" s="93"/>
      <c r="D108" s="93"/>
      <c r="E108" s="93"/>
      <c r="F108" s="93"/>
      <c r="G108" s="93"/>
      <c r="H108" s="93"/>
      <c r="I108" s="93"/>
      <c r="J108" s="93"/>
      <c r="K108" s="93"/>
      <c r="L108" s="93"/>
      <c r="M108" s="93"/>
      <c r="N108" s="93"/>
      <c r="O108" s="93"/>
      <c r="P108" s="93"/>
      <c r="Q108" s="93"/>
      <c r="R108" s="93"/>
      <c r="S108" s="93"/>
      <c r="T108" s="93"/>
      <c r="U108" s="93"/>
      <c r="V108" s="93"/>
      <c r="W108" s="93"/>
      <c r="X108" s="93"/>
      <c r="Y108" s="93"/>
      <c r="Z108" s="93"/>
      <c r="AA108" s="93"/>
      <c r="AB108" s="93"/>
      <c r="AC108" s="93"/>
      <c r="AD108" s="93"/>
      <c r="AE108" s="93"/>
    </row>
    <row r="109" spans="1:31" x14ac:dyDescent="0.25">
      <c r="A109" s="93"/>
      <c r="B109" s="93"/>
      <c r="C109" s="93"/>
      <c r="D109" s="93"/>
      <c r="E109" s="93"/>
      <c r="F109" s="93"/>
      <c r="G109" s="93"/>
      <c r="H109" s="93"/>
      <c r="I109" s="93"/>
      <c r="J109" s="93"/>
      <c r="K109" s="93"/>
      <c r="L109" s="93"/>
      <c r="M109" s="93"/>
      <c r="N109" s="93"/>
      <c r="O109" s="93"/>
      <c r="P109" s="93"/>
      <c r="Q109" s="93"/>
      <c r="R109" s="93"/>
      <c r="S109" s="93"/>
      <c r="T109" s="93"/>
      <c r="U109" s="93"/>
      <c r="V109" s="93"/>
      <c r="W109" s="93"/>
      <c r="X109" s="93"/>
      <c r="Y109" s="93"/>
      <c r="Z109" s="93"/>
      <c r="AA109" s="93"/>
      <c r="AB109" s="93"/>
      <c r="AC109" s="93"/>
      <c r="AD109" s="93"/>
      <c r="AE109" s="93"/>
    </row>
    <row r="110" spans="1:31" x14ac:dyDescent="0.25">
      <c r="A110" s="93"/>
      <c r="B110" s="93"/>
      <c r="C110" s="93"/>
      <c r="D110" s="93"/>
      <c r="E110" s="93"/>
      <c r="F110" s="93"/>
      <c r="G110" s="93"/>
      <c r="H110" s="93"/>
      <c r="I110" s="93"/>
      <c r="J110" s="93"/>
      <c r="K110" s="93"/>
      <c r="L110" s="93"/>
      <c r="M110" s="93"/>
      <c r="N110" s="93"/>
      <c r="O110" s="93"/>
      <c r="P110" s="93"/>
      <c r="Q110" s="93"/>
      <c r="R110" s="93"/>
      <c r="S110" s="93"/>
      <c r="T110" s="93"/>
      <c r="U110" s="93"/>
      <c r="V110" s="93"/>
      <c r="W110" s="93"/>
      <c r="X110" s="93"/>
      <c r="Y110" s="93"/>
      <c r="Z110" s="93"/>
      <c r="AA110" s="93"/>
      <c r="AB110" s="93"/>
      <c r="AC110" s="93"/>
      <c r="AD110" s="93"/>
      <c r="AE110" s="93"/>
    </row>
    <row r="111" spans="1:31" x14ac:dyDescent="0.25">
      <c r="A111" s="93"/>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row>
    <row r="112" spans="1:31" x14ac:dyDescent="0.25">
      <c r="A112" s="93"/>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row>
    <row r="113" spans="1:30" x14ac:dyDescent="0.25">
      <c r="A113" s="93"/>
      <c r="B113" s="93"/>
      <c r="C113" s="93"/>
      <c r="D113" s="93"/>
      <c r="E113" s="93"/>
      <c r="F113" s="93"/>
      <c r="G113" s="93"/>
      <c r="H113" s="93"/>
      <c r="I113" s="93"/>
      <c r="J113" s="93"/>
      <c r="K113" s="93"/>
      <c r="L113" s="93"/>
      <c r="M113" s="93"/>
      <c r="N113" s="93"/>
      <c r="O113" s="93"/>
      <c r="P113" s="93"/>
      <c r="Q113" s="93"/>
      <c r="R113" s="93"/>
      <c r="S113" s="93"/>
      <c r="T113" s="93"/>
      <c r="U113" s="93"/>
      <c r="V113" s="93"/>
      <c r="W113" s="93"/>
      <c r="X113" s="93"/>
      <c r="Y113" s="93"/>
      <c r="Z113" s="93"/>
      <c r="AA113" s="93"/>
      <c r="AB113" s="93"/>
      <c r="AC113" s="93"/>
      <c r="AD113" s="93"/>
    </row>
    <row r="114" spans="1:30" x14ac:dyDescent="0.25">
      <c r="A114" s="93"/>
      <c r="B114" s="93"/>
      <c r="C114" s="93"/>
      <c r="D114" s="93"/>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93"/>
      <c r="AD114" s="93"/>
    </row>
    <row r="115" spans="1:30" x14ac:dyDescent="0.25">
      <c r="A115" s="93"/>
      <c r="B115" s="93"/>
      <c r="C115" s="93"/>
      <c r="D115" s="93"/>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row>
  </sheetData>
  <mergeCells count="285">
    <mergeCell ref="E95:P96"/>
    <mergeCell ref="Q95:AB96"/>
    <mergeCell ref="AA93:AB94"/>
    <mergeCell ref="AC93:AC94"/>
    <mergeCell ref="C95:D96"/>
    <mergeCell ref="AC95:AC96"/>
    <mergeCell ref="M93:N94"/>
    <mergeCell ref="O93:P94"/>
    <mergeCell ref="Q93:R94"/>
    <mergeCell ref="S93:T94"/>
    <mergeCell ref="U93:V94"/>
    <mergeCell ref="W93:X94"/>
    <mergeCell ref="Y93:Z94"/>
    <mergeCell ref="K93:L94"/>
    <mergeCell ref="M91:N91"/>
    <mergeCell ref="O91:P91"/>
    <mergeCell ref="Q91:R91"/>
    <mergeCell ref="U91:V91"/>
    <mergeCell ref="W91:X91"/>
    <mergeCell ref="AC22:AC23"/>
    <mergeCell ref="AD18:AD23"/>
    <mergeCell ref="C93:D94"/>
    <mergeCell ref="E93:F94"/>
    <mergeCell ref="G93:H94"/>
    <mergeCell ref="I93:J94"/>
    <mergeCell ref="AC70:AC71"/>
    <mergeCell ref="C91:D91"/>
    <mergeCell ref="I78:J78"/>
    <mergeCell ref="K78:L78"/>
    <mergeCell ref="C89:D89"/>
    <mergeCell ref="C90:D90"/>
    <mergeCell ref="AA78:AB78"/>
    <mergeCell ref="O78:P78"/>
    <mergeCell ref="Q78:R78"/>
    <mergeCell ref="S78:T78"/>
    <mergeCell ref="U78:V78"/>
    <mergeCell ref="W78:X78"/>
    <mergeCell ref="Y78:Z78"/>
    <mergeCell ref="E78:F78"/>
    <mergeCell ref="G78:H78"/>
    <mergeCell ref="C78:D78"/>
    <mergeCell ref="C53:D53"/>
    <mergeCell ref="C57:D57"/>
    <mergeCell ref="C58:D58"/>
    <mergeCell ref="I68:J69"/>
    <mergeCell ref="K68:L69"/>
    <mergeCell ref="M68:N69"/>
    <mergeCell ref="O68:P69"/>
    <mergeCell ref="Q68:R69"/>
    <mergeCell ref="S68:T69"/>
    <mergeCell ref="O66:P66"/>
    <mergeCell ref="Q66:R66"/>
    <mergeCell ref="S66:T66"/>
    <mergeCell ref="E68:F69"/>
    <mergeCell ref="G68:H69"/>
    <mergeCell ref="C62:D62"/>
    <mergeCell ref="M53:N53"/>
    <mergeCell ref="AC43:AC44"/>
    <mergeCell ref="G43:H44"/>
    <mergeCell ref="I43:J44"/>
    <mergeCell ref="K43:L44"/>
    <mergeCell ref="M43:N44"/>
    <mergeCell ref="O43:P44"/>
    <mergeCell ref="Q43:R44"/>
    <mergeCell ref="I66:J66"/>
    <mergeCell ref="K66:L66"/>
    <mergeCell ref="M66:N66"/>
    <mergeCell ref="AC45:AC46"/>
    <mergeCell ref="Y45:AB46"/>
    <mergeCell ref="U45:X46"/>
    <mergeCell ref="Q45:T46"/>
    <mergeCell ref="M45:P46"/>
    <mergeCell ref="I45:L46"/>
    <mergeCell ref="Q53:R53"/>
    <mergeCell ref="AA66:AB66"/>
    <mergeCell ref="S53:T53"/>
    <mergeCell ref="U53:V53"/>
    <mergeCell ref="W53:X53"/>
    <mergeCell ref="Y53:Z53"/>
    <mergeCell ref="AA53:AB53"/>
    <mergeCell ref="K53:L53"/>
    <mergeCell ref="C40:D40"/>
    <mergeCell ref="C45:D46"/>
    <mergeCell ref="C66:D66"/>
    <mergeCell ref="C68:D69"/>
    <mergeCell ref="C70:D71"/>
    <mergeCell ref="B78:B98"/>
    <mergeCell ref="C97:D98"/>
    <mergeCell ref="AC20:AC21"/>
    <mergeCell ref="AA20:AB21"/>
    <mergeCell ref="Y20:Z21"/>
    <mergeCell ref="W20:X21"/>
    <mergeCell ref="U20:V21"/>
    <mergeCell ref="C85:D85"/>
    <mergeCell ref="C86:D86"/>
    <mergeCell ref="C87:D87"/>
    <mergeCell ref="C88:D88"/>
    <mergeCell ref="C79:D79"/>
    <mergeCell ref="C80:D80"/>
    <mergeCell ref="C81:D81"/>
    <mergeCell ref="C82:D82"/>
    <mergeCell ref="C83:D83"/>
    <mergeCell ref="C84:D84"/>
    <mergeCell ref="C60:D60"/>
    <mergeCell ref="C61:D61"/>
    <mergeCell ref="AA43:AB44"/>
    <mergeCell ref="E45:H46"/>
    <mergeCell ref="G66:H66"/>
    <mergeCell ref="Y68:Z69"/>
    <mergeCell ref="AA68:AB69"/>
    <mergeCell ref="E53:F53"/>
    <mergeCell ref="G53:H53"/>
    <mergeCell ref="I53:J53"/>
    <mergeCell ref="U66:V66"/>
    <mergeCell ref="W66:X66"/>
    <mergeCell ref="U68:V69"/>
    <mergeCell ref="W68:X69"/>
    <mergeCell ref="W41:X41"/>
    <mergeCell ref="E66:F66"/>
    <mergeCell ref="S47:T48"/>
    <mergeCell ref="U47:V48"/>
    <mergeCell ref="W47:X48"/>
    <mergeCell ref="Y47:Z48"/>
    <mergeCell ref="AA47:AB48"/>
    <mergeCell ref="S41:T41"/>
    <mergeCell ref="U41:V41"/>
    <mergeCell ref="Y41:Z41"/>
    <mergeCell ref="AA41:AB41"/>
    <mergeCell ref="Q41:R41"/>
    <mergeCell ref="O53:P53"/>
    <mergeCell ref="E41:F41"/>
    <mergeCell ref="G41:H41"/>
    <mergeCell ref="I41:J41"/>
    <mergeCell ref="K41:L41"/>
    <mergeCell ref="M41:N41"/>
    <mergeCell ref="O41:P41"/>
    <mergeCell ref="E43:F44"/>
    <mergeCell ref="S43:T44"/>
    <mergeCell ref="U43:V44"/>
    <mergeCell ref="W43:X44"/>
    <mergeCell ref="Y43:Z44"/>
    <mergeCell ref="S28:T28"/>
    <mergeCell ref="G28:H28"/>
    <mergeCell ref="I28:J28"/>
    <mergeCell ref="K28:L28"/>
    <mergeCell ref="M28:N28"/>
    <mergeCell ref="O28:P28"/>
    <mergeCell ref="Y28:Z28"/>
    <mergeCell ref="AA28:AB28"/>
    <mergeCell ref="E22:F23"/>
    <mergeCell ref="G22:H23"/>
    <mergeCell ref="I22:J23"/>
    <mergeCell ref="K22:L23"/>
    <mergeCell ref="M22:N23"/>
    <mergeCell ref="O22:P23"/>
    <mergeCell ref="Q22:R23"/>
    <mergeCell ref="S22:T23"/>
    <mergeCell ref="E28:F28"/>
    <mergeCell ref="U22:V23"/>
    <mergeCell ref="W22:X23"/>
    <mergeCell ref="Y22:Z23"/>
    <mergeCell ref="AA22:AB23"/>
    <mergeCell ref="U28:V28"/>
    <mergeCell ref="W28:X28"/>
    <mergeCell ref="C20:D21"/>
    <mergeCell ref="C18:D18"/>
    <mergeCell ref="B5:B23"/>
    <mergeCell ref="C22:D23"/>
    <mergeCell ref="AA18:AB18"/>
    <mergeCell ref="Y18:Z18"/>
    <mergeCell ref="W18:X18"/>
    <mergeCell ref="U18:V18"/>
    <mergeCell ref="S18:T18"/>
    <mergeCell ref="S20:T21"/>
    <mergeCell ref="Q20:R21"/>
    <mergeCell ref="I20:J21"/>
    <mergeCell ref="G20:H21"/>
    <mergeCell ref="Q18:R18"/>
    <mergeCell ref="O18:P18"/>
    <mergeCell ref="M18:N18"/>
    <mergeCell ref="K18:L18"/>
    <mergeCell ref="I18:J18"/>
    <mergeCell ref="G18:H18"/>
    <mergeCell ref="E20:F21"/>
    <mergeCell ref="O20:P21"/>
    <mergeCell ref="E18:F18"/>
    <mergeCell ref="M20:N21"/>
    <mergeCell ref="K20:L21"/>
    <mergeCell ref="C5:D5"/>
    <mergeCell ref="C17:D17"/>
    <mergeCell ref="C16:D16"/>
    <mergeCell ref="C15:D15"/>
    <mergeCell ref="C14:D14"/>
    <mergeCell ref="C13:D13"/>
    <mergeCell ref="C12:D12"/>
    <mergeCell ref="C11:D11"/>
    <mergeCell ref="C10:D10"/>
    <mergeCell ref="C9:D9"/>
    <mergeCell ref="C8:D8"/>
    <mergeCell ref="C7:D7"/>
    <mergeCell ref="C6:D6"/>
    <mergeCell ref="O5:P5"/>
    <mergeCell ref="M5:N5"/>
    <mergeCell ref="K5:L5"/>
    <mergeCell ref="I5:J5"/>
    <mergeCell ref="G5:H5"/>
    <mergeCell ref="E5:F5"/>
    <mergeCell ref="AA5:AB5"/>
    <mergeCell ref="Y5:Z5"/>
    <mergeCell ref="W5:X5"/>
    <mergeCell ref="U5:V5"/>
    <mergeCell ref="S5:T5"/>
    <mergeCell ref="Q5:R5"/>
    <mergeCell ref="B28:B48"/>
    <mergeCell ref="C47:D48"/>
    <mergeCell ref="E47:F48"/>
    <mergeCell ref="G47:H48"/>
    <mergeCell ref="I47:J48"/>
    <mergeCell ref="K47:L48"/>
    <mergeCell ref="M47:N48"/>
    <mergeCell ref="O47:P48"/>
    <mergeCell ref="Q47:R48"/>
    <mergeCell ref="Q28:R28"/>
    <mergeCell ref="C29:D29"/>
    <mergeCell ref="C30:D30"/>
    <mergeCell ref="C31:D31"/>
    <mergeCell ref="C32:D32"/>
    <mergeCell ref="C33:D33"/>
    <mergeCell ref="C34:D34"/>
    <mergeCell ref="C41:D41"/>
    <mergeCell ref="C43:D44"/>
    <mergeCell ref="C28:D28"/>
    <mergeCell ref="C35:D35"/>
    <mergeCell ref="C36:D36"/>
    <mergeCell ref="C37:D37"/>
    <mergeCell ref="C38:D38"/>
    <mergeCell ref="C39:D39"/>
    <mergeCell ref="AC47:AC48"/>
    <mergeCell ref="B53:B73"/>
    <mergeCell ref="C72:D73"/>
    <mergeCell ref="E72:F73"/>
    <mergeCell ref="G72:H73"/>
    <mergeCell ref="I72:J73"/>
    <mergeCell ref="K72:L73"/>
    <mergeCell ref="M72:N73"/>
    <mergeCell ref="O72:P73"/>
    <mergeCell ref="Q72:R73"/>
    <mergeCell ref="S72:T73"/>
    <mergeCell ref="U72:V73"/>
    <mergeCell ref="W72:X73"/>
    <mergeCell ref="Y72:Z73"/>
    <mergeCell ref="AA72:AB73"/>
    <mergeCell ref="Y66:Z66"/>
    <mergeCell ref="C63:D63"/>
    <mergeCell ref="C64:D64"/>
    <mergeCell ref="C65:D65"/>
    <mergeCell ref="C54:D54"/>
    <mergeCell ref="C55:D55"/>
    <mergeCell ref="C56:D56"/>
    <mergeCell ref="AC68:AC69"/>
    <mergeCell ref="C59:D59"/>
    <mergeCell ref="E70:J71"/>
    <mergeCell ref="K70:P71"/>
    <mergeCell ref="Q70:V71"/>
    <mergeCell ref="W70:AB71"/>
    <mergeCell ref="Y91:Z91"/>
    <mergeCell ref="AA91:AB91"/>
    <mergeCell ref="W97:X98"/>
    <mergeCell ref="Y97:Z98"/>
    <mergeCell ref="AA97:AB98"/>
    <mergeCell ref="E97:F98"/>
    <mergeCell ref="G97:H98"/>
    <mergeCell ref="I97:J98"/>
    <mergeCell ref="K97:L98"/>
    <mergeCell ref="M97:N98"/>
    <mergeCell ref="O97:P98"/>
    <mergeCell ref="Q97:R98"/>
    <mergeCell ref="S97:T98"/>
    <mergeCell ref="U97:V98"/>
    <mergeCell ref="M78:N78"/>
    <mergeCell ref="S91:T91"/>
    <mergeCell ref="E91:F91"/>
    <mergeCell ref="G91:H91"/>
    <mergeCell ref="I91:J91"/>
    <mergeCell ref="K91:L91"/>
  </mergeCells>
  <phoneticPr fontId="16" type="noConversion"/>
  <conditionalFormatting sqref="AC6:AC17">
    <cfRule type="expression" dxfId="4" priority="4">
      <formula>AND(AC6&lt;&gt;82, AC6&lt;&gt;67, AC6&lt;&gt;56, AC6&lt;&gt;"")</formula>
    </cfRule>
  </conditionalFormatting>
  <conditionalFormatting sqref="AD6:AD17">
    <cfRule type="containsText" dxfId="3" priority="3" operator="containsText" text="FALSE">
      <formula>NOT(ISERROR(SEARCH("FALSE",AD6)))</formula>
    </cfRule>
  </conditionalFormatting>
  <conditionalFormatting sqref="F6:F17 H6:H17 J6:J17 L6:L17 N6:N17 P6:P17 R6:R17 T6:T17 V6:V17 X6:X17 Z6:Z17 AB6:AB17">
    <cfRule type="expression" dxfId="2" priority="2">
      <formula>AND($AD6="FALSE / DOUBLE", COUNTIF($F6:$AB6, F6)&gt;1, F6&gt;1)</formula>
    </cfRule>
  </conditionalFormatting>
  <conditionalFormatting sqref="E6:AB17">
    <cfRule type="expression" dxfId="1" priority="1">
      <formula>COUNTIFS($A6:$AA6,"DC")&gt;0</formula>
    </cfRule>
  </conditionalFormatting>
  <pageMargins left="0.7" right="0.7" top="0.75" bottom="0.75" header="0.3" footer="0.3"/>
  <ignoredErrors>
    <ignoredError sqref="AC67 AC42"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2268946F-B2B0-4E28-B776-B09D04F2BF61}">
          <x14:formula1>
            <xm:f>'Map and Points 12p'!$N$7:$N$36</xm:f>
          </x14:formula1>
          <xm:sqref>C6:D17 C29:D40 C54:D65 C79:D90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8ADB9-FF7D-4E7C-8F16-CB4326923654}">
  <sheetPr codeName="Feuil4">
    <tabColor rgb="FF92D050"/>
  </sheetPr>
  <dimension ref="A1"/>
  <sheetViews>
    <sheetView workbookViewId="0">
      <selection activeCell="A2" sqref="A2:A20"/>
    </sheetView>
  </sheetViews>
  <sheetFormatPr baseColWidth="10" defaultColWidth="11.42578125"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50151-83BF-498F-9AD5-ABF8F9904191}">
  <sheetPr codeName="Feuil3">
    <tabColor rgb="FF7030A0"/>
  </sheetPr>
  <dimension ref="A2:S59"/>
  <sheetViews>
    <sheetView workbookViewId="0">
      <selection activeCell="K14" sqref="K14"/>
    </sheetView>
  </sheetViews>
  <sheetFormatPr baseColWidth="10" defaultColWidth="11.42578125" defaultRowHeight="15" x14ac:dyDescent="0.25"/>
  <cols>
    <col min="1" max="1" width="25.85546875" customWidth="1"/>
    <col min="2" max="2" width="12.140625" customWidth="1"/>
    <col min="3" max="3" width="20.140625" customWidth="1"/>
    <col min="5" max="5" width="11.140625" bestFit="1" customWidth="1"/>
    <col min="6" max="7" width="14.140625" bestFit="1" customWidth="1"/>
    <col min="8" max="8" width="14.28515625" bestFit="1" customWidth="1"/>
    <col min="9" max="9" width="14.140625" bestFit="1" customWidth="1"/>
    <col min="10" max="10" width="14.28515625" bestFit="1" customWidth="1"/>
    <col min="11" max="11" width="13.140625" customWidth="1"/>
    <col min="13" max="13" width="21.140625" customWidth="1"/>
    <col min="14" max="14" width="40" customWidth="1"/>
    <col min="16" max="16" width="26" customWidth="1"/>
    <col min="18" max="19" width="24.140625" bestFit="1" customWidth="1"/>
  </cols>
  <sheetData>
    <row r="2" spans="1:19" ht="15.75" customHeight="1" x14ac:dyDescent="0.25">
      <c r="E2" s="109"/>
      <c r="F2" s="109"/>
      <c r="G2" s="109"/>
      <c r="H2" s="109"/>
      <c r="I2" s="109"/>
      <c r="J2" s="109"/>
      <c r="K2" s="109"/>
      <c r="L2" s="194"/>
    </row>
    <row r="3" spans="1:19" ht="15.75" thickBot="1" x14ac:dyDescent="0.3">
      <c r="L3" s="194"/>
    </row>
    <row r="4" spans="1:19" ht="18.75" customHeight="1" thickBot="1" x14ac:dyDescent="0.3">
      <c r="A4" s="409" t="s">
        <v>40</v>
      </c>
      <c r="B4" s="410"/>
      <c r="C4" s="411"/>
      <c r="E4" s="128" t="s">
        <v>41</v>
      </c>
      <c r="F4" s="199"/>
      <c r="G4" s="199"/>
      <c r="I4" s="128" t="s">
        <v>42</v>
      </c>
      <c r="J4" s="199"/>
      <c r="K4" s="199"/>
      <c r="L4" s="194"/>
      <c r="M4" s="403"/>
      <c r="N4" s="403" t="s">
        <v>43</v>
      </c>
      <c r="O4" s="403" t="s">
        <v>44</v>
      </c>
      <c r="P4" s="403" t="s">
        <v>45</v>
      </c>
    </row>
    <row r="5" spans="1:19" ht="19.5" thickBot="1" x14ac:dyDescent="0.3">
      <c r="A5" s="113" t="s">
        <v>46</v>
      </c>
      <c r="B5" s="113" t="s">
        <v>44</v>
      </c>
      <c r="C5" s="113" t="s">
        <v>47</v>
      </c>
      <c r="E5" s="128" t="s">
        <v>48</v>
      </c>
      <c r="F5" s="128" t="s">
        <v>49</v>
      </c>
      <c r="G5" s="177" t="s">
        <v>50</v>
      </c>
      <c r="I5" s="128" t="s">
        <v>48</v>
      </c>
      <c r="J5" s="177" t="s">
        <v>49</v>
      </c>
      <c r="K5" s="177" t="s">
        <v>50</v>
      </c>
      <c r="L5" s="194"/>
      <c r="M5" s="404"/>
      <c r="N5" s="404"/>
      <c r="O5" s="404"/>
      <c r="P5" s="404"/>
    </row>
    <row r="6" spans="1:19" ht="19.5" thickBot="1" x14ac:dyDescent="0.35">
      <c r="A6" s="120" t="s">
        <v>51</v>
      </c>
      <c r="B6" s="114" t="s">
        <v>52</v>
      </c>
      <c r="C6" s="115"/>
      <c r="E6" s="85" t="s">
        <v>53</v>
      </c>
      <c r="F6" s="112">
        <v>15</v>
      </c>
      <c r="G6" s="178" t="s">
        <v>54</v>
      </c>
      <c r="I6" s="172" t="s">
        <v>53</v>
      </c>
      <c r="J6" s="185">
        <v>9</v>
      </c>
      <c r="K6" s="186">
        <v>6</v>
      </c>
      <c r="L6" s="194"/>
      <c r="M6" s="405"/>
      <c r="N6" s="405"/>
      <c r="O6" s="405"/>
      <c r="P6" s="405"/>
    </row>
    <row r="7" spans="1:19" ht="19.5" thickBot="1" x14ac:dyDescent="0.35">
      <c r="A7" s="121" t="s">
        <v>55</v>
      </c>
      <c r="B7" s="113" t="s">
        <v>56</v>
      </c>
      <c r="C7" s="116"/>
      <c r="E7" s="85" t="s">
        <v>57</v>
      </c>
      <c r="F7" s="112">
        <v>12</v>
      </c>
      <c r="G7" s="88" t="s">
        <v>54</v>
      </c>
      <c r="I7" s="173" t="s">
        <v>57</v>
      </c>
      <c r="J7" s="86">
        <v>8</v>
      </c>
      <c r="K7" s="87">
        <v>4</v>
      </c>
      <c r="L7" s="194"/>
      <c r="M7" s="406" t="s">
        <v>58</v>
      </c>
      <c r="N7" s="100" t="s">
        <v>59</v>
      </c>
      <c r="O7" s="97" t="s">
        <v>60</v>
      </c>
      <c r="P7" s="102" t="s">
        <v>61</v>
      </c>
    </row>
    <row r="8" spans="1:19" ht="19.5" thickBot="1" x14ac:dyDescent="0.35">
      <c r="A8" s="121" t="s">
        <v>62</v>
      </c>
      <c r="B8" s="113" t="s">
        <v>63</v>
      </c>
      <c r="C8" s="117"/>
      <c r="E8" s="85" t="s">
        <v>64</v>
      </c>
      <c r="F8" s="112">
        <v>10</v>
      </c>
      <c r="G8" s="88" t="s">
        <v>54</v>
      </c>
      <c r="I8" s="173" t="s">
        <v>64</v>
      </c>
      <c r="J8" s="86">
        <v>7</v>
      </c>
      <c r="K8" s="87">
        <v>3</v>
      </c>
      <c r="L8" s="194"/>
      <c r="M8" s="407"/>
      <c r="N8" s="100" t="s">
        <v>65</v>
      </c>
      <c r="O8" s="97" t="s">
        <v>66</v>
      </c>
      <c r="P8" s="97" t="s">
        <v>67</v>
      </c>
    </row>
    <row r="9" spans="1:19" ht="19.5" thickBot="1" x14ac:dyDescent="0.35">
      <c r="A9" s="121" t="s">
        <v>68</v>
      </c>
      <c r="B9" s="113" t="s">
        <v>69</v>
      </c>
      <c r="C9" s="118"/>
      <c r="E9" s="85" t="s">
        <v>70</v>
      </c>
      <c r="F9" s="112">
        <v>9</v>
      </c>
      <c r="G9" s="88" t="s">
        <v>54</v>
      </c>
      <c r="I9" s="173" t="s">
        <v>70</v>
      </c>
      <c r="J9" s="86">
        <v>6</v>
      </c>
      <c r="K9" s="87">
        <v>3</v>
      </c>
      <c r="L9" s="194"/>
      <c r="M9" s="407"/>
      <c r="N9" s="100" t="s">
        <v>71</v>
      </c>
      <c r="O9" s="97" t="s">
        <v>72</v>
      </c>
      <c r="P9" s="97" t="s">
        <v>73</v>
      </c>
    </row>
    <row r="10" spans="1:19" ht="19.5" thickBot="1" x14ac:dyDescent="0.35">
      <c r="A10" s="121" t="s">
        <v>74</v>
      </c>
      <c r="B10" s="113" t="s">
        <v>75</v>
      </c>
      <c r="C10" s="119"/>
      <c r="E10" s="85" t="s">
        <v>76</v>
      </c>
      <c r="F10" s="112">
        <v>8</v>
      </c>
      <c r="G10" s="88" t="s">
        <v>54</v>
      </c>
      <c r="I10" s="173" t="s">
        <v>76</v>
      </c>
      <c r="J10" s="86">
        <v>5</v>
      </c>
      <c r="K10" s="87">
        <v>3</v>
      </c>
      <c r="L10" s="194"/>
      <c r="M10" s="408"/>
      <c r="N10" s="101" t="s">
        <v>77</v>
      </c>
      <c r="O10" s="98" t="s">
        <v>78</v>
      </c>
      <c r="P10" s="98" t="s">
        <v>79</v>
      </c>
    </row>
    <row r="11" spans="1:19" ht="18.75" x14ac:dyDescent="0.3">
      <c r="E11" s="85" t="s">
        <v>80</v>
      </c>
      <c r="F11" s="112">
        <v>7</v>
      </c>
      <c r="G11" s="88" t="s">
        <v>54</v>
      </c>
      <c r="I11" s="173" t="s">
        <v>80</v>
      </c>
      <c r="J11" s="86">
        <v>4</v>
      </c>
      <c r="K11" s="87">
        <v>3</v>
      </c>
      <c r="L11" s="194"/>
      <c r="M11" s="406" t="s">
        <v>81</v>
      </c>
      <c r="N11" s="99" t="s">
        <v>82</v>
      </c>
      <c r="O11" s="102" t="s">
        <v>83</v>
      </c>
      <c r="P11" s="102" t="s">
        <v>84</v>
      </c>
      <c r="S11" s="194"/>
    </row>
    <row r="12" spans="1:19" ht="18.75" x14ac:dyDescent="0.3">
      <c r="E12" s="85" t="s">
        <v>85</v>
      </c>
      <c r="F12" s="112">
        <v>6</v>
      </c>
      <c r="G12" s="88" t="s">
        <v>54</v>
      </c>
      <c r="I12" s="173" t="s">
        <v>85</v>
      </c>
      <c r="J12" s="86">
        <v>3</v>
      </c>
      <c r="K12" s="87">
        <v>3</v>
      </c>
      <c r="L12" s="194"/>
      <c r="M12" s="407"/>
      <c r="N12" s="100" t="s">
        <v>86</v>
      </c>
      <c r="O12" s="97" t="s">
        <v>87</v>
      </c>
      <c r="P12" s="97" t="s">
        <v>88</v>
      </c>
      <c r="S12" s="194"/>
    </row>
    <row r="13" spans="1:19" ht="18.75" x14ac:dyDescent="0.3">
      <c r="E13" s="85" t="s">
        <v>89</v>
      </c>
      <c r="F13" s="112">
        <v>5</v>
      </c>
      <c r="G13" s="88" t="s">
        <v>54</v>
      </c>
      <c r="I13" s="173" t="s">
        <v>89</v>
      </c>
      <c r="J13" s="86">
        <v>2</v>
      </c>
      <c r="K13" s="87">
        <v>3</v>
      </c>
      <c r="L13" s="194"/>
      <c r="M13" s="407"/>
      <c r="N13" s="100" t="s">
        <v>90</v>
      </c>
      <c r="O13" s="97" t="s">
        <v>91</v>
      </c>
      <c r="P13" s="97" t="s">
        <v>92</v>
      </c>
      <c r="S13" s="194"/>
    </row>
    <row r="14" spans="1:19" ht="19.5" thickBot="1" x14ac:dyDescent="0.35">
      <c r="E14" s="85" t="s">
        <v>93</v>
      </c>
      <c r="F14" s="112">
        <v>4</v>
      </c>
      <c r="G14" s="88" t="s">
        <v>54</v>
      </c>
      <c r="I14" s="173" t="s">
        <v>93</v>
      </c>
      <c r="J14" s="86">
        <v>1</v>
      </c>
      <c r="K14" s="87">
        <v>3</v>
      </c>
      <c r="L14" s="194"/>
      <c r="M14" s="408"/>
      <c r="N14" s="101" t="s">
        <v>94</v>
      </c>
      <c r="O14" s="98" t="s">
        <v>95</v>
      </c>
      <c r="P14" s="98" t="s">
        <v>96</v>
      </c>
      <c r="S14" s="194"/>
    </row>
    <row r="15" spans="1:19" ht="18.75" x14ac:dyDescent="0.3">
      <c r="E15" s="85" t="s">
        <v>97</v>
      </c>
      <c r="F15" s="112">
        <v>3</v>
      </c>
      <c r="G15" s="88" t="s">
        <v>54</v>
      </c>
      <c r="I15" s="172" t="s">
        <v>97</v>
      </c>
      <c r="J15" s="90" t="s">
        <v>54</v>
      </c>
      <c r="K15" s="91" t="s">
        <v>54</v>
      </c>
      <c r="L15" s="194"/>
      <c r="M15" s="406" t="s">
        <v>98</v>
      </c>
      <c r="N15" s="99" t="s">
        <v>99</v>
      </c>
      <c r="O15" s="102" t="s">
        <v>100</v>
      </c>
      <c r="P15" s="102" t="s">
        <v>101</v>
      </c>
      <c r="S15" s="194"/>
    </row>
    <row r="16" spans="1:19" ht="18.75" x14ac:dyDescent="0.3">
      <c r="E16" s="85" t="s">
        <v>102</v>
      </c>
      <c r="F16" s="112">
        <v>2</v>
      </c>
      <c r="G16" s="88" t="s">
        <v>54</v>
      </c>
      <c r="I16" s="173" t="s">
        <v>102</v>
      </c>
      <c r="J16" s="130" t="s">
        <v>54</v>
      </c>
      <c r="K16" s="131" t="s">
        <v>54</v>
      </c>
      <c r="L16" s="194"/>
      <c r="M16" s="407"/>
      <c r="N16" s="100" t="s">
        <v>103</v>
      </c>
      <c r="O16" s="97" t="s">
        <v>104</v>
      </c>
      <c r="P16" s="97" t="s">
        <v>105</v>
      </c>
      <c r="S16" s="194"/>
    </row>
    <row r="17" spans="1:19" ht="19.5" thickBot="1" x14ac:dyDescent="0.35">
      <c r="E17" s="85" t="s">
        <v>106</v>
      </c>
      <c r="F17" s="112">
        <v>1</v>
      </c>
      <c r="G17" s="88" t="s">
        <v>54</v>
      </c>
      <c r="I17" s="174" t="s">
        <v>106</v>
      </c>
      <c r="J17" s="130" t="s">
        <v>54</v>
      </c>
      <c r="K17" s="131" t="s">
        <v>54</v>
      </c>
      <c r="L17" s="194"/>
      <c r="M17" s="407"/>
      <c r="N17" s="100" t="s">
        <v>107</v>
      </c>
      <c r="O17" s="97" t="s">
        <v>108</v>
      </c>
      <c r="P17" s="97" t="s">
        <v>109</v>
      </c>
      <c r="S17" s="194"/>
    </row>
    <row r="18" spans="1:19" ht="19.5" thickBot="1" x14ac:dyDescent="0.35">
      <c r="C18" s="194"/>
      <c r="D18" s="194"/>
      <c r="E18" s="179" t="s">
        <v>29</v>
      </c>
      <c r="F18" s="180" t="s">
        <v>54</v>
      </c>
      <c r="G18" s="181" t="s">
        <v>54</v>
      </c>
      <c r="I18" s="179" t="s">
        <v>29</v>
      </c>
      <c r="J18" s="187">
        <v>0</v>
      </c>
      <c r="K18" s="188">
        <v>2</v>
      </c>
      <c r="L18" s="194"/>
      <c r="M18" s="408"/>
      <c r="N18" s="101" t="s">
        <v>110</v>
      </c>
      <c r="O18" s="98" t="s">
        <v>111</v>
      </c>
      <c r="P18" s="98" t="s">
        <v>112</v>
      </c>
      <c r="S18" s="194"/>
    </row>
    <row r="19" spans="1:19" ht="15.75" x14ac:dyDescent="0.25">
      <c r="C19" s="194"/>
      <c r="D19" s="194"/>
      <c r="F19" s="199"/>
      <c r="G19" s="199"/>
      <c r="H19" s="199"/>
      <c r="I19" s="199"/>
      <c r="J19" s="199"/>
      <c r="K19" s="199"/>
      <c r="L19" s="194"/>
      <c r="M19" s="406" t="s">
        <v>113</v>
      </c>
      <c r="N19" s="99" t="s">
        <v>114</v>
      </c>
      <c r="O19" s="102" t="s">
        <v>115</v>
      </c>
      <c r="P19" s="102" t="s">
        <v>116</v>
      </c>
      <c r="S19" s="194"/>
    </row>
    <row r="20" spans="1:19" ht="15.75" x14ac:dyDescent="0.25">
      <c r="F20" s="199"/>
      <c r="G20" s="199"/>
      <c r="H20" s="199"/>
      <c r="I20" s="199"/>
      <c r="J20" s="199"/>
      <c r="K20" s="199"/>
      <c r="M20" s="407"/>
      <c r="N20" s="100" t="s">
        <v>117</v>
      </c>
      <c r="O20" s="97" t="s">
        <v>118</v>
      </c>
      <c r="P20" s="97" t="s">
        <v>119</v>
      </c>
      <c r="S20" s="194"/>
    </row>
    <row r="21" spans="1:19" ht="16.5" thickBot="1" x14ac:dyDescent="0.3">
      <c r="H21" s="199"/>
      <c r="M21" s="408"/>
      <c r="N21" s="101" t="s">
        <v>120</v>
      </c>
      <c r="O21" s="98" t="s">
        <v>121</v>
      </c>
      <c r="P21" s="98" t="s">
        <v>122</v>
      </c>
      <c r="R21" s="194"/>
      <c r="S21" s="194"/>
    </row>
    <row r="22" spans="1:19" ht="19.5" thickBot="1" x14ac:dyDescent="0.3">
      <c r="E22" s="128" t="s">
        <v>123</v>
      </c>
      <c r="F22" s="199"/>
      <c r="G22" s="199"/>
      <c r="H22" s="199"/>
      <c r="I22" s="128" t="s">
        <v>124</v>
      </c>
      <c r="J22" s="199"/>
      <c r="K22" s="199"/>
      <c r="M22" s="406" t="s">
        <v>125</v>
      </c>
      <c r="N22" s="99" t="s">
        <v>126</v>
      </c>
      <c r="O22" s="102" t="s">
        <v>127</v>
      </c>
      <c r="P22" s="102" t="s">
        <v>128</v>
      </c>
      <c r="R22" s="194"/>
      <c r="S22" s="194"/>
    </row>
    <row r="23" spans="1:19" ht="19.5" thickBot="1" x14ac:dyDescent="0.3">
      <c r="E23" s="128" t="s">
        <v>48</v>
      </c>
      <c r="F23" s="128" t="s">
        <v>49</v>
      </c>
      <c r="G23" s="128" t="s">
        <v>50</v>
      </c>
      <c r="H23" s="199"/>
      <c r="I23" s="128" t="s">
        <v>48</v>
      </c>
      <c r="J23" s="128" t="s">
        <v>49</v>
      </c>
      <c r="K23" s="128" t="s">
        <v>50</v>
      </c>
      <c r="M23" s="407"/>
      <c r="N23" s="100" t="s">
        <v>129</v>
      </c>
      <c r="O23" s="97" t="s">
        <v>130</v>
      </c>
      <c r="P23" s="97" t="s">
        <v>131</v>
      </c>
      <c r="S23" s="194"/>
    </row>
    <row r="24" spans="1:19" ht="18.75" x14ac:dyDescent="0.3">
      <c r="E24" s="175" t="s">
        <v>53</v>
      </c>
      <c r="F24" s="112">
        <v>12</v>
      </c>
      <c r="G24" s="87">
        <v>3</v>
      </c>
      <c r="H24" s="199"/>
      <c r="I24" s="175" t="s">
        <v>53</v>
      </c>
      <c r="J24" s="185">
        <v>11</v>
      </c>
      <c r="K24" s="186">
        <v>4</v>
      </c>
      <c r="L24" s="194"/>
      <c r="M24" s="407"/>
      <c r="N24" s="100" t="s">
        <v>132</v>
      </c>
      <c r="O24" s="97" t="s">
        <v>133</v>
      </c>
      <c r="P24" s="97" t="s">
        <v>134</v>
      </c>
    </row>
    <row r="25" spans="1:19" ht="19.5" thickBot="1" x14ac:dyDescent="0.35">
      <c r="E25" s="85" t="s">
        <v>57</v>
      </c>
      <c r="F25" s="112">
        <v>10</v>
      </c>
      <c r="G25" s="87">
        <v>2</v>
      </c>
      <c r="H25" s="199"/>
      <c r="I25" s="85" t="s">
        <v>57</v>
      </c>
      <c r="J25" s="86">
        <v>9</v>
      </c>
      <c r="K25" s="87">
        <v>3</v>
      </c>
      <c r="L25" s="194"/>
      <c r="M25" s="408"/>
      <c r="N25" s="101" t="s">
        <v>135</v>
      </c>
      <c r="O25" s="98" t="s">
        <v>136</v>
      </c>
      <c r="P25" s="98" t="s">
        <v>137</v>
      </c>
    </row>
    <row r="26" spans="1:19" ht="18.75" x14ac:dyDescent="0.3">
      <c r="A26" s="184"/>
      <c r="B26" s="184"/>
      <c r="C26" s="184"/>
      <c r="D26" s="184"/>
      <c r="E26" s="85" t="s">
        <v>64</v>
      </c>
      <c r="F26" s="112">
        <v>9</v>
      </c>
      <c r="G26" s="87">
        <v>1</v>
      </c>
      <c r="I26" s="85" t="s">
        <v>64</v>
      </c>
      <c r="J26" s="86">
        <v>8</v>
      </c>
      <c r="K26" s="87">
        <v>2</v>
      </c>
      <c r="L26" s="194"/>
      <c r="M26" s="406" t="s">
        <v>138</v>
      </c>
      <c r="N26" s="99" t="s">
        <v>139</v>
      </c>
      <c r="O26" s="102" t="s">
        <v>140</v>
      </c>
      <c r="P26" s="102" t="s">
        <v>141</v>
      </c>
    </row>
    <row r="27" spans="1:19" ht="18.75" x14ac:dyDescent="0.3">
      <c r="A27" s="112"/>
      <c r="B27" s="112"/>
      <c r="C27" s="112"/>
      <c r="D27" s="112"/>
      <c r="E27" s="85" t="s">
        <v>70</v>
      </c>
      <c r="F27" s="112">
        <v>8</v>
      </c>
      <c r="G27" s="87">
        <v>1</v>
      </c>
      <c r="I27" s="85" t="s">
        <v>70</v>
      </c>
      <c r="J27" s="86">
        <v>7</v>
      </c>
      <c r="K27" s="87">
        <v>2</v>
      </c>
      <c r="L27" s="194"/>
      <c r="M27" s="407"/>
      <c r="N27" s="100" t="s">
        <v>142</v>
      </c>
      <c r="O27" s="97" t="s">
        <v>143</v>
      </c>
      <c r="P27" s="97" t="s">
        <v>144</v>
      </c>
    </row>
    <row r="28" spans="1:19" ht="18.75" x14ac:dyDescent="0.3">
      <c r="A28" s="112"/>
      <c r="B28" s="112"/>
      <c r="C28" s="112"/>
      <c r="D28" s="112"/>
      <c r="E28" s="85" t="s">
        <v>76</v>
      </c>
      <c r="F28" s="112">
        <v>7</v>
      </c>
      <c r="G28" s="87">
        <v>1</v>
      </c>
      <c r="I28" s="85" t="s">
        <v>76</v>
      </c>
      <c r="J28" s="86">
        <v>6</v>
      </c>
      <c r="K28" s="87">
        <v>2</v>
      </c>
      <c r="L28" s="194"/>
      <c r="M28" s="407"/>
      <c r="N28" s="100" t="s">
        <v>145</v>
      </c>
      <c r="O28" s="97" t="s">
        <v>146</v>
      </c>
      <c r="P28" s="97" t="s">
        <v>147</v>
      </c>
    </row>
    <row r="29" spans="1:19" ht="19.5" thickBot="1" x14ac:dyDescent="0.35">
      <c r="A29" s="112"/>
      <c r="B29" s="112"/>
      <c r="C29" s="112"/>
      <c r="D29" s="112"/>
      <c r="E29" s="85" t="s">
        <v>80</v>
      </c>
      <c r="F29" s="112">
        <v>6</v>
      </c>
      <c r="G29" s="87">
        <v>1</v>
      </c>
      <c r="H29" s="110"/>
      <c r="I29" s="85" t="s">
        <v>80</v>
      </c>
      <c r="J29" s="86">
        <v>5</v>
      </c>
      <c r="K29" s="87">
        <v>2</v>
      </c>
      <c r="L29" s="194"/>
      <c r="M29" s="408"/>
      <c r="N29" s="101" t="s">
        <v>148</v>
      </c>
      <c r="O29" s="98" t="s">
        <v>149</v>
      </c>
      <c r="P29" s="98" t="s">
        <v>150</v>
      </c>
    </row>
    <row r="30" spans="1:19" ht="18.75" x14ac:dyDescent="0.3">
      <c r="A30" s="112"/>
      <c r="B30" s="112"/>
      <c r="C30" s="112"/>
      <c r="D30" s="112"/>
      <c r="E30" s="85" t="s">
        <v>85</v>
      </c>
      <c r="F30" s="112">
        <v>5</v>
      </c>
      <c r="G30" s="87">
        <v>1</v>
      </c>
      <c r="I30" s="85" t="s">
        <v>85</v>
      </c>
      <c r="J30" s="86">
        <v>4</v>
      </c>
      <c r="K30" s="87">
        <v>2</v>
      </c>
      <c r="L30" s="194"/>
      <c r="M30" s="406" t="s">
        <v>151</v>
      </c>
      <c r="N30" s="99" t="s">
        <v>152</v>
      </c>
      <c r="O30" s="102" t="s">
        <v>153</v>
      </c>
      <c r="P30" s="102" t="s">
        <v>154</v>
      </c>
    </row>
    <row r="31" spans="1:19" ht="18.75" x14ac:dyDescent="0.3">
      <c r="A31" s="112"/>
      <c r="B31" s="112"/>
      <c r="C31" s="112"/>
      <c r="D31" s="112"/>
      <c r="E31" s="85" t="s">
        <v>89</v>
      </c>
      <c r="F31" s="112">
        <v>4</v>
      </c>
      <c r="G31" s="87">
        <v>1</v>
      </c>
      <c r="I31" s="85" t="s">
        <v>89</v>
      </c>
      <c r="J31" s="86">
        <v>3</v>
      </c>
      <c r="K31" s="87">
        <v>2</v>
      </c>
      <c r="L31" s="194"/>
      <c r="M31" s="407"/>
      <c r="N31" s="100" t="s">
        <v>155</v>
      </c>
      <c r="O31" s="97" t="s">
        <v>156</v>
      </c>
      <c r="P31" s="97" t="s">
        <v>157</v>
      </c>
    </row>
    <row r="32" spans="1:19" ht="18.75" x14ac:dyDescent="0.3">
      <c r="A32" s="112"/>
      <c r="B32" s="112"/>
      <c r="C32" s="112"/>
      <c r="D32" s="112"/>
      <c r="E32" s="85" t="s">
        <v>93</v>
      </c>
      <c r="F32" s="112">
        <v>3</v>
      </c>
      <c r="G32" s="87">
        <v>1</v>
      </c>
      <c r="I32" s="85" t="s">
        <v>93</v>
      </c>
      <c r="J32" s="86">
        <v>2</v>
      </c>
      <c r="K32" s="87">
        <v>2</v>
      </c>
      <c r="L32" s="194"/>
      <c r="M32" s="407"/>
      <c r="N32" s="100" t="s">
        <v>158</v>
      </c>
      <c r="O32" s="97" t="s">
        <v>159</v>
      </c>
      <c r="P32" s="97" t="s">
        <v>160</v>
      </c>
    </row>
    <row r="33" spans="1:16" ht="19.5" thickBot="1" x14ac:dyDescent="0.35">
      <c r="A33" s="112"/>
      <c r="B33" s="112"/>
      <c r="C33" s="112"/>
      <c r="D33" s="112"/>
      <c r="E33" s="85" t="s">
        <v>97</v>
      </c>
      <c r="F33" s="112">
        <v>2</v>
      </c>
      <c r="G33" s="87">
        <v>1</v>
      </c>
      <c r="I33" s="85" t="s">
        <v>97</v>
      </c>
      <c r="J33" s="86">
        <v>1</v>
      </c>
      <c r="K33" s="87">
        <v>2</v>
      </c>
      <c r="L33" s="194"/>
      <c r="M33" s="408"/>
      <c r="N33" s="101" t="s">
        <v>28</v>
      </c>
      <c r="O33" s="98" t="s">
        <v>161</v>
      </c>
      <c r="P33" s="98" t="s">
        <v>162</v>
      </c>
    </row>
    <row r="34" spans="1:16" ht="19.5" thickBot="1" x14ac:dyDescent="0.35">
      <c r="A34" s="112"/>
      <c r="B34" s="112"/>
      <c r="C34" s="112"/>
      <c r="D34" s="112"/>
      <c r="E34" s="85" t="s">
        <v>102</v>
      </c>
      <c r="F34" s="112">
        <v>1</v>
      </c>
      <c r="G34" s="89">
        <v>1</v>
      </c>
      <c r="I34" s="175" t="s">
        <v>102</v>
      </c>
      <c r="J34" s="90" t="s">
        <v>54</v>
      </c>
      <c r="K34" s="91" t="s">
        <v>54</v>
      </c>
      <c r="L34" s="194"/>
      <c r="M34" s="406" t="s">
        <v>163</v>
      </c>
      <c r="N34" s="99" t="s">
        <v>164</v>
      </c>
      <c r="O34" s="102" t="s">
        <v>165</v>
      </c>
      <c r="P34" s="102" t="s">
        <v>166</v>
      </c>
    </row>
    <row r="35" spans="1:16" ht="19.5" thickBot="1" x14ac:dyDescent="0.35">
      <c r="A35" s="112"/>
      <c r="B35" s="112"/>
      <c r="C35" s="112"/>
      <c r="D35" s="112"/>
      <c r="E35" s="132" t="s">
        <v>106</v>
      </c>
      <c r="F35" s="182" t="s">
        <v>54</v>
      </c>
      <c r="G35" s="91" t="s">
        <v>54</v>
      </c>
      <c r="I35" s="176" t="s">
        <v>106</v>
      </c>
      <c r="J35" s="130" t="s">
        <v>54</v>
      </c>
      <c r="K35" s="131" t="s">
        <v>54</v>
      </c>
      <c r="L35" s="194"/>
      <c r="M35" s="407"/>
      <c r="N35" s="100" t="s">
        <v>167</v>
      </c>
      <c r="O35" s="97" t="s">
        <v>168</v>
      </c>
      <c r="P35" s="97" t="s">
        <v>169</v>
      </c>
    </row>
    <row r="36" spans="1:16" ht="19.5" thickBot="1" x14ac:dyDescent="0.35">
      <c r="A36" s="112"/>
      <c r="B36" s="112"/>
      <c r="C36" s="112"/>
      <c r="D36" s="112"/>
      <c r="E36" s="132" t="s">
        <v>29</v>
      </c>
      <c r="F36" s="183">
        <v>0</v>
      </c>
      <c r="G36" s="135">
        <v>1</v>
      </c>
      <c r="I36" s="179" t="s">
        <v>29</v>
      </c>
      <c r="J36" s="134">
        <v>0</v>
      </c>
      <c r="K36" s="135">
        <v>1</v>
      </c>
      <c r="L36" s="194"/>
      <c r="M36" s="408"/>
      <c r="N36" s="101" t="s">
        <v>170</v>
      </c>
      <c r="O36" s="98" t="s">
        <v>171</v>
      </c>
      <c r="P36" s="98" t="s">
        <v>172</v>
      </c>
    </row>
    <row r="37" spans="1:16" ht="18.75" x14ac:dyDescent="0.3">
      <c r="A37" s="112"/>
      <c r="B37" s="110"/>
      <c r="C37" s="110"/>
      <c r="D37" s="110"/>
      <c r="G37" s="110"/>
    </row>
    <row r="38" spans="1:16" ht="18.75" x14ac:dyDescent="0.3">
      <c r="A38" s="110"/>
      <c r="B38" s="110"/>
      <c r="C38" s="110"/>
      <c r="D38" s="110"/>
      <c r="G38" s="110"/>
    </row>
    <row r="39" spans="1:16" ht="18.75" x14ac:dyDescent="0.3">
      <c r="A39" s="112"/>
      <c r="B39" s="112"/>
      <c r="C39" s="112"/>
      <c r="D39" s="112"/>
      <c r="G39" s="110"/>
    </row>
    <row r="40" spans="1:16" x14ac:dyDescent="0.25">
      <c r="E40" s="194"/>
      <c r="F40" s="194"/>
    </row>
    <row r="41" spans="1:16" x14ac:dyDescent="0.25">
      <c r="E41" s="194"/>
      <c r="F41" s="194"/>
    </row>
    <row r="42" spans="1:16" ht="15" customHeight="1" x14ac:dyDescent="0.25">
      <c r="C42" s="109"/>
      <c r="D42" s="109"/>
      <c r="E42" s="109"/>
      <c r="F42" s="109"/>
      <c r="G42" s="109"/>
      <c r="H42" s="109"/>
      <c r="I42" s="109"/>
    </row>
    <row r="43" spans="1:16" ht="15" customHeight="1" x14ac:dyDescent="0.25">
      <c r="C43" s="109"/>
      <c r="D43" s="109"/>
      <c r="E43" s="109"/>
      <c r="F43" s="109"/>
      <c r="G43" s="109"/>
      <c r="H43" s="109"/>
      <c r="I43" s="109"/>
    </row>
    <row r="44" spans="1:16" ht="18.75" x14ac:dyDescent="0.3">
      <c r="C44" s="109"/>
      <c r="D44" s="109"/>
      <c r="E44" s="110"/>
      <c r="F44" s="110"/>
      <c r="G44" s="110"/>
      <c r="H44" s="110"/>
      <c r="I44" s="109"/>
    </row>
    <row r="45" spans="1:16" ht="18.75" x14ac:dyDescent="0.3">
      <c r="C45" s="111"/>
      <c r="D45" s="112"/>
      <c r="E45" s="112"/>
      <c r="F45" s="112"/>
      <c r="G45" s="112"/>
      <c r="H45" s="112"/>
      <c r="I45" s="110"/>
    </row>
    <row r="46" spans="1:16" ht="18.75" x14ac:dyDescent="0.3">
      <c r="C46" s="111"/>
      <c r="D46" s="112"/>
      <c r="E46" s="112"/>
      <c r="F46" s="112"/>
      <c r="G46" s="112"/>
      <c r="H46" s="112"/>
      <c r="I46" s="110"/>
    </row>
    <row r="47" spans="1:16" ht="18.75" x14ac:dyDescent="0.3">
      <c r="C47" s="111"/>
      <c r="D47" s="112"/>
      <c r="E47" s="112"/>
      <c r="F47" s="112"/>
      <c r="G47" s="112"/>
      <c r="H47" s="112"/>
      <c r="I47" s="110"/>
    </row>
    <row r="48" spans="1:16" ht="18.75" x14ac:dyDescent="0.3">
      <c r="C48" s="111"/>
      <c r="D48" s="112"/>
      <c r="E48" s="112"/>
      <c r="F48" s="112"/>
      <c r="G48" s="112"/>
      <c r="H48" s="112"/>
      <c r="I48" s="110"/>
    </row>
    <row r="49" spans="3:9" ht="18.75" x14ac:dyDescent="0.3">
      <c r="C49" s="111"/>
      <c r="D49" s="112"/>
      <c r="E49" s="112"/>
      <c r="F49" s="112"/>
      <c r="G49" s="112"/>
      <c r="H49" s="112"/>
      <c r="I49" s="110"/>
    </row>
    <row r="50" spans="3:9" ht="18.75" x14ac:dyDescent="0.3">
      <c r="C50" s="111"/>
      <c r="D50" s="112"/>
      <c r="E50" s="112"/>
      <c r="F50" s="112"/>
      <c r="G50" s="112"/>
      <c r="H50" s="112"/>
      <c r="I50" s="110"/>
    </row>
    <row r="51" spans="3:9" ht="18.75" x14ac:dyDescent="0.3">
      <c r="C51" s="111"/>
      <c r="D51" s="112"/>
      <c r="E51" s="112"/>
      <c r="F51" s="112"/>
      <c r="G51" s="112"/>
      <c r="H51" s="112"/>
      <c r="I51" s="110"/>
    </row>
    <row r="52" spans="3:9" ht="18.75" x14ac:dyDescent="0.3">
      <c r="C52" s="111"/>
      <c r="D52" s="112"/>
      <c r="E52" s="112"/>
      <c r="F52" s="112"/>
      <c r="G52" s="112"/>
      <c r="H52" s="112"/>
      <c r="I52" s="110"/>
    </row>
    <row r="53" spans="3:9" ht="18.75" x14ac:dyDescent="0.3">
      <c r="C53" s="111"/>
      <c r="D53" s="112"/>
      <c r="E53" s="112"/>
      <c r="F53" s="112"/>
      <c r="G53" s="112"/>
      <c r="H53" s="112"/>
      <c r="I53" s="110"/>
    </row>
    <row r="54" spans="3:9" ht="18.75" x14ac:dyDescent="0.3">
      <c r="C54" s="111"/>
      <c r="D54" s="112"/>
      <c r="E54" s="112"/>
      <c r="F54" s="112"/>
      <c r="G54" s="112"/>
      <c r="H54" s="112"/>
      <c r="I54" s="110"/>
    </row>
    <row r="55" spans="3:9" ht="18.75" x14ac:dyDescent="0.3">
      <c r="C55" s="111"/>
      <c r="D55" s="112"/>
      <c r="E55" s="112"/>
      <c r="F55" s="110"/>
      <c r="G55" s="110"/>
      <c r="H55" s="110"/>
      <c r="I55" s="110"/>
    </row>
    <row r="56" spans="3:9" ht="18.75" x14ac:dyDescent="0.3">
      <c r="C56" s="111"/>
      <c r="D56" s="112"/>
      <c r="E56" s="110"/>
      <c r="F56" s="110"/>
      <c r="G56" s="110"/>
      <c r="H56" s="110"/>
      <c r="I56" s="110"/>
    </row>
    <row r="57" spans="3:9" ht="18.75" x14ac:dyDescent="0.3">
      <c r="C57" s="111"/>
      <c r="D57" s="110"/>
      <c r="E57" s="112"/>
      <c r="F57" s="112"/>
      <c r="G57" s="112"/>
      <c r="H57" s="112"/>
      <c r="I57" s="110"/>
    </row>
    <row r="58" spans="3:9" ht="18.75" x14ac:dyDescent="0.3">
      <c r="C58" s="111"/>
      <c r="D58" s="110"/>
      <c r="E58" s="110"/>
      <c r="F58" s="110"/>
      <c r="G58" s="110"/>
      <c r="H58" s="110"/>
      <c r="I58" s="110"/>
    </row>
    <row r="59" spans="3:9" ht="18.75" x14ac:dyDescent="0.3">
      <c r="C59" s="111"/>
      <c r="D59" s="110"/>
      <c r="E59" s="110"/>
      <c r="F59" s="110"/>
      <c r="G59" s="110"/>
      <c r="H59" s="110"/>
      <c r="I59" s="110"/>
    </row>
  </sheetData>
  <mergeCells count="13">
    <mergeCell ref="A4:C4"/>
    <mergeCell ref="M15:M18"/>
    <mergeCell ref="M11:M14"/>
    <mergeCell ref="M7:M10"/>
    <mergeCell ref="M4:M6"/>
    <mergeCell ref="P4:P6"/>
    <mergeCell ref="O4:O6"/>
    <mergeCell ref="N4:N6"/>
    <mergeCell ref="M34:M36"/>
    <mergeCell ref="M30:M33"/>
    <mergeCell ref="M26:M29"/>
    <mergeCell ref="M22:M25"/>
    <mergeCell ref="M19:M2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499B-AA3E-4F01-A3EE-59867A271D44}">
  <sheetPr codeName="Feuil2">
    <tabColor rgb="FF7030A0"/>
  </sheetPr>
  <dimension ref="A1:EG1078"/>
  <sheetViews>
    <sheetView tabSelected="1" topLeftCell="BK6" zoomScale="93" zoomScaleNormal="93" workbookViewId="0">
      <selection activeCell="CF11" sqref="CF11"/>
    </sheetView>
  </sheetViews>
  <sheetFormatPr baseColWidth="10" defaultColWidth="11.42578125" defaultRowHeight="15" x14ac:dyDescent="0.25"/>
  <cols>
    <col min="1" max="1" width="6.5703125" bestFit="1" customWidth="1"/>
    <col min="2" max="2" width="9.42578125" bestFit="1" customWidth="1"/>
    <col min="3" max="3" width="8.42578125" bestFit="1" customWidth="1"/>
    <col min="4" max="4" width="5.5703125" bestFit="1" customWidth="1"/>
    <col min="5" max="5" width="9.140625" bestFit="1" customWidth="1"/>
    <col min="6" max="6" width="9.7109375" bestFit="1" customWidth="1"/>
    <col min="7" max="7" width="8.85546875" bestFit="1" customWidth="1"/>
    <col min="8" max="8" width="6.5703125" bestFit="1" customWidth="1"/>
    <col min="9" max="9" width="11.42578125" bestFit="1" customWidth="1"/>
    <col min="10" max="10" width="9.42578125" customWidth="1"/>
    <col min="11" max="11" width="5.5703125" bestFit="1" customWidth="1"/>
    <col min="12" max="12" width="9.140625" bestFit="1" customWidth="1"/>
    <col min="13" max="13" width="9.7109375" bestFit="1" customWidth="1"/>
    <col min="14" max="14" width="7.42578125" customWidth="1"/>
    <col min="15" max="15" width="6.5703125" bestFit="1" customWidth="1"/>
    <col min="16" max="16" width="6.85546875" bestFit="1" customWidth="1"/>
    <col min="17" max="17" width="9.42578125" bestFit="1" customWidth="1"/>
    <col min="18" max="18" width="5.5703125" bestFit="1" customWidth="1"/>
    <col min="19" max="19" width="9.140625" customWidth="1"/>
    <col min="20" max="20" width="9.7109375" bestFit="1" customWidth="1"/>
    <col min="21" max="21" width="9.140625" customWidth="1"/>
    <col min="22" max="22" width="6.5703125" bestFit="1" customWidth="1"/>
    <col min="23" max="23" width="6.85546875" bestFit="1" customWidth="1"/>
    <col min="24" max="24" width="9.42578125" bestFit="1" customWidth="1"/>
    <col min="25" max="25" width="5.5703125" bestFit="1" customWidth="1"/>
    <col min="26" max="26" width="9.140625" bestFit="1" customWidth="1"/>
    <col min="27" max="27" width="9.7109375" bestFit="1" customWidth="1"/>
    <col min="28" max="28" width="9.140625" bestFit="1" customWidth="1"/>
    <col min="29" max="29" width="6.5703125" bestFit="1" customWidth="1"/>
    <col min="30" max="30" width="6.85546875" bestFit="1" customWidth="1"/>
    <col min="31" max="31" width="9.42578125" bestFit="1" customWidth="1"/>
    <col min="32" max="32" width="5.5703125" bestFit="1" customWidth="1"/>
    <col min="33" max="33" width="9.140625" customWidth="1"/>
    <col min="34" max="34" width="9.85546875" customWidth="1"/>
    <col min="35" max="35" width="9.140625" bestFit="1" customWidth="1"/>
    <col min="36" max="36" width="6.5703125" bestFit="1" customWidth="1"/>
    <col min="37" max="38" width="11.42578125" bestFit="1" customWidth="1"/>
    <col min="39" max="39" width="5.5703125" bestFit="1" customWidth="1"/>
    <col min="40" max="41" width="11.42578125" bestFit="1" customWidth="1"/>
    <col min="42" max="42" width="9.140625" bestFit="1" customWidth="1"/>
    <col min="43" max="43" width="6.5703125" bestFit="1" customWidth="1"/>
    <col min="44" max="44" width="6.85546875" bestFit="1" customWidth="1"/>
    <col min="45" max="45" width="9.42578125" bestFit="1" customWidth="1"/>
    <col min="46" max="46" width="5.5703125" bestFit="1" customWidth="1"/>
    <col min="47" max="47" width="9.140625" bestFit="1" customWidth="1"/>
    <col min="48" max="48" width="11.140625" bestFit="1" customWidth="1"/>
    <col min="49" max="49" width="9.140625" bestFit="1" customWidth="1"/>
    <col min="50" max="50" width="6.5703125" bestFit="1" customWidth="1"/>
    <col min="51" max="51" width="6.85546875" bestFit="1" customWidth="1"/>
    <col min="52" max="52" width="9.42578125" bestFit="1" customWidth="1"/>
    <col min="53" max="53" width="5.5703125" bestFit="1" customWidth="1"/>
    <col min="54" max="54" width="9.140625" customWidth="1"/>
    <col min="55" max="55" width="12.28515625" bestFit="1" customWidth="1"/>
    <col min="56" max="56" width="9.140625" bestFit="1" customWidth="1"/>
    <col min="57" max="57" width="6.5703125" bestFit="1" customWidth="1"/>
    <col min="58" max="58" width="6.85546875" bestFit="1" customWidth="1"/>
    <col min="59" max="59" width="9.42578125" bestFit="1" customWidth="1"/>
    <col min="60" max="60" width="5.5703125" bestFit="1" customWidth="1"/>
    <col min="61" max="61" width="9.140625" bestFit="1" customWidth="1"/>
    <col min="62" max="62" width="13.42578125" bestFit="1" customWidth="1"/>
    <col min="63" max="63" width="9.140625" bestFit="1" customWidth="1"/>
    <col min="64" max="64" width="6.5703125" bestFit="1" customWidth="1"/>
    <col min="65" max="65" width="12.28515625" bestFit="1" customWidth="1"/>
    <col min="66" max="66" width="9.42578125" bestFit="1" customWidth="1"/>
    <col min="67" max="67" width="5.5703125" bestFit="1" customWidth="1"/>
    <col min="68" max="68" width="9.140625" bestFit="1" customWidth="1"/>
    <col min="69" max="69" width="14.7109375" bestFit="1" customWidth="1"/>
    <col min="70" max="70" width="9.140625" bestFit="1" customWidth="1"/>
    <col min="71" max="71" width="4.7109375" bestFit="1" customWidth="1"/>
    <col min="72" max="72" width="5" bestFit="1" customWidth="1"/>
    <col min="73" max="73" width="9.42578125" bestFit="1" customWidth="1"/>
    <col min="74" max="74" width="4.140625" bestFit="1" customWidth="1"/>
    <col min="75" max="75" width="9.42578125" bestFit="1" customWidth="1"/>
    <col min="76" max="76" width="7.5703125" bestFit="1" customWidth="1"/>
    <col min="77" max="77" width="7.140625" bestFit="1" customWidth="1"/>
    <col min="78" max="78" width="4.7109375" bestFit="1" customWidth="1"/>
    <col min="79" max="79" width="5" bestFit="1" customWidth="1"/>
    <col min="80" max="80" width="9.42578125" bestFit="1" customWidth="1"/>
    <col min="81" max="81" width="4.140625" bestFit="1" customWidth="1"/>
    <col min="82" max="82" width="9.42578125" bestFit="1" customWidth="1"/>
    <col min="83" max="83" width="7.5703125" bestFit="1" customWidth="1"/>
  </cols>
  <sheetData>
    <row r="1" spans="1:86" ht="15" customHeight="1" x14ac:dyDescent="0.2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c r="BO1" s="108"/>
      <c r="BP1" s="108"/>
      <c r="BQ1" s="108"/>
      <c r="BR1" s="108"/>
      <c r="BS1" s="108"/>
      <c r="BT1" s="108"/>
      <c r="BU1" s="108"/>
      <c r="BV1" s="108"/>
      <c r="BW1" s="108"/>
      <c r="BX1" s="108"/>
      <c r="BY1" s="108"/>
      <c r="BZ1" s="108"/>
      <c r="CA1" s="108"/>
      <c r="CB1" s="108"/>
      <c r="CC1" s="108"/>
      <c r="CD1" s="108"/>
      <c r="CE1" s="108"/>
      <c r="CF1" s="108"/>
      <c r="CG1" s="108"/>
      <c r="CH1" s="108"/>
    </row>
    <row r="2" spans="1:86" x14ac:dyDescent="0.25">
      <c r="A2" s="108"/>
      <c r="B2" s="108"/>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S2" s="108"/>
      <c r="AT2" s="108"/>
      <c r="AU2" s="108"/>
      <c r="AV2" s="108"/>
      <c r="AW2" s="108"/>
      <c r="AX2" s="108"/>
      <c r="AY2" s="108"/>
      <c r="AZ2" s="108"/>
      <c r="BA2" s="108"/>
      <c r="BB2" s="108"/>
      <c r="BC2" s="108"/>
      <c r="BD2" s="108"/>
      <c r="BE2" s="108"/>
      <c r="BF2" s="108"/>
      <c r="BG2" s="108"/>
      <c r="BH2" s="108"/>
      <c r="BI2" s="108"/>
      <c r="BJ2" s="108"/>
      <c r="BK2" s="108"/>
      <c r="BL2" s="108"/>
      <c r="BM2" s="108"/>
      <c r="BN2" s="108"/>
      <c r="BO2" s="108"/>
      <c r="BP2" s="108"/>
      <c r="BQ2" s="108"/>
      <c r="BR2" s="108"/>
      <c r="BS2" s="108"/>
      <c r="BT2" s="108"/>
      <c r="BU2" s="108"/>
      <c r="BV2" s="108"/>
      <c r="BW2" s="108"/>
      <c r="BX2" s="108"/>
      <c r="BY2" s="108"/>
      <c r="BZ2" s="108"/>
      <c r="CA2" s="108"/>
      <c r="CB2" s="108"/>
      <c r="CC2" s="108"/>
      <c r="CD2" s="108"/>
      <c r="CE2" s="108"/>
      <c r="CF2" s="108"/>
      <c r="CG2" s="108"/>
      <c r="CH2" s="108"/>
    </row>
    <row r="3" spans="1:86"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row>
    <row r="4" spans="1:86" ht="15" customHeight="1" x14ac:dyDescent="0.25">
      <c r="A4" s="421" t="s">
        <v>173</v>
      </c>
      <c r="B4" s="422"/>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c r="AI4" s="422"/>
      <c r="AJ4" s="422"/>
      <c r="AK4" s="422"/>
      <c r="AL4" s="422"/>
      <c r="AM4" s="422"/>
      <c r="AN4" s="422"/>
      <c r="AO4" s="422"/>
      <c r="AP4" s="422"/>
      <c r="AQ4" s="422"/>
      <c r="AR4" s="422"/>
      <c r="AS4" s="422"/>
      <c r="AT4" s="422"/>
      <c r="AU4" s="422"/>
      <c r="AV4" s="422"/>
      <c r="AW4" s="422"/>
      <c r="AX4" s="422"/>
      <c r="AY4" s="422"/>
      <c r="AZ4" s="422"/>
      <c r="BA4" s="422"/>
      <c r="BB4" s="422"/>
      <c r="BC4" s="422"/>
      <c r="BD4" s="422"/>
      <c r="BE4" s="422"/>
      <c r="BF4" s="422"/>
      <c r="BG4" s="422"/>
      <c r="BH4" s="422"/>
      <c r="BI4" s="422"/>
      <c r="BJ4" s="422"/>
      <c r="BK4" s="422"/>
      <c r="BL4" s="422"/>
      <c r="BM4" s="422"/>
      <c r="BN4" s="422"/>
      <c r="BO4" s="422"/>
      <c r="BP4" s="422"/>
      <c r="BQ4" s="422"/>
      <c r="BR4" s="422"/>
      <c r="BS4" s="422"/>
      <c r="BT4" s="422"/>
      <c r="BU4" s="422"/>
      <c r="BV4" s="422"/>
      <c r="BW4" s="422"/>
      <c r="BX4" s="422"/>
      <c r="BY4" s="422"/>
      <c r="BZ4" s="422"/>
      <c r="CA4" s="422"/>
      <c r="CB4" s="422"/>
      <c r="CC4" s="422"/>
      <c r="CD4" s="422"/>
      <c r="CE4" s="422"/>
      <c r="CF4" s="422"/>
      <c r="CG4" s="190"/>
      <c r="CH4" s="108"/>
    </row>
    <row r="5" spans="1:86" ht="15" customHeight="1" x14ac:dyDescent="0.25">
      <c r="A5" s="424"/>
      <c r="B5" s="425"/>
      <c r="C5" s="425"/>
      <c r="D5" s="425"/>
      <c r="E5" s="425"/>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25"/>
      <c r="AU5" s="425"/>
      <c r="AV5" s="425"/>
      <c r="AW5" s="425"/>
      <c r="AX5" s="425"/>
      <c r="AY5" s="425"/>
      <c r="AZ5" s="425"/>
      <c r="BA5" s="425"/>
      <c r="BB5" s="425"/>
      <c r="BC5" s="425"/>
      <c r="BD5" s="425"/>
      <c r="BE5" s="425"/>
      <c r="BF5" s="425"/>
      <c r="BG5" s="425"/>
      <c r="BH5" s="425"/>
      <c r="BI5" s="425"/>
      <c r="BJ5" s="425"/>
      <c r="BK5" s="425"/>
      <c r="BL5" s="425"/>
      <c r="BM5" s="425"/>
      <c r="BN5" s="425"/>
      <c r="BO5" s="425"/>
      <c r="BP5" s="425"/>
      <c r="BQ5" s="425"/>
      <c r="BR5" s="425"/>
      <c r="BS5" s="425"/>
      <c r="BT5" s="425"/>
      <c r="BU5" s="425"/>
      <c r="BV5" s="425"/>
      <c r="BW5" s="425"/>
      <c r="BX5" s="425"/>
      <c r="BY5" s="425"/>
      <c r="BZ5" s="425"/>
      <c r="CA5" s="425"/>
      <c r="CB5" s="425"/>
      <c r="CC5" s="425"/>
      <c r="CD5" s="425"/>
      <c r="CE5" s="425"/>
      <c r="CF5" s="425"/>
      <c r="CG5" s="191"/>
      <c r="CH5" s="108"/>
    </row>
    <row r="6" spans="1:86" ht="15" customHeight="1" x14ac:dyDescent="0.25">
      <c r="A6" s="424"/>
      <c r="B6" s="425"/>
      <c r="C6" s="425"/>
      <c r="D6" s="425"/>
      <c r="E6" s="425"/>
      <c r="F6" s="425"/>
      <c r="G6" s="425"/>
      <c r="H6" s="425"/>
      <c r="I6" s="425"/>
      <c r="J6" s="425"/>
      <c r="K6" s="425"/>
      <c r="L6" s="425"/>
      <c r="M6" s="425"/>
      <c r="N6" s="425"/>
      <c r="O6" s="425"/>
      <c r="P6" s="425"/>
      <c r="Q6" s="425"/>
      <c r="R6" s="425"/>
      <c r="S6" s="425"/>
      <c r="T6" s="425"/>
      <c r="U6" s="425"/>
      <c r="V6" s="425"/>
      <c r="W6" s="425"/>
      <c r="X6" s="425"/>
      <c r="Y6" s="425"/>
      <c r="Z6" s="425"/>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425"/>
      <c r="BA6" s="425"/>
      <c r="BB6" s="425"/>
      <c r="BC6" s="425"/>
      <c r="BD6" s="425"/>
      <c r="BE6" s="425"/>
      <c r="BF6" s="425"/>
      <c r="BG6" s="425"/>
      <c r="BH6" s="425"/>
      <c r="BI6" s="425"/>
      <c r="BJ6" s="425"/>
      <c r="BK6" s="425"/>
      <c r="BL6" s="425"/>
      <c r="BM6" s="425"/>
      <c r="BN6" s="425"/>
      <c r="BO6" s="425"/>
      <c r="BP6" s="425"/>
      <c r="BQ6" s="425"/>
      <c r="BR6" s="425"/>
      <c r="BS6" s="425"/>
      <c r="BT6" s="425"/>
      <c r="BU6" s="425"/>
      <c r="BV6" s="425"/>
      <c r="BW6" s="425"/>
      <c r="BX6" s="425"/>
      <c r="BY6" s="425"/>
      <c r="BZ6" s="425"/>
      <c r="CA6" s="425"/>
      <c r="CB6" s="425"/>
      <c r="CC6" s="425"/>
      <c r="CD6" s="425"/>
      <c r="CE6" s="425"/>
      <c r="CF6" s="425"/>
      <c r="CG6" s="191"/>
      <c r="CH6" s="108"/>
    </row>
    <row r="7" spans="1:86" ht="15" customHeight="1" x14ac:dyDescent="0.25">
      <c r="A7" s="427"/>
      <c r="B7" s="428"/>
      <c r="C7" s="428"/>
      <c r="D7" s="428"/>
      <c r="E7" s="428"/>
      <c r="F7" s="428"/>
      <c r="G7" s="428"/>
      <c r="H7" s="428"/>
      <c r="I7" s="428"/>
      <c r="J7" s="428"/>
      <c r="K7" s="428"/>
      <c r="L7" s="428"/>
      <c r="M7" s="428"/>
      <c r="N7" s="428"/>
      <c r="O7" s="428"/>
      <c r="P7" s="428"/>
      <c r="Q7" s="428"/>
      <c r="R7" s="428"/>
      <c r="S7" s="428"/>
      <c r="T7" s="428"/>
      <c r="U7" s="428"/>
      <c r="V7" s="428"/>
      <c r="W7" s="428"/>
      <c r="X7" s="428"/>
      <c r="Y7" s="428"/>
      <c r="Z7" s="428"/>
      <c r="AA7" s="428"/>
      <c r="AB7" s="428"/>
      <c r="AC7" s="428"/>
      <c r="AD7" s="428"/>
      <c r="AE7" s="428"/>
      <c r="AF7" s="428"/>
      <c r="AG7" s="428"/>
      <c r="AH7" s="428"/>
      <c r="AI7" s="428"/>
      <c r="AJ7" s="428"/>
      <c r="AK7" s="428"/>
      <c r="AL7" s="428"/>
      <c r="AM7" s="428"/>
      <c r="AN7" s="428"/>
      <c r="AO7" s="428"/>
      <c r="AP7" s="428"/>
      <c r="AQ7" s="428"/>
      <c r="AR7" s="428"/>
      <c r="AS7" s="428"/>
      <c r="AT7" s="428"/>
      <c r="AU7" s="428"/>
      <c r="AV7" s="428"/>
      <c r="AW7" s="428"/>
      <c r="AX7" s="428"/>
      <c r="AY7" s="428"/>
      <c r="AZ7" s="428"/>
      <c r="BA7" s="428"/>
      <c r="BB7" s="428"/>
      <c r="BC7" s="428"/>
      <c r="BD7" s="428"/>
      <c r="BE7" s="428"/>
      <c r="BF7" s="428"/>
      <c r="BG7" s="428"/>
      <c r="BH7" s="428"/>
      <c r="BI7" s="428"/>
      <c r="BJ7" s="428"/>
      <c r="BK7" s="428"/>
      <c r="BL7" s="428"/>
      <c r="BM7" s="428"/>
      <c r="BN7" s="428"/>
      <c r="BO7" s="428"/>
      <c r="BP7" s="428"/>
      <c r="BQ7" s="428"/>
      <c r="BR7" s="428"/>
      <c r="BS7" s="428"/>
      <c r="BT7" s="428"/>
      <c r="BU7" s="428"/>
      <c r="BV7" s="428"/>
      <c r="BW7" s="428"/>
      <c r="BX7" s="428"/>
      <c r="BY7" s="428"/>
      <c r="BZ7" s="428"/>
      <c r="CA7" s="428"/>
      <c r="CB7" s="428"/>
      <c r="CC7" s="428"/>
      <c r="CD7" s="428"/>
      <c r="CE7" s="428"/>
      <c r="CF7" s="428"/>
      <c r="CG7" s="191"/>
      <c r="CH7" s="108"/>
    </row>
    <row r="8" spans="1:86" ht="15.75" customHeight="1" x14ac:dyDescent="0.25">
      <c r="A8" s="421">
        <v>1</v>
      </c>
      <c r="B8" s="422"/>
      <c r="C8" s="422"/>
      <c r="D8" s="422"/>
      <c r="E8" s="422"/>
      <c r="F8" s="422"/>
      <c r="G8" s="423"/>
      <c r="H8" s="421">
        <v>2</v>
      </c>
      <c r="I8" s="422"/>
      <c r="J8" s="422"/>
      <c r="K8" s="422"/>
      <c r="L8" s="422"/>
      <c r="M8" s="422"/>
      <c r="N8" s="423"/>
      <c r="O8" s="421">
        <v>3</v>
      </c>
      <c r="P8" s="422"/>
      <c r="Q8" s="422"/>
      <c r="R8" s="422"/>
      <c r="S8" s="422"/>
      <c r="T8" s="422"/>
      <c r="U8" s="423"/>
      <c r="V8" s="421">
        <v>4</v>
      </c>
      <c r="W8" s="422"/>
      <c r="X8" s="422"/>
      <c r="Y8" s="422"/>
      <c r="Z8" s="422"/>
      <c r="AA8" s="422"/>
      <c r="AB8" s="423"/>
      <c r="AC8" s="421">
        <v>5</v>
      </c>
      <c r="AD8" s="422"/>
      <c r="AE8" s="422"/>
      <c r="AF8" s="422"/>
      <c r="AG8" s="422"/>
      <c r="AH8" s="422"/>
      <c r="AI8" s="423"/>
      <c r="AJ8" s="421">
        <v>6</v>
      </c>
      <c r="AK8" s="422"/>
      <c r="AL8" s="422"/>
      <c r="AM8" s="422"/>
      <c r="AN8" s="422"/>
      <c r="AO8" s="422"/>
      <c r="AP8" s="423"/>
      <c r="AQ8" s="421">
        <v>7</v>
      </c>
      <c r="AR8" s="422"/>
      <c r="AS8" s="422"/>
      <c r="AT8" s="422"/>
      <c r="AU8" s="422"/>
      <c r="AV8" s="422"/>
      <c r="AW8" s="423"/>
      <c r="AX8" s="421">
        <v>8</v>
      </c>
      <c r="AY8" s="422"/>
      <c r="AZ8" s="422"/>
      <c r="BA8" s="422"/>
      <c r="BB8" s="422"/>
      <c r="BC8" s="422"/>
      <c r="BD8" s="423"/>
      <c r="BE8" s="421">
        <v>9</v>
      </c>
      <c r="BF8" s="422"/>
      <c r="BG8" s="422"/>
      <c r="BH8" s="422"/>
      <c r="BI8" s="422"/>
      <c r="BJ8" s="422"/>
      <c r="BK8" s="423"/>
      <c r="BL8" s="421">
        <v>10</v>
      </c>
      <c r="BM8" s="422"/>
      <c r="BN8" s="422"/>
      <c r="BO8" s="422"/>
      <c r="BP8" s="422"/>
      <c r="BQ8" s="422"/>
      <c r="BR8" s="423"/>
      <c r="BS8" s="421">
        <v>11</v>
      </c>
      <c r="BT8" s="422"/>
      <c r="BU8" s="422"/>
      <c r="BV8" s="422"/>
      <c r="BW8" s="422"/>
      <c r="BX8" s="422"/>
      <c r="BY8" s="423"/>
      <c r="BZ8" s="421">
        <v>12</v>
      </c>
      <c r="CA8" s="422"/>
      <c r="CB8" s="422"/>
      <c r="CC8" s="422"/>
      <c r="CD8" s="422"/>
      <c r="CE8" s="422"/>
      <c r="CF8" s="422"/>
      <c r="CG8" s="191"/>
      <c r="CH8" s="108"/>
    </row>
    <row r="9" spans="1:86" ht="15.75" customHeight="1" thickBot="1" x14ac:dyDescent="0.3">
      <c r="A9" s="427"/>
      <c r="B9" s="428"/>
      <c r="C9" s="428"/>
      <c r="D9" s="428"/>
      <c r="E9" s="428"/>
      <c r="F9" s="428"/>
      <c r="G9" s="429"/>
      <c r="H9" s="427"/>
      <c r="I9" s="428"/>
      <c r="J9" s="428"/>
      <c r="K9" s="428"/>
      <c r="L9" s="428"/>
      <c r="M9" s="428"/>
      <c r="N9" s="429"/>
      <c r="O9" s="427"/>
      <c r="P9" s="428"/>
      <c r="Q9" s="428"/>
      <c r="R9" s="428"/>
      <c r="S9" s="428"/>
      <c r="T9" s="428"/>
      <c r="U9" s="429"/>
      <c r="V9" s="427"/>
      <c r="W9" s="428"/>
      <c r="X9" s="428"/>
      <c r="Y9" s="428"/>
      <c r="Z9" s="428"/>
      <c r="AA9" s="428"/>
      <c r="AB9" s="429"/>
      <c r="AC9" s="427"/>
      <c r="AD9" s="428"/>
      <c r="AE9" s="428"/>
      <c r="AF9" s="428"/>
      <c r="AG9" s="428"/>
      <c r="AH9" s="428"/>
      <c r="AI9" s="429"/>
      <c r="AJ9" s="427"/>
      <c r="AK9" s="428"/>
      <c r="AL9" s="428"/>
      <c r="AM9" s="428"/>
      <c r="AN9" s="428"/>
      <c r="AO9" s="428"/>
      <c r="AP9" s="429"/>
      <c r="AQ9" s="427"/>
      <c r="AR9" s="428"/>
      <c r="AS9" s="428"/>
      <c r="AT9" s="428"/>
      <c r="AU9" s="428"/>
      <c r="AV9" s="428"/>
      <c r="AW9" s="429"/>
      <c r="AX9" s="427"/>
      <c r="AY9" s="428"/>
      <c r="AZ9" s="428"/>
      <c r="BA9" s="428"/>
      <c r="BB9" s="428"/>
      <c r="BC9" s="428"/>
      <c r="BD9" s="429"/>
      <c r="BE9" s="427"/>
      <c r="BF9" s="428"/>
      <c r="BG9" s="428"/>
      <c r="BH9" s="428"/>
      <c r="BI9" s="428"/>
      <c r="BJ9" s="428"/>
      <c r="BK9" s="429"/>
      <c r="BL9" s="427"/>
      <c r="BM9" s="428"/>
      <c r="BN9" s="428"/>
      <c r="BO9" s="428"/>
      <c r="BP9" s="428"/>
      <c r="BQ9" s="428"/>
      <c r="BR9" s="429"/>
      <c r="BS9" s="427"/>
      <c r="BT9" s="428"/>
      <c r="BU9" s="428"/>
      <c r="BV9" s="428"/>
      <c r="BW9" s="428"/>
      <c r="BX9" s="428"/>
      <c r="BY9" s="429"/>
      <c r="BZ9" s="427"/>
      <c r="CA9" s="428"/>
      <c r="CB9" s="428"/>
      <c r="CC9" s="428"/>
      <c r="CD9" s="428"/>
      <c r="CE9" s="428"/>
      <c r="CF9" s="428"/>
      <c r="CG9" s="191"/>
      <c r="CH9" s="108"/>
    </row>
    <row r="10" spans="1:86" ht="15.75" thickBot="1" x14ac:dyDescent="0.3">
      <c r="A10" s="163" t="s">
        <v>63</v>
      </c>
      <c r="B10" s="164" t="s">
        <v>56</v>
      </c>
      <c r="C10" s="164" t="s">
        <v>174</v>
      </c>
      <c r="D10" s="164" t="s">
        <v>175</v>
      </c>
      <c r="E10" s="164" t="s">
        <v>176</v>
      </c>
      <c r="F10" s="164" t="s">
        <v>177</v>
      </c>
      <c r="G10" s="165" t="s">
        <v>178</v>
      </c>
      <c r="H10" s="163" t="s">
        <v>63</v>
      </c>
      <c r="I10" s="164" t="s">
        <v>56</v>
      </c>
      <c r="J10" s="164" t="s">
        <v>174</v>
      </c>
      <c r="K10" s="164" t="s">
        <v>175</v>
      </c>
      <c r="L10" s="164" t="s">
        <v>176</v>
      </c>
      <c r="M10" s="164" t="s">
        <v>177</v>
      </c>
      <c r="N10" s="165" t="s">
        <v>178</v>
      </c>
      <c r="O10" s="163" t="s">
        <v>63</v>
      </c>
      <c r="P10" s="164" t="s">
        <v>56</v>
      </c>
      <c r="Q10" s="164" t="s">
        <v>174</v>
      </c>
      <c r="R10" s="164" t="s">
        <v>175</v>
      </c>
      <c r="S10" s="164" t="s">
        <v>176</v>
      </c>
      <c r="T10" s="164" t="s">
        <v>177</v>
      </c>
      <c r="U10" s="165" t="s">
        <v>178</v>
      </c>
      <c r="V10" s="163" t="s">
        <v>63</v>
      </c>
      <c r="W10" s="164" t="s">
        <v>56</v>
      </c>
      <c r="X10" s="164" t="s">
        <v>174</v>
      </c>
      <c r="Y10" s="164" t="s">
        <v>175</v>
      </c>
      <c r="Z10" s="164" t="s">
        <v>176</v>
      </c>
      <c r="AA10" s="164" t="s">
        <v>177</v>
      </c>
      <c r="AB10" s="165" t="s">
        <v>178</v>
      </c>
      <c r="AC10" s="163" t="s">
        <v>63</v>
      </c>
      <c r="AD10" s="164" t="s">
        <v>56</v>
      </c>
      <c r="AE10" s="164" t="s">
        <v>174</v>
      </c>
      <c r="AF10" s="164" t="s">
        <v>175</v>
      </c>
      <c r="AG10" s="164" t="s">
        <v>176</v>
      </c>
      <c r="AH10" s="164" t="s">
        <v>177</v>
      </c>
      <c r="AI10" s="165" t="s">
        <v>178</v>
      </c>
      <c r="AJ10" s="163" t="s">
        <v>63</v>
      </c>
      <c r="AK10" s="164" t="s">
        <v>56</v>
      </c>
      <c r="AL10" s="164" t="s">
        <v>174</v>
      </c>
      <c r="AM10" s="164" t="s">
        <v>175</v>
      </c>
      <c r="AN10" s="164" t="s">
        <v>176</v>
      </c>
      <c r="AO10" s="164" t="s">
        <v>177</v>
      </c>
      <c r="AP10" s="165" t="s">
        <v>178</v>
      </c>
      <c r="AQ10" s="163" t="s">
        <v>63</v>
      </c>
      <c r="AR10" s="164" t="s">
        <v>56</v>
      </c>
      <c r="AS10" s="164" t="s">
        <v>174</v>
      </c>
      <c r="AT10" s="164" t="s">
        <v>175</v>
      </c>
      <c r="AU10" s="164" t="s">
        <v>176</v>
      </c>
      <c r="AV10" s="164" t="s">
        <v>177</v>
      </c>
      <c r="AW10" s="165" t="s">
        <v>178</v>
      </c>
      <c r="AX10" s="163" t="s">
        <v>63</v>
      </c>
      <c r="AY10" s="164" t="s">
        <v>56</v>
      </c>
      <c r="AZ10" s="164" t="s">
        <v>174</v>
      </c>
      <c r="BA10" s="164" t="s">
        <v>175</v>
      </c>
      <c r="BB10" s="164" t="s">
        <v>176</v>
      </c>
      <c r="BC10" s="164" t="s">
        <v>177</v>
      </c>
      <c r="BD10" s="165" t="s">
        <v>178</v>
      </c>
      <c r="BE10" s="163" t="s">
        <v>63</v>
      </c>
      <c r="BF10" s="164" t="s">
        <v>56</v>
      </c>
      <c r="BG10" s="164" t="s">
        <v>174</v>
      </c>
      <c r="BH10" s="164" t="s">
        <v>175</v>
      </c>
      <c r="BI10" s="164" t="s">
        <v>176</v>
      </c>
      <c r="BJ10" s="164" t="s">
        <v>177</v>
      </c>
      <c r="BK10" s="165" t="s">
        <v>178</v>
      </c>
      <c r="BL10" s="70" t="s">
        <v>63</v>
      </c>
      <c r="BM10" s="96" t="s">
        <v>56</v>
      </c>
      <c r="BN10" s="96" t="s">
        <v>174</v>
      </c>
      <c r="BO10" s="96" t="s">
        <v>175</v>
      </c>
      <c r="BP10" s="96" t="s">
        <v>176</v>
      </c>
      <c r="BQ10" s="96" t="s">
        <v>177</v>
      </c>
      <c r="BR10" s="71" t="s">
        <v>178</v>
      </c>
      <c r="BS10" s="70" t="s">
        <v>63</v>
      </c>
      <c r="BT10" s="96" t="s">
        <v>56</v>
      </c>
      <c r="BU10" s="96" t="s">
        <v>174</v>
      </c>
      <c r="BV10" s="96" t="s">
        <v>175</v>
      </c>
      <c r="BW10" s="96" t="s">
        <v>176</v>
      </c>
      <c r="BX10" s="96" t="s">
        <v>177</v>
      </c>
      <c r="BY10" s="71" t="s">
        <v>178</v>
      </c>
      <c r="BZ10" s="70" t="s">
        <v>63</v>
      </c>
      <c r="CA10" s="96" t="s">
        <v>56</v>
      </c>
      <c r="CB10" s="96" t="s">
        <v>174</v>
      </c>
      <c r="CC10" s="96" t="s">
        <v>175</v>
      </c>
      <c r="CD10" s="96" t="s">
        <v>176</v>
      </c>
      <c r="CE10" s="96" t="s">
        <v>177</v>
      </c>
      <c r="CF10" s="96" t="s">
        <v>178</v>
      </c>
      <c r="CG10" s="95" t="s">
        <v>26</v>
      </c>
      <c r="CH10" s="108"/>
    </row>
    <row r="11" spans="1:86" x14ac:dyDescent="0.25">
      <c r="A11" s="127">
        <f>'12p'!E6</f>
        <v>10</v>
      </c>
      <c r="B11" s="142">
        <f>A11</f>
        <v>10</v>
      </c>
      <c r="C11" s="197" cm="1">
        <f t="array" ref="C11">IF(OR(A11="DC",A11="",B11=0),0,IF(COUNTIF('12p'!$E6:$AB6,"DC")=1,IF(INDEX(Table_11p,IF(B11=12,1,IF(B11=10,2,14-B11)),3)="X",1,INDEX(Table_11p,IF(B11=12,1,IF(B11=10,2,14-B11)),3)),IF(COUNTIF('12p'!$E6:$AB6,"DC")=2,IF(INDEX(Table_10p,IF(B11=11,1,IF(B11=9,2,12-B11)),3)="X",1,INDEX(Table_10p,IF(B11=11,1,IF(B11=9,2,12-B11)),3)),IF(COUNTIF('12p'!$E6:$AB6,"DC")&gt;=3,IF(INDEX(Table_9p_or_less,10-B11,3)="X",1,INDEX(Table_9p_or_less,10-B11,3)),0))))</f>
        <v>0</v>
      </c>
      <c r="D11" s="143">
        <f>IF(A11&lt;&gt;"DC",0,IF(COUNTIF('12p'!$E6:$AB6,"DC")=1,INDEX(Table_11p,13,3),IF(COUNTIF('12p'!$E6:$AB6,"DC")=2,INDEX(Table_10p,13,3),IF(COUNTIF('12p'!$E6:$AB6,"DC")&gt;=3,INDEX(Table_9p_or_less,13,3),0))))</f>
        <v>0</v>
      </c>
      <c r="E11" s="144">
        <f>SUM(B11,C11,D11)</f>
        <v>10</v>
      </c>
      <c r="F11" s="145">
        <f>IF(A11="DC",D10+D11,IF(A11="",0,A11))</f>
        <v>10</v>
      </c>
      <c r="G11" s="161" t="str">
        <f>IF(A11="", "", "OK")</f>
        <v>OK</v>
      </c>
      <c r="H11" s="127">
        <f>'12p'!G6</f>
        <v>15</v>
      </c>
      <c r="I11" s="204">
        <f>H11</f>
        <v>15</v>
      </c>
      <c r="J11" s="197" cm="1">
        <f t="array" ref="J11">IF(OR(H11="DC",H11="",I11=0),0,IF(COUNTIF('12p'!$E6:$AB6,"DC")=1,IF(INDEX(Table_11p,IF(I11=12,1,IF(I11=10,2,14-I11)),3)="X",1,INDEX(Table_11p,IF(I11=12,1,IF(I11=10,2,14-I11)),3)),IF(COUNTIF('12p'!$E6:$AB6,"DC")=2,IF(INDEX(Table_10p,IF(I11=11,1,IF(I11=9,2,12-I11)),3)="X",1,INDEX(Table_10p,IF(I11=11,1,IF(I11=9,2,12-I11)),3)),IF(COUNTIF('12p'!$E6:$AB6,"DC")&gt;=3,IF(INDEX(Table_9p_or_less,10-I11,3)="X",1,INDEX(Table_9p_or_less,10-I11,3)),0))))</f>
        <v>0</v>
      </c>
      <c r="K11" s="143">
        <f>IF(H11&lt;&gt;"DC",0,IF(COUNTIF('12p'!$E6:$AB6,"DC")=1,INDEX(Table_11p,13,3),IF(COUNTIF('12p'!$E6:$AB6,"DC")=2,INDEX(Table_10p,13,3),IF(COUNTIF('12p'!$E6:$AB6,"DC")&gt;=3,INDEX(Table_9p_or_less,13,3),0))))</f>
        <v>0</v>
      </c>
      <c r="L11" s="189">
        <f>SUM(I11,J11,K11)</f>
        <v>15</v>
      </c>
      <c r="M11" s="145">
        <f>IF(H11="DC",K11,IF(H11="",0,H11))</f>
        <v>15</v>
      </c>
      <c r="N11" s="161" t="str">
        <f>IF(H11="", "", "OK")</f>
        <v>OK</v>
      </c>
      <c r="O11" s="127">
        <f>'12p'!I6</f>
        <v>12</v>
      </c>
      <c r="P11" s="142">
        <f>O11</f>
        <v>12</v>
      </c>
      <c r="Q11" s="197" cm="1">
        <f t="array" ref="Q11">IF(OR(O11="DC",O11="",P11=0),0,IF(COUNTIF('12p'!$E6:$AB6,"DC")=1,IF(INDEX(Table_11p,IF(P11=12,1,IF(P11=10,2,14-P11)),3)="X",1,INDEX(Table_11p,IF(P11=12,1,IF(P11=10,2,14-P11)),3)),IF(COUNTIF('12p'!$E6:$AB6,"DC")=2,IF(INDEX(Table_10p,IF(P11=11,1,IF(P11=9,2,12-P11)),3)="X",1,INDEX(Table_10p,IF(P11=11,1,IF(P11=9,2,12-P11)),3)),IF(COUNTIF('12p'!$E6:$AB6,"DC")&gt;=3,IF(INDEX(Table_9p_or_less,10-P11,3)="X",1,INDEX(Table_9p_or_less,10-P11,3)),0))))</f>
        <v>0</v>
      </c>
      <c r="R11" s="143">
        <f>IF(O11&lt;&gt;"DC",0,IF(COUNTIF('12p'!$E6:$AB6,"DC")=1,INDEX(Table_11p,13,3),IF(COUNTIF('12p'!$E6:$AB6,"DC")=2,INDEX(Table_10p,13,3),IF(COUNTIF('12p'!$E6:$AB6,"DC")&gt;=3,INDEX(Table_9p_or_less,13,3),0))))</f>
        <v>0</v>
      </c>
      <c r="S11" s="189">
        <f>SUM(P11,Q11,R11)</f>
        <v>12</v>
      </c>
      <c r="T11" s="145">
        <f>IF(O11="DC",R11,IF(O11="",0,O11))</f>
        <v>12</v>
      </c>
      <c r="U11" s="161" t="str">
        <f>IF(O11="", "", "OK")</f>
        <v>OK</v>
      </c>
      <c r="V11" s="127">
        <f>'12p'!K6</f>
        <v>9</v>
      </c>
      <c r="W11" s="142">
        <f>V11</f>
        <v>9</v>
      </c>
      <c r="X11" s="197" cm="1">
        <f t="array" ref="X11">IF(OR(V11="DC",V11="",W11=0),0,IF(COUNTIF('12p'!$E6:$AB6,"DC")=1,IF(INDEX(Table_11p,IF(W12=12,1,IF(W11=10,2,14-W11)),3)="X",1,INDEX(Table_11p,IF(W11=12,1,IF(W11=10,2,14-W11)),3)),IF(COUNTIF('12p'!$E6:$AB6,"DC")=2,IF(INDEX(Table_10p,IF(W11=11,1,IF(W11=9,2,12-W11)),3)="X",1,INDEX(Table_10p,IF(W11=11,1,IF(W11=9,2,12-W11)),3)),IF(COUNTIF('12p'!$E6:$AB6,"DC")&gt;=3,IF(INDEX(Table_9p_or_less,10-W11,3)="X",1,INDEX(Table_9p_or_less,10-W11,3)),0))))</f>
        <v>0</v>
      </c>
      <c r="Y11" s="143">
        <f>IF(V11&lt;&gt;"DC",0,IF(COUNTIF('12p'!$E6:$AB6,"DC")=1,INDEX(Table_11p,13,3),IF(COUNTIF('12p'!$E6:$AB6,"DC")=2,INDEX(Table_10p,13,3),IF(COUNTIF('12p'!$E6:$AB6,"DC")&gt;=3,INDEX(Table_9p_or_less,13,3),0))))</f>
        <v>0</v>
      </c>
      <c r="Z11" s="189">
        <f>SUM(W11,X11,Y11)</f>
        <v>9</v>
      </c>
      <c r="AA11" s="145">
        <f>IF(V11="DC",Y11,IF(V11="",0,V11))</f>
        <v>9</v>
      </c>
      <c r="AB11" s="161" t="str">
        <f>IF(V11="", "", "OK")</f>
        <v>OK</v>
      </c>
      <c r="AC11" s="127">
        <f>'12p'!M6</f>
        <v>8</v>
      </c>
      <c r="AD11" s="142">
        <f>AC11</f>
        <v>8</v>
      </c>
      <c r="AE11" s="197" cm="1">
        <f t="array" ref="AE11">IF(OR(AC11="DC",AC11="",AD11=0),0,IF(COUNTIF('12p'!$E6:$AB6,"DC")=1,IF(INDEX(Table_11p,IF(AD11=12,1,IF(AD11=10,2,14-AD11)),3)="X",1,INDEX(Table_11p,IF(AD11=12,1,IF(AD11=10,2,14-AD11)),3)),IF(COUNTIF('12p'!$E6:$AB6,"DC")=2,IF(INDEX(Table_10p,IF(AD11=11,1,IF(AD11=9,2,12-AD11)),3)="X",1,INDEX(Table_10p,IF(AD11=11,1,IF(AD11=9,2,12-AD11)),3)),IF(COUNTIF('12p'!$E6:$AB6,"DC")&gt;=3,IF(INDEX(Table_9p_or_less,10-AD11,3)="X",1,INDEX(Table_9p_or_less,10-AD11,3)),0))))</f>
        <v>0</v>
      </c>
      <c r="AF11" s="143">
        <f>IF(AC11&lt;&gt;"DC",0,IF(COUNTIF('12p'!$E6:$AB6,"DC")=1,INDEX(Table_11p,13,3),IF(COUNTIF('12p'!$E6:$AB6,"DC")=2,INDEX(Table_10p,13,3),IF(COUNTIF('12p'!$E6:$AB6,"DC")&gt;=3,INDEX(Table_9p_or_less,13,3),0))))</f>
        <v>0</v>
      </c>
      <c r="AG11" s="189">
        <f>SUM(AD11,AE11,AF11)</f>
        <v>8</v>
      </c>
      <c r="AH11" s="145">
        <f>IF(AC11="DC",AF11,IF(AC11="",0,AC11))</f>
        <v>8</v>
      </c>
      <c r="AI11" s="161" t="str">
        <f>IF(AC11="", "", "OK")</f>
        <v>OK</v>
      </c>
      <c r="AJ11" s="127">
        <f>'12p'!O6</f>
        <v>7</v>
      </c>
      <c r="AK11" s="142">
        <f>AJ11</f>
        <v>7</v>
      </c>
      <c r="AL11" s="197" cm="1">
        <f t="array" ref="AL11">IF(OR(AJ11="DC",AJ11="",AK11=0),0,IF(COUNTIF('12p'!$E6:$AB6,"DC")=1,IF(INDEX(Table_11p,IF(AK11=12,1,IF(AK11=10,2,14-AK11)),3)="X",1,INDEX(Table_11p,IF(AK11=12,1,IF(AK11=10,2,14-AK11)),3)),IF(COUNTIF('12p'!$E6:$AB6,"DC")=2,IF(INDEX(Table_10p,IF(AK11=11,1,IF(AK11=9,2,12-AK11)),3)="X",1,INDEX(Table_10p,IF(AK11=11,1,IF(AK11=9,2,12-AK11)),3)),IF(COUNTIF('12p'!$E6:$AB6,"DC")&gt;=3,IF(INDEX(Table_9p_or_less,10-AK11,3)="X",1,INDEX(Table_9p_or_less,10-AK11,3)),0))))</f>
        <v>0</v>
      </c>
      <c r="AM11" s="143">
        <f>IF(AJ11&lt;&gt;"DC",0,IF(COUNTIF('12p'!$E6:$AB6,"DC")=1,INDEX(Table_11p,13,3),IF(COUNTIF('12p'!$E6:$AB6,"DC")=2,INDEX(Table_10p,13,3),IF(COUNTIF('12p'!$E6:$AB6,"DC")&gt;=3,INDEX(Table_9p_or_less,13,3),0))))</f>
        <v>0</v>
      </c>
      <c r="AN11" s="189">
        <f>SUM(AK11,AL11,AM11)</f>
        <v>7</v>
      </c>
      <c r="AO11" s="145">
        <f>IF(AJ11="DC",AM11,IF(AJ11="",0,AJ11))</f>
        <v>7</v>
      </c>
      <c r="AP11" s="161" t="str">
        <f>IF(AJ11="", "", "OK")</f>
        <v>OK</v>
      </c>
      <c r="AQ11" s="127">
        <f>'12p'!Q6</f>
        <v>6</v>
      </c>
      <c r="AR11" s="142">
        <f>AQ11</f>
        <v>6</v>
      </c>
      <c r="AS11" s="197" cm="1">
        <f t="array" ref="AS11">IF(OR(AQ11="DC",AQ11="",AR11=0),0,IF(COUNTIF('12p'!$E6:$AB6,"DC")=1,IF(INDEX(Table_11p,IF(AR11=12,1,IF(AR11=10,2,14-AR11)),3)="X",1,INDEX(Table_11p,IF(AR11=12,1,IF(AR11=10,2,14-AR11)),3)),IF(COUNTIF('12p'!$E6:$AB6,"DC")=2,IF(INDEX(Table_10p,IF(AR11=11,1,IF(AR11=9,2,12-AR11)),3)="X",1,INDEX(Table_10p,IF(AR11=11,1,IF(AR11=9,2,12-AR11)),3)),IF(COUNTIF('12p'!$E6:$AB6,"DC")&gt;=3,IF(INDEX(Table_9p_or_less,10-AR11,3)="X",1,INDEX(Table_9p_or_less,10-AR11,3)),0))))</f>
        <v>0</v>
      </c>
      <c r="AT11" s="143">
        <f>IF(AQ11&lt;&gt;"DC",0,IF(COUNTIF('12p'!$E6:$AB6,"DC")=1,INDEX(Table_11p,13,3),IF(COUNTIF('12p'!$E6:$AB6,"DC")=2,INDEX(Table_10p,13,3),IF(COUNTIF('12p'!$E6:$AB6,"DC")&gt;=3,INDEX(Table_9p_or_less,13,3),0))))</f>
        <v>0</v>
      </c>
      <c r="AU11" s="189">
        <f>SUM(AR11,AS11,AT11)</f>
        <v>6</v>
      </c>
      <c r="AV11" s="145">
        <f>IF(AQ11="DC",AT11,IF(AQ11="",0,AQ11))</f>
        <v>6</v>
      </c>
      <c r="AW11" s="161" t="str">
        <f>IF(AQ11="", "", "OK")</f>
        <v>OK</v>
      </c>
      <c r="AX11" s="127">
        <f>'12p'!S6</f>
        <v>5</v>
      </c>
      <c r="AY11" s="142">
        <f t="shared" ref="AY11" si="0">AX11</f>
        <v>5</v>
      </c>
      <c r="AZ11" s="197" cm="1">
        <f t="array" ref="AZ11">IF(OR(AX11="DC",AX11="",AY11=0),0,IF(COUNTIF('12p'!$E6:$AB6,"DC")=1,IF(INDEX(Table_11p,IF(AY11=12,1,IF(AY11=10,2,14-AY11)),3)="X",1,INDEX(Table_11p,IF(AY11=12,1,IF(AY11=10,2,14-AY11)),3)),IF(COUNTIF('12p'!$E6:$AB6,"DC")=2,IF(INDEX(Table_10p,IF(AY11=11,1,IF(AY11=9,2,12-AY11)),3)="X",1,INDEX(Table_10p,IF(AY11=11,1,IF(AY11=9,2,12-AY11)),3)),IF(COUNTIF('12p'!$E6:$AB6,"DC")&gt;=3,IF(INDEX(Table_9p_or_less,10-AY11,3)="X",1,INDEX(Table_9p_or_less,10-AY11,3)),0))))</f>
        <v>0</v>
      </c>
      <c r="BA11" s="143">
        <f>IF(AX11&lt;&gt;"DC",0,IF(COUNTIF('12p'!$E6:$AB6,"DC")=1,INDEX(Table_11p,13,3),IF(COUNTIF('12p'!$E6:$AB6,"DC")=2,INDEX(Table_10p,13,3),IF(COUNTIF('12p'!$E6:$AB6,"DC")&gt;=3,INDEX(Table_9p_or_less,13,3),0))))</f>
        <v>0</v>
      </c>
      <c r="BB11" s="189">
        <f>SUM(AY11,AZ11,BA11)</f>
        <v>5</v>
      </c>
      <c r="BC11" s="145">
        <f>IF(AX11="DC",BA11,IF(AX11="",0,AX11))</f>
        <v>5</v>
      </c>
      <c r="BD11" s="161" t="str">
        <f>IF(AX11="", "", "OK")</f>
        <v>OK</v>
      </c>
      <c r="BE11" s="127">
        <f>'12p'!U6</f>
        <v>4</v>
      </c>
      <c r="BF11" s="142">
        <f t="shared" ref="BF11" si="1">BE11</f>
        <v>4</v>
      </c>
      <c r="BG11" s="197" cm="1">
        <f t="array" ref="BG11">IF(OR(BE11="DC",BE11="",BF11=0),0,IF(COUNTIF('12p'!$E6:$AB6,"DC")=1,IF(INDEX(Table_11p,IF(BF11=12,1,IF(BF11=10,2,14-BF11)),3)="X",1,INDEX(Table_11p,IF(BF11=12,1,IF(BF11=10,2,14-BF11)),3)),IF(COUNTIF('12p'!$E6:$AB6,"DC")=2,IF(INDEX(Table_10p,IF(BF11=11,1,IF(BF11=9,2,12-BF11)),3)="X",1,INDEX(Table_10p,IF(BF11=11,1,IF(BF11=9,2,12-BF11)),3)),IF(COUNTIF('12p'!$E6:$AB6,"DC")&gt;=3,IF(INDEX(Table_9p_or_less,10-BF11,3)="X",1,INDEX(Table_9p_or_less,10-BF11,3)),0))))</f>
        <v>0</v>
      </c>
      <c r="BH11" s="143">
        <f>IF(BE11&lt;&gt;"DC",0,IF(COUNTIF('12p'!$E6:$AB6,"DC")=1,INDEX(Table_11p,13,3),IF(COUNTIF('12p'!$E6:$AB6,"DC")=2,INDEX(Table_10p,13,3),IF(COUNTIF('12p'!$E6:$AB6,"DC")&gt;=3,INDEX(Table_9p_or_less,13,3),0))))</f>
        <v>0</v>
      </c>
      <c r="BI11" s="189">
        <f>SUM(BF11,BG11,BH11)</f>
        <v>4</v>
      </c>
      <c r="BJ11" s="145">
        <f>IF(BE11="DC",BH11,IF(BE11="",0,BE11))</f>
        <v>4</v>
      </c>
      <c r="BK11" s="161" t="str">
        <f>IF(BE11="", "", "OK")</f>
        <v>OK</v>
      </c>
      <c r="BL11" s="127">
        <f>'12p'!W6</f>
        <v>3</v>
      </c>
      <c r="BM11" s="142">
        <f t="shared" ref="BM11" si="2">BL11</f>
        <v>3</v>
      </c>
      <c r="BN11" s="197" cm="1">
        <f t="array" ref="BN11">IF(OR(BL11="DC",BL11="",BM11=0),0,IF(COUNTIF('12p'!$E6:$AB6,"DC")=1,IF(INDEX(Table_11p,IF(BM11=12,1,IF(BM11=10,2,14-BM11)),3)="X",1,INDEX(Table_11p,IF(BM11=12,1,IF(BM11=10,2,14-BM11)),3)),IF(COUNTIF('12p'!$E6:$AB6,"DC")=2,IF(INDEX(Table_10p,IF(BM11=11,1,IF(BM11=9,2,12-BM11)),3)="X",1,INDEX(Table_10p,IF(BM11=11,1,IF(BM11=9,2,12-BM11)),3)),IF(COUNTIF('12p'!$E6:$AB6,"DC")&gt;=3,IF(INDEX(Table_9p_or_less,10-BM11,3)="X",1,INDEX(Table_9p_or_less,10-BM11,3)),0))))</f>
        <v>0</v>
      </c>
      <c r="BO11" s="143">
        <f>IF(BL11&lt;&gt;"DC",0,IF(COUNTIF('12p'!$E6:$AB6,"DC")=1,INDEX(Table_11p,13,3),IF(COUNTIF('12p'!$E6:$AB6,"DC")=2,INDEX(Table_10p,13,3),IF(COUNTIF('12p'!$E6:$AB6,"DC")&gt;=3,INDEX(Table_9p_or_less,13,3),0))))</f>
        <v>0</v>
      </c>
      <c r="BP11" s="189">
        <f>SUM(BM11,BN11,BO11)</f>
        <v>3</v>
      </c>
      <c r="BQ11" s="145">
        <f>IF(BL11="DC",BO11,IF(BL11="",0,BL11))</f>
        <v>3</v>
      </c>
      <c r="BR11" s="161" t="str">
        <f>IF(BL11="", "", "OK")</f>
        <v>OK</v>
      </c>
      <c r="BS11" s="137">
        <f>'12p'!Y6</f>
        <v>2</v>
      </c>
      <c r="BT11" s="142">
        <f t="shared" ref="BT11" si="3">BS11</f>
        <v>2</v>
      </c>
      <c r="BU11" s="197" cm="1">
        <f t="array" ref="BU11">IF(OR(BS11="DC",BS11="",BT11=0),0,IF(COUNTIF('12p'!$E6:$AB6,"DC")=1,IF(INDEX(Table_11p,IF(BT11=12,1,IF(BT11=10,2,14-BT11)),3)="X",1,INDEX(Table_11p,IF(BT11=12,1,IF(BT11=10,2,14-BT11)),3)),IF(COUNTIF('12p'!$E6:$AB6,"DC")=2,IF(INDEX(Table_10p,IF(BT11=11,1,IF(BT11=9,2,12-BT11)),3)="X",1,INDEX(Table_10p,IF(BT11=11,1,IF(BT11=9,2,12-BT11)),3)),IF(COUNTIF('12p'!$E6:$AB6,"DC")&gt;=3,IF(INDEX(Table_9p_or_less,10-BT11,3)="X",1,INDEX(Table_9p_or_less,10-BT11,3)),0))))</f>
        <v>0</v>
      </c>
      <c r="BV11" s="143">
        <f>IF(BS11&lt;&gt;"DC",0,IF(COUNTIF('12p'!$E6:$AB6,"DC")=1,INDEX(Table_11p,13,3),IF(COUNTIF('12p'!$E6:$AB6,"DC")=2,INDEX(Table_10p,13,3),IF(COUNTIF('12p'!$E6:$AB6,"DC")&gt;=3,INDEX(Table_9p_or_less,13,3),0))))</f>
        <v>0</v>
      </c>
      <c r="BW11" s="189">
        <f>SUM(BT11,BU11,BV11)</f>
        <v>2</v>
      </c>
      <c r="BX11" s="145">
        <f>IF(BS11="DC",BV11,IF(BS11="",0,BS11))</f>
        <v>2</v>
      </c>
      <c r="BY11" s="161" t="str">
        <f>IF(BS11="", "", "OK")</f>
        <v>OK</v>
      </c>
      <c r="BZ11" s="137">
        <f>'12p'!AA6</f>
        <v>1</v>
      </c>
      <c r="CA11" s="142">
        <f>BZ11</f>
        <v>1</v>
      </c>
      <c r="CB11" s="197" cm="1">
        <f t="array" ref="CB11">IF(OR(BZ11="DC",BZ11="",CA11=0),0,IF(COUNTIF('12p'!$E6:$AB6,"DC")=1,IF(INDEX(Table_11p,IF(CA11=12,1,IF(CA11=10,2,14-CA11)),3)="X",1,INDEX(Table_11p,IF(CA11=12,1,IF(CA11=10,2,14-CA11)),3)),IF(COUNTIF('12p'!$E6:$AB6,"DC")=2,IF(INDEX(Table_10p,IF(CA11=11,1,IF(CA11=9,2,12-CA11)),3)="X",1,INDEX(Table_10p,IF(CA11=11,1,IF(CA11=9,2,12-CA11)),3)),IF(COUNTIF('12p'!$E6:$AB6,"DC")&gt;=3,IF(INDEX(Table_9p_or_less,10-CA11,3)="X",1,INDEX(Table_9p_or_less,10-CA11,3)),0))))</f>
        <v>0</v>
      </c>
      <c r="CC11" s="143">
        <f>IF(BZ11&lt;&gt;"DC",0,IF(COUNTIF('12p'!$E6:$AB6,"DC")=1,INDEX(Table_11p,13,3),IF(COUNTIF('12p'!$E6:$AB6,"DC")=2,INDEX(Table_10p,13,3),IF(COUNTIF('12p'!$E6:$AB6,"DC")&gt;=3,INDEX(Table_9p_or_less,13,3),0))))</f>
        <v>0</v>
      </c>
      <c r="CD11" s="189">
        <f>SUM(CA11,CB11,CC11)</f>
        <v>1</v>
      </c>
      <c r="CE11" s="145">
        <f>IF(BZ11="DC",CC11,IF(BZ11="",0,BZ11))</f>
        <v>1</v>
      </c>
      <c r="CF11" s="161" t="str">
        <f>IF(BZ11="", "", "OK")</f>
        <v>OK</v>
      </c>
      <c r="CG11" s="205">
        <f>SUM(B11,I11,P11,W11,AD11,AK11,AR11,AY11,BF11,BM11,BT11,CA11)</f>
        <v>82</v>
      </c>
      <c r="CH11" s="108"/>
    </row>
    <row r="12" spans="1:86" x14ac:dyDescent="0.25">
      <c r="A12" s="127">
        <f>'12p'!E7</f>
        <v>12</v>
      </c>
      <c r="B12" s="142">
        <f>IF(OR(A12="DC",A12=""),0,IF(OR(A11="DC",A11="",A12&lt;A11),A12,A12-A11))</f>
        <v>2</v>
      </c>
      <c r="C12" s="197" cm="1">
        <f t="array" ref="C12">IF(OR(A12="DC",A12="",B12=0),0,IF(COUNTIF('12p'!$E7:$AB7,"DC")=1,IF(INDEX(Table_11p,IF(B12=12,1,IF(B12=10,2,14-B12)),3)="X",1,INDEX(Table_11p,IF(B12=12,1,IF(B12=10,2,14-B12)),3)),IF(COUNTIF('12p'!$E7:$AB7,"DC")=2,IF(INDEX(Table_10p,IF(B12=11,1,IF(B12=9,2,12-B12)),3)="X",1,INDEX(Table_10p,IF(B12=11,1,IF(B12=9,2,12-B12)),3)),IF(COUNTIF('12p'!$E7:$AB7,"DC")&gt;=3,IF(INDEX(Table_9p_or_less,10-B12,3)="X",1,INDEX(Table_9p_or_less,10-B12,3)),0))))</f>
        <v>0</v>
      </c>
      <c r="D12" s="143">
        <f>IF(A12&lt;&gt;"DC",0,IF(COUNTIF('12p'!$E7:$AB7,"DC")=1,INDEX(Table_11p,13,3),IF(COUNTIF('12p'!$E7:$AB7,"DC")=2,INDEX(Table_10p,13,3),IF(COUNTIF('12p'!$E7:$AB7,"DC")&gt;=3,INDEX(Table_9p_or_less,13,3),0))))</f>
        <v>0</v>
      </c>
      <c r="E12" s="189">
        <f>SUM(B12,C12,D12)</f>
        <v>2</v>
      </c>
      <c r="F12" s="145">
        <f>IF(A12="",F11,F11+E12)</f>
        <v>12</v>
      </c>
      <c r="G12" s="161" t="str">
        <f>IF(A12="", "", IF(A12="DC", "OK", IF(A12&lt;A11, "[ALERT] Decreasing score !", "OK")))</f>
        <v>OK</v>
      </c>
      <c r="H12" s="127">
        <f>'12p'!G7</f>
        <v>23</v>
      </c>
      <c r="I12" s="142">
        <f>IF(OR(H12="DC",H12=""),0,IF(OR(H11="DC",H11="",H12&lt;H11),H12,H12-H11))</f>
        <v>8</v>
      </c>
      <c r="J12" s="197" cm="1">
        <f t="array" ref="J12">IF(OR(H12="DC",H12="",I12=0),0,IF(COUNTIF('12p'!$E7:$AB7,"DC")=1,IF(INDEX(Table_11p,IF(I12=12,1,IF(I12=10,2,14-I12)),3)="X",1,INDEX(Table_11p,IF(I12=12,1,IF(I12=10,2,14-I12)),3)),IF(COUNTIF('12p'!$E7:$AB7,"DC")=2,IF(INDEX(Table_10p,IF(I12=11,1,IF(I12=9,2,12-I12)),3)="X",1,INDEX(Table_10p,IF(I12=11,1,IF(I12=9,2,12-I12)),3)),IF(COUNTIF('12p'!$E7:$AB7,"DC")&gt;=3,IF(INDEX(Table_9p_or_less,10-I12,3)="X",1,INDEX(Table_9p_or_less,10-I12,3)),0))))</f>
        <v>0</v>
      </c>
      <c r="K12" s="143">
        <f>IF(H12&lt;&gt;"DC",0,IF(COUNTIF('12p'!$E7:$AB7,"DC")=1,INDEX(Table_11p,13,3),IF(COUNTIF('12p'!$E7:$AB7,"DC")=2,INDEX(Table_10p,13,3),IF(COUNTIF('12p'!$E7:$AB7,"DC")&gt;=3,INDEX(Table_9p_or_less,13,3),0))))</f>
        <v>0</v>
      </c>
      <c r="L12" s="189">
        <f>SUM(I12,J12,K12)</f>
        <v>8</v>
      </c>
      <c r="M12" s="145">
        <f>IF(H12="",M11,M11+L12)</f>
        <v>23</v>
      </c>
      <c r="N12" s="161" t="str">
        <f>IF(H12="", "", IF(H12="DC", "OK", IF(H12&lt;H11, "[ALERT] Decreasing score !", "OK")))</f>
        <v>OK</v>
      </c>
      <c r="O12" s="127">
        <f>'12p'!I7</f>
        <v>27</v>
      </c>
      <c r="P12" s="142">
        <f>IF(OR(O12="DC",O12=""),0,IF(OR(O11="DC",O11="",O12&lt;O11),O12,O12-O11))</f>
        <v>15</v>
      </c>
      <c r="Q12" s="197" cm="1">
        <f t="array" ref="Q12">IF(OR(O12="DC",O12="",P12=0),0,IF(COUNTIF('12p'!$E7:$AB7,"DC")=1,IF(INDEX(Table_11p,IF(P12=12,1,IF(P12=10,2,14-P12)),3)="X",1,INDEX(Table_11p,IF(P12=12,1,IF(P12=10,2,14-P12)),3)),IF(COUNTIF('12p'!$E7:$AB7,"DC")=2,IF(INDEX(Table_10p,IF(P12=11,1,IF(P12=9,2,12-P12)),3)="X",1,INDEX(Table_10p,IF(P12=11,1,IF(P12=9,2,12-P12)),3)),IF(COUNTIF('12p'!$E7:$AB7,"DC")&gt;=3,IF(INDEX(Table_9p_or_less,10-P12,3)="X",1,INDEX(Table_9p_or_less,10-P12,3)),0))))</f>
        <v>0</v>
      </c>
      <c r="R12" s="143">
        <f>IF(O12&lt;&gt;"DC",0,IF(COUNTIF('12p'!$E7:$AB7,"DC")=1,INDEX(Table_11p,13,3),IF(COUNTIF('12p'!$E7:$AB7,"DC")=2,INDEX(Table_10p,13,3),IF(COUNTIF('12p'!$E7:$AB7,"DC")&gt;=3,INDEX(Table_9p_or_less,13,3),0))))</f>
        <v>0</v>
      </c>
      <c r="S12" s="189">
        <f>SUM(P12,Q12,R12)</f>
        <v>15</v>
      </c>
      <c r="T12" s="145">
        <f>IF(O12="",T11,T11+S12)</f>
        <v>27</v>
      </c>
      <c r="U12" s="161" t="str">
        <f>IF(O12="", "", IF(O12="DC", "OK", IF(O12&lt;O11, "[ALERT] Decreasing score !", "OK")))</f>
        <v>OK</v>
      </c>
      <c r="V12" s="127">
        <f>'12p'!K7</f>
        <v>21</v>
      </c>
      <c r="W12" s="142">
        <f>IF(OR(V12="DC",V12=""),0,IF(OR(V11="DC",V11="",V12&lt;V11),V12,V12-V11))</f>
        <v>12</v>
      </c>
      <c r="X12" s="197" cm="1">
        <f t="array" ref="X12">IF(OR(V12="DC",V12="",W12=0),0,IF(COUNTIF('12p'!$E7:$AB7,"DC")=1,IF(INDEX(Table_11p,IF(W12=12,1,IF(W12=10,2,14-W12)),3)="X",1,INDEX(Table_11p,IF(W12=12,1,IF(W12=10,2,14-W12)),3)),IF(COUNTIF('12p'!$E7:$AB7,"DC")=2,IF(INDEX(Table_10p,IF(W12=11,1,IF(W12=9,2,12-W12)),3)="X",1,INDEX(Table_10p,IF(W12=11,1,IF(W12=9,2,12-W12)),3)),IF(COUNTIF('12p'!$E7:$AB7,"DC")&gt;=3,IF(INDEX(Table_9p_or_less,10-W12,3)="X",1,INDEX(Table_9p_or_less,10-W12,3)),0))))</f>
        <v>0</v>
      </c>
      <c r="Y12" s="143">
        <f>IF(V12&lt;&gt;"DC",0,IF(COUNTIF('12p'!$E7:$AB7,"DC")=1,INDEX(Table_11p,13,3),IF(COUNTIF('12p'!$E7:$AB7,"DC")=2,INDEX(Table_10p,13,3),IF(COUNTIF('12p'!$E7:$AB7,"DC")&gt;=3,INDEX(Table_9p_or_less,13,3),0))))</f>
        <v>0</v>
      </c>
      <c r="Z12" s="189">
        <f>SUM(W12,X12,Y12)</f>
        <v>12</v>
      </c>
      <c r="AA12" s="145">
        <f>IF(V12="",AA11,AA11+Z12)</f>
        <v>21</v>
      </c>
      <c r="AB12" s="161" t="str">
        <f>IF(V12="", "", IF(V12="DC", "OK", IF(V12&lt;V11, "[ALERT] Decreasing score !", "OK")))</f>
        <v>OK</v>
      </c>
      <c r="AC12" s="127">
        <f>'12p'!M7</f>
        <v>17</v>
      </c>
      <c r="AD12" s="142">
        <f>IF(OR(AC12="DC",AC12=""),0,IF(OR(AC11="DC",AC11="",AC12&lt;AC11),AC12,AC12-AC11))</f>
        <v>9</v>
      </c>
      <c r="AE12" s="197" cm="1">
        <f t="array" ref="AE12">IF(OR(AC12="DC",AC12="",AD12=0),0,IF(COUNTIF('12p'!$E7:$AB7,"DC")=1,IF(INDEX(Table_11p,IF(AD12=12,1,IF(AD12=10,2,14-AD12)),3)="X",1,INDEX(Table_11p,IF(AD12=12,1,IF(AD12=10,2,14-AD12)),3)),IF(COUNTIF('12p'!$E7:$AB7,"DC")=2,IF(INDEX(Table_10p,IF(AD12=11,1,IF(AD12=9,2,12-AD12)),3)="X",1,INDEX(Table_10p,IF(AD12=11,1,IF(AD12=9,2,12-AD12)),3)),IF(COUNTIF('12p'!$E7:$AB7,"DC")&gt;=3,IF(INDEX(Table_9p_or_less,10-AD12,3)="X",1,INDEX(Table_9p_or_less,10-AD12,3)),0))))</f>
        <v>0</v>
      </c>
      <c r="AF12" s="143">
        <f>IF(AC12&lt;&gt;"DC",0,IF(COUNTIF('12p'!$E7:$AB7,"DC")=1,INDEX(Table_11p,13,3),IF(COUNTIF('12p'!$E7:$AB7,"DC")=2,INDEX(Table_10p,13,3),IF(COUNTIF('12p'!$E7:$AB7,"DC")&gt;=3,INDEX(Table_9p_or_less,13,3),0))))</f>
        <v>0</v>
      </c>
      <c r="AG12" s="189">
        <f>SUM(AD12,AE12,AF12)</f>
        <v>9</v>
      </c>
      <c r="AH12" s="145">
        <f>IF(AC12="",AH11,AH11+AG12)</f>
        <v>17</v>
      </c>
      <c r="AI12" s="161" t="str">
        <f>IF(AC12="", "", IF(AC12="DC", "OK", IF(AC12&lt;AC11, "[ALERT] Decreasing score !", "OK")))</f>
        <v>OK</v>
      </c>
      <c r="AJ12" s="127">
        <f>'12p'!O7</f>
        <v>17</v>
      </c>
      <c r="AK12" s="142">
        <f>IF(OR(AJ12="DC",AJ12=""),0,IF(OR(AJ11="DC",AJ11="",AJ12&lt;AJ11),AJ12,AJ12-AJ11))</f>
        <v>10</v>
      </c>
      <c r="AL12" s="197" cm="1">
        <f t="array" ref="AL12">IF(OR(AJ12="DC",AJ12="",AK12=0),0,IF(COUNTIF('12p'!$E7:$AB7,"DC")=1,IF(INDEX(Table_11p,IF(AK12=12,1,IF(AK12=10,2,14-AK12)),3)="X",1,INDEX(Table_11p,IF(AK12=12,1,IF(AK12=10,2,14-AK12)),3)),IF(COUNTIF('12p'!$E7:$AB7,"DC")=2,IF(INDEX(Table_10p,IF(AK12=11,1,IF(AK12=9,2,12-AK12)),3)="X",1,INDEX(Table_10p,IF(AK12=11,1,IF(AK12=9,2,12-AK12)),3)),IF(COUNTIF('12p'!$E7:$AB7,"DC")&gt;=3,IF(INDEX(Table_9p_or_less,10-AK12,3)="X",1,INDEX(Table_9p_or_less,10-AK12,3)),0))))</f>
        <v>0</v>
      </c>
      <c r="AM12" s="143">
        <f>IF(AJ12&lt;&gt;"DC",0,IF(COUNTIF('12p'!$E7:$AB7,"DC")=1,INDEX(Table_11p,13,3),IF(COUNTIF('12p'!$E7:$AB7,"DC")=2,INDEX(Table_10p,13,3),IF(COUNTIF('12p'!$E7:$AB7,"DC")&gt;=3,INDEX(Table_9p_or_less,13,3),0))))</f>
        <v>0</v>
      </c>
      <c r="AN12" s="189">
        <f>SUM(AK12,AL12,AM12)</f>
        <v>10</v>
      </c>
      <c r="AO12" s="145">
        <f>IF(AJ12="",AO11,AO11+AN12)</f>
        <v>17</v>
      </c>
      <c r="AP12" s="161" t="str">
        <f>IF(AJ12="", "", IF(AJ12="DC", "OK", IF(AJ12&lt;AJ11, "[ALERT] Decreasing score !", "OK")))</f>
        <v>OK</v>
      </c>
      <c r="AQ12" s="127">
        <f>'12p'!Q7</f>
        <v>10</v>
      </c>
      <c r="AR12" s="142">
        <f>IF(OR(AQ12="DC",AQ12=""),0,IF(OR(AQ11="DC",AQ11="",AQ12&lt;AQ11),AQ12,AQ12-AQ11))</f>
        <v>4</v>
      </c>
      <c r="AS12" s="197" cm="1">
        <f t="array" ref="AS12">IF(OR(AQ12="DC",AQ12="",AR12=0),0,IF(COUNTIF('12p'!$E7:$AB7,"DC")=1,IF(INDEX(Table_11p,IF(AR12=12,1,IF(AR12=10,2,14-AR12)),3)="X",1,INDEX(Table_11p,IF(AR12=12,1,IF(AR12=10,2,14-AR12)),3)),IF(COUNTIF('12p'!$E7:$AB7,"DC")=2,IF(INDEX(Table_10p,IF(AR12=11,1,IF(AR12=9,2,12-AR12)),3)="X",1,INDEX(Table_10p,IF(AR12=11,1,IF(AR12=9,2,12-AR12)),3)),IF(COUNTIF('12p'!$E7:$AB7,"DC")&gt;=3,IF(INDEX(Table_9p_or_less,10-AR12,3)="X",1,INDEX(Table_9p_or_less,10-AR12,3)),0))))</f>
        <v>0</v>
      </c>
      <c r="AT12" s="143">
        <f>IF(AQ12&lt;&gt;"DC",0,IF(COUNTIF('12p'!$E7:$AB7,"DC")=1,INDEX(Table_11p,13,3),IF(COUNTIF('12p'!$E7:$AB7,"DC")=2,INDEX(Table_10p,13,3),IF(COUNTIF('12p'!$E7:$AB7,"DC")&gt;=3,INDEX(Table_9p_or_less,13,3),0))))</f>
        <v>0</v>
      </c>
      <c r="AU12" s="189">
        <f>SUM(AR12,AS12,AT12)</f>
        <v>4</v>
      </c>
      <c r="AV12" s="145">
        <f>IF(AQ12="",AV11,AV11+AU12)</f>
        <v>10</v>
      </c>
      <c r="AW12" s="161" t="str">
        <f>IF(AQ12="", "", IF(AQ12="DC", "OK", IF(AQ12&lt;AQ11, "[ALERT] Decreasing score !", "OK")))</f>
        <v>OK</v>
      </c>
      <c r="AX12" s="127">
        <f>'12p'!S7</f>
        <v>10</v>
      </c>
      <c r="AY12" s="142">
        <f>IF(OR(AX12="DC",AX12=""),0,IF(OR(AX11="DC",AX11="",AX12&lt;AX11),AX12,AX12-AX11))</f>
        <v>5</v>
      </c>
      <c r="AZ12" s="197" cm="1">
        <f t="array" ref="AZ12">IF(OR(AX12="DC",AX12="",AY12=0),0,IF(COUNTIF('12p'!$E7:$AB7,"DC")=1,IF(INDEX(Table_11p,IF(AY12=12,1,IF(AY12=10,2,14-AY12)),3)="X",1,INDEX(Table_11p,IF(AY12=12,1,IF(AY12=10,2,14-AY12)),3)),IF(COUNTIF('12p'!$E7:$AB7,"DC")=2,IF(INDEX(Table_10p,IF(AY12=11,1,IF(AY12=9,2,12-AY12)),3)="X",1,INDEX(Table_10p,IF(AY12=11,1,IF(AY12=9,2,12-AY12)),3)),IF(COUNTIF('12p'!$E7:$AB7,"DC")&gt;=3,IF(INDEX(Table_9p_or_less,10-AY12,3)="X",1,INDEX(Table_9p_or_less,10-AY12,3)),0))))</f>
        <v>0</v>
      </c>
      <c r="BA12" s="143">
        <f>IF(AX12&lt;&gt;"DC",0,IF(COUNTIF('12p'!$E7:$AB7,"DC")=1,INDEX(Table_11p,13,3),IF(COUNTIF('12p'!$E7:$AB7,"DC")=2,INDEX(Table_10p,13,3),IF(COUNTIF('12p'!$E7:$AB7,"DC")&gt;=3,INDEX(Table_9p_or_less,13,3),0))))</f>
        <v>0</v>
      </c>
      <c r="BB12" s="189">
        <f>SUM(AY12,AZ12,BA12)</f>
        <v>5</v>
      </c>
      <c r="BC12" s="145">
        <f>IF(AX12="",BC11,BC11+BB12)</f>
        <v>10</v>
      </c>
      <c r="BD12" s="161" t="str">
        <f>IF(AX12="", "", IF(AX12="DC", "OK", IF(AX12&lt;AX11, "[ALERT] Decreasing score !", "OK")))</f>
        <v>OK</v>
      </c>
      <c r="BE12" s="127">
        <f>'12p'!U7</f>
        <v>5</v>
      </c>
      <c r="BF12" s="142">
        <f>IF(OR(BE12="DC",BE12=""),0,IF(OR(BE11="DC",BE11="",BE12&lt;BE11),BE12,BE12-BE11))</f>
        <v>1</v>
      </c>
      <c r="BG12" s="197" cm="1">
        <f t="array" ref="BG12">IF(OR(BE12="DC",BE12="",BF12=0),0,IF(COUNTIF('12p'!$E7:$AB7,"DC")=1,IF(INDEX(Table_11p,IF(BF12=12,1,IF(BF12=10,2,14-BF12)),3)="X",1,INDEX(Table_11p,IF(BF12=12,1,IF(BF12=10,2,14-BF12)),3)),IF(COUNTIF('12p'!$E7:$AB7,"DC")=2,IF(INDEX(Table_10p,IF(BF12=11,1,IF(BF12=9,2,12-BF12)),3)="X",1,INDEX(Table_10p,IF(BF12=11,1,IF(BF12=9,2,12-BF12)),3)),IF(COUNTIF('12p'!$E7:$AB7,"DC")&gt;=3,IF(INDEX(Table_9p_or_less,10-BF12,3)="X",1,INDEX(Table_9p_or_less,10-BF12,3)),0))))</f>
        <v>0</v>
      </c>
      <c r="BH12" s="143">
        <f>IF(BE12&lt;&gt;"DC",0,IF(COUNTIF('12p'!$E7:$AB7,"DC")=1,INDEX(Table_11p,13,3),IF(COUNTIF('12p'!$E7:$AB7,"DC")=2,INDEX(Table_10p,13,3),IF(COUNTIF('12p'!$E7:$AB7,"DC")&gt;=3,INDEX(Table_9p_or_less,13,3),0))))</f>
        <v>0</v>
      </c>
      <c r="BI12" s="189">
        <f>SUM(BF12,BG12,BH12)</f>
        <v>1</v>
      </c>
      <c r="BJ12" s="145">
        <f>IF(BE12="",BJ11,BJ11+BI12)</f>
        <v>5</v>
      </c>
      <c r="BK12" s="161" t="str">
        <f>IF(BE12="", "", IF(BE12="DC", "OK", IF(BE12&lt;BE11, "[ALERT] Decreasing score !", "OK")))</f>
        <v>OK</v>
      </c>
      <c r="BL12" s="127">
        <f>'12p'!W7</f>
        <v>6</v>
      </c>
      <c r="BM12" s="142">
        <f>IF(OR(BL12="DC",BL12=""),0,IF(OR(BL11="DC",BL11="",BL12&lt;BL11),BL12,BL12-BL11))</f>
        <v>3</v>
      </c>
      <c r="BN12" s="197" cm="1">
        <f t="array" ref="BN12">IF(OR(BL12="DC",BL12="",BM12=0),0,IF(COUNTIF('12p'!$E7:$AB7,"DC")=1,IF(INDEX(Table_11p,IF(BM12=12,1,IF(BM12=10,2,14-BM12)),3)="X",1,INDEX(Table_11p,IF(BM12=12,1,IF(BM12=10,2,14-BM12)),3)),IF(COUNTIF('12p'!$E7:$AB7,"DC")=2,IF(INDEX(Table_10p,IF(BM12=11,1,IF(BM12=9,2,12-BM12)),3)="X",1,INDEX(Table_10p,IF(BM12=11,1,IF(BM12=9,2,12-BM12)),3)),IF(COUNTIF('12p'!$E7:$AB7,"DC")&gt;=3,IF(INDEX(Table_9p_or_less,10-BM12,3)="X",1,INDEX(Table_9p_or_less,10-BM12,3)),0))))</f>
        <v>0</v>
      </c>
      <c r="BO12" s="143">
        <f>IF(BL12&lt;&gt;"DC",0,IF(COUNTIF('12p'!$E7:$AB7,"DC")=1,INDEX(Table_11p,13,3),IF(COUNTIF('12p'!$E7:$AB7,"DC")=2,INDEX(Table_10p,13,3),IF(COUNTIF('12p'!$E7:$AB7,"DC")&gt;=3,INDEX(Table_9p_or_less,13,3),0))))</f>
        <v>0</v>
      </c>
      <c r="BP12" s="189">
        <f>SUM(BM12,BN12,BO12)</f>
        <v>3</v>
      </c>
      <c r="BQ12" s="145">
        <f>IF(BL12="",BQ11,BQ11+BP12)</f>
        <v>6</v>
      </c>
      <c r="BR12" s="161" t="str">
        <f>IF(BL12="", "", IF(BL12="DC", "OK", IF(BL12&lt;BL11, "[ALERT] Decreasing score !", "OK")))</f>
        <v>OK</v>
      </c>
      <c r="BS12" s="127">
        <f>'12p'!Y7</f>
        <v>9</v>
      </c>
      <c r="BT12" s="142">
        <f>IF(OR(BS12="DC",BS12=""),0,IF(OR(BS11="DC",BS11="",BS12&lt;BS11),IF(BS12&lt;=1,0,BS12),BS12-BS11))</f>
        <v>7</v>
      </c>
      <c r="BU12" s="197" cm="1">
        <f t="array" ref="BU12">IF(OR(BS12="DC",BS12="",BT12=0),0,IF(COUNTIF('12p'!$E7:$AB7,"DC")=1,IF(INDEX(Table_11p,IF(BT12=12,1,IF(BT12=10,2,14-BT12)),3)="X",1,INDEX(Table_11p,IF(BT12=12,1,IF(BT12=10,2,14-BT12)),3)),IF(COUNTIF('12p'!$E7:$AB7,"DC")=2,IF(INDEX(Table_10p,IF(BT12=11,1,IF(BT12=9,2,12-BT12)),3)="X",1,INDEX(Table_10p,IF(BT12=11,1,IF(BT12=9,2,12-BT12)),3)),IF(COUNTIF('12p'!$E7:$AB7,"DC")&gt;=3,IF(INDEX(Table_9p_or_less,10-BT12,3)="X",1,INDEX(Table_9p_or_less,10-BT12,3)),0))))</f>
        <v>0</v>
      </c>
      <c r="BV12" s="143">
        <f>IF(BS12&lt;&gt;"DC",0,IF(COUNTIF('12p'!$E7:$AB7,"DC")=1,INDEX(Table_11p,13,3),IF(COUNTIF('12p'!$E7:$AB7,"DC")=2,INDEX(Table_10p,13,3),IF(COUNTIF('12p'!$E7:$AB7,"DC")&gt;=3,INDEX(Table_9p_or_less,13,3),0))))</f>
        <v>0</v>
      </c>
      <c r="BW12" s="189">
        <f>SUM(BT12,BU12,BV12)</f>
        <v>7</v>
      </c>
      <c r="BX12" s="145">
        <f>IF(BS12="",BX11,BX11+BW12)</f>
        <v>9</v>
      </c>
      <c r="BY12" s="161" t="str">
        <f>IF(BS12="", "", IF(BS12="DC", "OK", IF(BS12&lt;BS11, "[ALERT] Decreasing score !", "OK")))</f>
        <v>OK</v>
      </c>
      <c r="BZ12" s="127">
        <f>'12p'!AA7</f>
        <v>7</v>
      </c>
      <c r="CA12" s="142">
        <f>IF(OR(BZ12="DC",BZ12=""),0,IF(OR(BZ11="DC",BZ11="",BZ12&lt;BZ11),BZ12,BZ12-BZ11))</f>
        <v>6</v>
      </c>
      <c r="CB12" s="197" cm="1">
        <f t="array" ref="CB12">IF(OR(BZ12="DC",BZ12="",CA12=0),0,IF(COUNTIF('12p'!$E7:$AB7,"DC")=1,IF(INDEX(Table_11p,IF(CA12=12,1,IF(CA12=10,2,14-CA12)),3)="X",1,INDEX(Table_11p,IF(CA12=12,1,IF(CA12=10,2,14-CA12)),3)),IF(COUNTIF('12p'!$E7:$AB7,"DC")=2,IF(INDEX(Table_10p,IF(CA12=11,1,IF(CA12=9,2,12-CA12)),3)="X",1,INDEX(Table_10p,IF(CA12=11,1,IF(CA12=9,2,12-CA12)),3)),IF(COUNTIF('12p'!$E7:$AB7,"DC")&gt;=3,IF(INDEX(Table_9p_or_less,10-CA12,3)="X",1,INDEX(Table_9p_or_less,10-CA12,3)),0))))</f>
        <v>0</v>
      </c>
      <c r="CC12" s="143">
        <f>IF(BZ12&lt;&gt;"DC",0,IF(COUNTIF('12p'!$E7:$AB7,"DC")=1,INDEX(Table_11p,13,3),IF(COUNTIF('12p'!$E7:$AB7,"DC")=2,INDEX(Table_10p,13,3),IF(COUNTIF('12p'!$E7:$AB7,"DC")&gt;=3,INDEX(Table_9p_or_less,13,3),0))))</f>
        <v>0</v>
      </c>
      <c r="CD12" s="189">
        <f>SUM(CA12,CB12,CC12)</f>
        <v>6</v>
      </c>
      <c r="CE12" s="145">
        <f>IF(BZ12="",CE11,CE11+CD12)</f>
        <v>7</v>
      </c>
      <c r="CF12" s="161" t="str">
        <f>IF(BZ12="", "", IF(BZ12="DC", "OK", IF(BZ12&lt;BZ11, "[ALERT] Decreasing score !", "OK")))</f>
        <v>OK</v>
      </c>
      <c r="CG12" s="206">
        <f t="shared" ref="CG12:CG22" si="4">SUM(B12,I12,P12,W12,AD12,AK12,AR12,AY12,BF12,BM12,BT12,CA12)</f>
        <v>82</v>
      </c>
      <c r="CH12" s="108"/>
    </row>
    <row r="13" spans="1:86" x14ac:dyDescent="0.25">
      <c r="A13" s="127">
        <f>'12p'!E8</f>
        <v>15</v>
      </c>
      <c r="B13" s="142">
        <f t="shared" ref="B13:B22" si="5">IF(OR(A13="DC",A13=""),0,IF(OR(A12="DC",A12="",A13&lt;A12),A13,A13-A12))</f>
        <v>3</v>
      </c>
      <c r="C13" s="197" cm="1">
        <f t="array" ref="C13">IF(OR(A13="DC",A13="",B13=0),0,IF(COUNTIF('12p'!$E8:$AB8,"DC")=1,IF(INDEX(Table_11p,IF(B13=12,1,IF(B13=10,2,14-B13)),3)="X",1,INDEX(Table_11p,IF(B13=12,1,IF(B13=10,2,14-B13)),3)),IF(COUNTIF('12p'!$E8:$AB8,"DC")=2,IF(INDEX(Table_10p,IF(B13=11,1,IF(B13=9,2,12-B13)),3)="X",1,INDEX(Table_10p,IF(B13=11,1,IF(B13=9,2,12-B13)),3)),IF(COUNTIF('12p'!$E8:$AB8,"DC")&gt;=3,IF(INDEX(Table_9p_or_less,10-B13,3)="X",1,INDEX(Table_9p_or_less,10-B13,3)),0))))</f>
        <v>0</v>
      </c>
      <c r="D13" s="143">
        <f>IF(A13&lt;&gt;"DC",0,IF(COUNTIF('12p'!$E8:$AB8,"DC")=1,INDEX(Table_11p,13,3),IF(COUNTIF('12p'!$E8:$AB8,"DC")=2,INDEX(Table_10p,13,3),IF(COUNTIF('12p'!$E8:$AB8,"DC")&gt;=3,INDEX(Table_9p_or_less,13,3),0))))</f>
        <v>0</v>
      </c>
      <c r="E13" s="189">
        <f t="shared" ref="E13:E22" si="6">SUM(B13,C13,D13)</f>
        <v>3</v>
      </c>
      <c r="F13" s="145">
        <f t="shared" ref="F13:F22" si="7">IF(A13="",F12,F12+E13)</f>
        <v>15</v>
      </c>
      <c r="G13" s="161" t="str">
        <f t="shared" ref="G13:G22" si="8">IF(A13="", "", IF(A13="DC", "OK", IF(A13&lt;A12, "[ALERT] Decreasing score !", "OK")))</f>
        <v>OK</v>
      </c>
      <c r="H13" s="127">
        <f>'12p'!G8</f>
        <v>31</v>
      </c>
      <c r="I13" s="142">
        <f t="shared" ref="I13:I22" si="9">IF(OR(H13="DC",H13=""),0,IF(OR(H12="DC",H12="",H13&lt;H12),H13,H13-H12))</f>
        <v>8</v>
      </c>
      <c r="J13" s="197" cm="1">
        <f t="array" ref="J13">IF(OR(H13="DC",H13="",I13=0),0,IF(COUNTIF('12p'!$E8:$AB8,"DC")=1,IF(INDEX(Table_11p,IF(I13=12,1,IF(I13=10,2,14-I13)),3)="X",1,INDEX(Table_11p,IF(I13=12,1,IF(I13=10,2,14-I13)),3)),IF(COUNTIF('12p'!$E8:$AB8,"DC")=2,IF(INDEX(Table_10p,IF(I13=11,1,IF(I13=9,2,12-I13)),3)="X",1,INDEX(Table_10p,IF(I13=11,1,IF(I13=9,2,12-I13)),3)),IF(COUNTIF('12p'!$E8:$AB8,"DC")&gt;=3,IF(INDEX(Table_9p_or_less,10-I13,3)="X",1,INDEX(Table_9p_or_less,10-I13,3)),0))))</f>
        <v>0</v>
      </c>
      <c r="K13" s="143">
        <f>IF(H13&lt;&gt;"DC",0,IF(COUNTIF('12p'!$E8:$AB8,"DC")=1,INDEX(Table_11p,13,3),IF(COUNTIF('12p'!$E8:$AB8,"DC")=2,INDEX(Table_10p,13,3),IF(COUNTIF('12p'!$E8:$AB8,"DC")&gt;=3,INDEX(Table_9p_or_less,13,3),0))))</f>
        <v>0</v>
      </c>
      <c r="L13" s="189">
        <f t="shared" ref="L13:L21" si="10">SUM(I13,J13,K13)</f>
        <v>8</v>
      </c>
      <c r="M13" s="145">
        <f t="shared" ref="M13:M22" si="11">IF(H13="",M12,M12+L13)</f>
        <v>31</v>
      </c>
      <c r="N13" s="161" t="str">
        <f t="shared" ref="N13:N22" si="12">IF(H13="", "", IF(H13="DC", "OK", IF(H13&lt;H12, "[ALERT] Decreasing score !", "OK")))</f>
        <v>OK</v>
      </c>
      <c r="O13" s="127">
        <f>'12p'!I8</f>
        <v>34</v>
      </c>
      <c r="P13" s="142">
        <f t="shared" ref="P13:P22" si="13">IF(OR(O13="DC",O13=""),0,IF(OR(O12="DC",O12="",O13&lt;O12),O13,O13-O12))</f>
        <v>7</v>
      </c>
      <c r="Q13" s="197" cm="1">
        <f t="array" ref="Q13">IF(OR(O13="DC",O13="",P13=0),0,IF(COUNTIF('12p'!$E8:$AB8,"DC")=1,IF(INDEX(Table_11p,IF(P13=12,1,IF(P13=10,2,14-P13)),3)="X",1,INDEX(Table_11p,IF(P13=12,1,IF(P13=10,2,14-P13)),3)),IF(COUNTIF('12p'!$E8:$AB8,"DC")=2,IF(INDEX(Table_10p,IF(P13=11,1,IF(P13=9,2,12-P13)),3)="X",1,INDEX(Table_10p,IF(P13=11,1,IF(P13=9,2,12-P13)),3)),IF(COUNTIF('12p'!$E8:$AB8,"DC")&gt;=3,IF(INDEX(Table_9p_or_less,10-P13,3)="X",1,INDEX(Table_9p_or_less,10-P13,3)),0))))</f>
        <v>0</v>
      </c>
      <c r="R13" s="143">
        <f>IF(O13&lt;&gt;"DC",0,IF(COUNTIF('12p'!$E8:$AB8,"DC")=1,INDEX(Table_11p,13,3),IF(COUNTIF('12p'!$E8:$AB8,"DC")=2,INDEX(Table_10p,13,3),IF(COUNTIF('12p'!$E8:$AB8,"DC")&gt;=3,INDEX(Table_9p_or_less,13,3),0))))</f>
        <v>0</v>
      </c>
      <c r="S13" s="189">
        <f t="shared" ref="S13:S22" si="14">SUM(P13,Q13,R13)</f>
        <v>7</v>
      </c>
      <c r="T13" s="145">
        <f t="shared" ref="T13:T22" si="15">IF(O13="",T12,T12+S13)</f>
        <v>34</v>
      </c>
      <c r="U13" s="161" t="str">
        <f t="shared" ref="U13:U22" si="16">IF(O13="", "", IF(O13="DC", "OK", IF(O13&lt;O12, "[ALERT] Decreasing score !", "OK")))</f>
        <v>OK</v>
      </c>
      <c r="V13" s="127">
        <f>'12p'!K8</f>
        <v>26</v>
      </c>
      <c r="W13" s="142">
        <f t="shared" ref="W13:W22" si="17">IF(OR(V13="DC",V13=""),0,IF(OR(V12="DC",V12="",V13&lt;V12),V13,V13-V12))</f>
        <v>5</v>
      </c>
      <c r="X13" s="197" cm="1">
        <f t="array" ref="X13">IF(OR(V13="DC",V13="",W13=0),0,IF(COUNTIF('12p'!$E8:$AB8,"DC")=1,IF(INDEX(Table_11p,IF(W13=12,1,IF(W13=10,2,14-W13)),3)="X",1,INDEX(Table_11p,IF(W13=12,1,IF(W13=10,2,14-W13)),3)),IF(COUNTIF('12p'!$E8:$AB8,"DC")=2,IF(INDEX(Table_10p,IF(W13=11,1,IF(W13=9,2,12-W13)),3)="X",1,INDEX(Table_10p,IF(W13=11,1,IF(W13=9,2,12-W13)),3)),IF(COUNTIF('12p'!$E8:$AB8,"DC")&gt;=3,IF(INDEX(Table_9p_or_less,10-W13,3)="X",1,INDEX(Table_9p_or_less,10-W13,3)),0))))</f>
        <v>0</v>
      </c>
      <c r="Y13" s="143">
        <f>IF(V13&lt;&gt;"DC",0,IF(COUNTIF('12p'!$E8:$AB8,"DC")=1,INDEX(Table_11p,13,3),IF(COUNTIF('12p'!$E8:$AB8,"DC")=2,INDEX(Table_10p,13,3),IF(COUNTIF('12p'!$E8:$AB8,"DC")&gt;=3,INDEX(Table_9p_or_less,13,3),0))))</f>
        <v>0</v>
      </c>
      <c r="Z13" s="189">
        <f t="shared" ref="Z13:Z22" si="18">SUM(W13,X13,Y13)</f>
        <v>5</v>
      </c>
      <c r="AA13" s="145">
        <f t="shared" ref="AA13:AA22" si="19">IF(V13="",AA12,AA12+Z13)</f>
        <v>26</v>
      </c>
      <c r="AB13" s="161" t="str">
        <f t="shared" ref="AB13:AB22" si="20">IF(V13="", "", IF(V13="DC", "OK", IF(V13&lt;V12, "[ALERT] Decreasing score !", "OK")))</f>
        <v>OK</v>
      </c>
      <c r="AC13" s="127">
        <f>'12p'!M8</f>
        <v>29</v>
      </c>
      <c r="AD13" s="142">
        <f t="shared" ref="AD13:AD22" si="21">IF(OR(AC13="DC",AC13=""),0,IF(OR(AC12="DC",AC12="",AC13&lt;AC12),AC13,AC13-AC12))</f>
        <v>12</v>
      </c>
      <c r="AE13" s="197" cm="1">
        <f t="array" ref="AE13">IF(OR(AC13="DC",AC13="",AD13=0),0,IF(COUNTIF('12p'!$E8:$AB8,"DC")=1,IF(INDEX(Table_11p,IF(AD13=12,1,IF(AD13=10,2,14-AD13)),3)="X",1,INDEX(Table_11p,IF(AD13=12,1,IF(AD13=10,2,14-AD13)),3)),IF(COUNTIF('12p'!$E8:$AB8,"DC")=2,IF(INDEX(Table_10p,IF(AD13=11,1,IF(AD13=9,2,12-AD13)),3)="X",1,INDEX(Table_10p,IF(AD13=11,1,IF(AD13=9,2,12-AD13)),3)),IF(COUNTIF('12p'!$E8:$AB8,"DC")&gt;=3,IF(INDEX(Table_9p_or_less,10-AD13,3)="X",1,INDEX(Table_9p_or_less,10-AD13,3)),0))))</f>
        <v>0</v>
      </c>
      <c r="AF13" s="143">
        <f>IF(AC13&lt;&gt;"DC",0,IF(COUNTIF('12p'!$E8:$AB8,"DC")=1,INDEX(Table_11p,13,3),IF(COUNTIF('12p'!$E8:$AB8,"DC")=2,INDEX(Table_10p,13,3),IF(COUNTIF('12p'!$E8:$AB8,"DC")&gt;=3,INDEX(Table_9p_or_less,13,3),0))))</f>
        <v>0</v>
      </c>
      <c r="AG13" s="189">
        <f t="shared" ref="AG13:AG22" si="22">SUM(AD13,AE13,AF13)</f>
        <v>12</v>
      </c>
      <c r="AH13" s="145">
        <f t="shared" ref="AH13:AH22" si="23">IF(AC13="",AH12,AH12+AG13)</f>
        <v>29</v>
      </c>
      <c r="AI13" s="161" t="str">
        <f t="shared" ref="AI13:AI22" si="24">IF(AC13="", "", IF(AC13="DC", "OK", IF(AC13&lt;AC12, "[ALERT] Decreasing score !", "OK")))</f>
        <v>OK</v>
      </c>
      <c r="AJ13" s="127">
        <f>'12p'!O8</f>
        <v>21</v>
      </c>
      <c r="AK13" s="142">
        <f t="shared" ref="AK13:AK22" si="25">IF(OR(AJ13="DC",AJ13=""),0,IF(OR(AJ12="DC",AJ12="",AJ13&lt;AJ12),AJ13,AJ13-AJ12))</f>
        <v>4</v>
      </c>
      <c r="AL13" s="197" cm="1">
        <f t="array" ref="AL13">IF(OR(AJ13="DC",AJ13="",AK13=0),0,IF(COUNTIF('12p'!$E8:$AB8,"DC")=1,IF(INDEX(Table_11p,IF(AK13=12,1,IF(AK13=10,2,14-AK13)),3)="X",1,INDEX(Table_11p,IF(AK13=12,1,IF(AK13=10,2,14-AK13)),3)),IF(COUNTIF('12p'!$E8:$AB8,"DC")=2,IF(INDEX(Table_10p,IF(AK13=11,1,IF(AK13=9,2,12-AK13)),3)="X",1,INDEX(Table_10p,IF(AK13=11,1,IF(AK13=9,2,12-AK13)),3)),IF(COUNTIF('12p'!$E8:$AB8,"DC")&gt;=3,IF(INDEX(Table_9p_or_less,10-AK13,3)="X",1,INDEX(Table_9p_or_less,10-AK13,3)),0))))</f>
        <v>0</v>
      </c>
      <c r="AM13" s="143">
        <f>IF(AJ13&lt;&gt;"DC",0,IF(COUNTIF('12p'!$E8:$AB8,"DC")=1,INDEX(Table_11p,13,3),IF(COUNTIF('12p'!$E8:$AB8,"DC")=2,INDEX(Table_10p,13,3),IF(COUNTIF('12p'!$E8:$AB8,"DC")&gt;=3,INDEX(Table_9p_or_less,13,3),0))))</f>
        <v>0</v>
      </c>
      <c r="AN13" s="189">
        <f t="shared" ref="AN13:AN22" si="26">SUM(AK13,AL13,AM13)</f>
        <v>4</v>
      </c>
      <c r="AO13" s="145">
        <f t="shared" ref="AO13:AO22" si="27">IF(AJ13="",AO12,AO12+AN13)</f>
        <v>21</v>
      </c>
      <c r="AP13" s="161" t="str">
        <f t="shared" ref="AP13:AP22" si="28">IF(AJ13="", "", IF(AJ13="DC", "OK", IF(AJ13&lt;AJ12, "[ALERT] Decreasing score !", "OK")))</f>
        <v>OK</v>
      </c>
      <c r="AQ13" s="127">
        <f>'12p'!Q8</f>
        <v>25</v>
      </c>
      <c r="AR13" s="142">
        <f t="shared" ref="AR13:AR22" si="29">IF(OR(AQ13="DC",AQ13=""),0,IF(OR(AQ12="DC",AQ12="",AQ13&lt;AQ12),AQ13,AQ13-AQ12))</f>
        <v>15</v>
      </c>
      <c r="AS13" s="197" cm="1">
        <f t="array" ref="AS13">IF(OR(AQ13="DC",AQ13="",AR13=0),0,IF(COUNTIF('12p'!$E8:$AB8,"DC")=1,IF(INDEX(Table_11p,IF(AR13=12,1,IF(AR13=10,2,14-AR13)),3)="X",1,INDEX(Table_11p,IF(AR13=12,1,IF(AR13=10,2,14-AR13)),3)),IF(COUNTIF('12p'!$E8:$AB8,"DC")=2,IF(INDEX(Table_10p,IF(AR13=11,1,IF(AR13=9,2,12-AR13)),3)="X",1,INDEX(Table_10p,IF(AR13=11,1,IF(AR13=9,2,12-AR13)),3)),IF(COUNTIF('12p'!$E8:$AB8,"DC")&gt;=3,IF(INDEX(Table_9p_or_less,10-AR13,3)="X",1,INDEX(Table_9p_or_less,10-AR13,3)),0))))</f>
        <v>0</v>
      </c>
      <c r="AT13" s="143">
        <f>IF(AQ13&lt;&gt;"DC",0,IF(COUNTIF('12p'!$E8:$AB8,"DC")=1,INDEX(Table_11p,13,3),IF(COUNTIF('12p'!$E8:$AB8,"DC")=2,INDEX(Table_10p,13,3),IF(COUNTIF('12p'!$E8:$AB8,"DC")&gt;=3,INDEX(Table_9p_or_less,13,3),0))))</f>
        <v>0</v>
      </c>
      <c r="AU13" s="189">
        <f t="shared" ref="AU13:AU22" si="30">SUM(AR13,AS13,AT13)</f>
        <v>15</v>
      </c>
      <c r="AV13" s="145">
        <f t="shared" ref="AV13:AV22" si="31">IF(AQ13="",AV12,AV12+AU13)</f>
        <v>25</v>
      </c>
      <c r="AW13" s="161" t="str">
        <f t="shared" ref="AW13:AW22" si="32">IF(AQ13="", "", IF(AQ13="DC", "OK", IF(AQ13&lt;AQ12, "[ALERT] Decreasing score !", "OK")))</f>
        <v>OK</v>
      </c>
      <c r="AX13" s="127">
        <f>'12p'!S8</f>
        <v>20</v>
      </c>
      <c r="AY13" s="142">
        <f t="shared" ref="AY13:AY22" si="33">IF(OR(AX13="DC",AX13=""),0,IF(OR(AX12="DC",AX12="",AX13&lt;AX12),AX13,AX13-AX12))</f>
        <v>10</v>
      </c>
      <c r="AZ13" s="197" cm="1">
        <f t="array" ref="AZ13">IF(OR(AX13="DC",AX13="",AY13=0),0,IF(COUNTIF('12p'!$E8:$AB8,"DC")=1,IF(INDEX(Table_11p,IF(AY13=12,1,IF(AY13=10,2,14-AY13)),3)="X",1,INDEX(Table_11p,IF(AY13=12,1,IF(AY13=10,2,14-AY13)),3)),IF(COUNTIF('12p'!$E8:$AB8,"DC")=2,IF(INDEX(Table_10p,IF(AY13=11,1,IF(AY13=9,2,12-AY13)),3)="X",1,INDEX(Table_10p,IF(AY13=11,1,IF(AY13=9,2,12-AY13)),3)),IF(COUNTIF('12p'!$E8:$AB8,"DC")&gt;=3,IF(INDEX(Table_9p_or_less,10-AY13,3)="X",1,INDEX(Table_9p_or_less,10-AY13,3)),0))))</f>
        <v>0</v>
      </c>
      <c r="BA13" s="143">
        <f>IF(AX13&lt;&gt;"DC",0,IF(COUNTIF('12p'!$E8:$AB8,"DC")=1,INDEX(Table_11p,13,3),IF(COUNTIF('12p'!$E8:$AB8,"DC")=2,INDEX(Table_10p,13,3),IF(COUNTIF('12p'!$E8:$AB8,"DC")&gt;=3,INDEX(Table_9p_or_less,13,3),0))))</f>
        <v>0</v>
      </c>
      <c r="BB13" s="189">
        <f t="shared" ref="BB13:BB22" si="34">SUM(AY13,AZ13,BA13)</f>
        <v>10</v>
      </c>
      <c r="BC13" s="145">
        <f t="shared" ref="BC13:BC22" si="35">IF(AX13="",BC12,BC12+BB13)</f>
        <v>20</v>
      </c>
      <c r="BD13" s="161" t="str">
        <f t="shared" ref="BD13:BD22" si="36">IF(AX13="", "", IF(AX13="DC", "OK", IF(AX13&lt;AX12, "[ALERT] Decreasing score !", "OK")))</f>
        <v>OK</v>
      </c>
      <c r="BE13" s="127">
        <f>'12p'!U8</f>
        <v>11</v>
      </c>
      <c r="BF13" s="142">
        <f t="shared" ref="BF13:BF22" si="37">IF(OR(BE13="DC",BE13=""),0,IF(OR(BE12="DC",BE12="",BE13&lt;BE12),BE13,BE13-BE12))</f>
        <v>6</v>
      </c>
      <c r="BG13" s="197" cm="1">
        <f t="array" ref="BG13">IF(OR(BE13="DC",BE13="",BF13=0),0,IF(COUNTIF('12p'!$E8:$AB8,"DC")=1,IF(INDEX(Table_11p,IF(BF13=12,1,IF(BF13=10,2,14-BF13)),3)="X",1,INDEX(Table_11p,IF(BF13=12,1,IF(BF13=10,2,14-BF13)),3)),IF(COUNTIF('12p'!$E8:$AB8,"DC")=2,IF(INDEX(Table_10p,IF(BF13=11,1,IF(BF13=9,2,12-BF13)),3)="X",1,INDEX(Table_10p,IF(BF13=11,1,IF(BF13=9,2,12-BF13)),3)),IF(COUNTIF('12p'!$E8:$AB8,"DC")&gt;=3,IF(INDEX(Table_9p_or_less,10-BF13,3)="X",1,INDEX(Table_9p_or_less,10-BF13,3)),0))))</f>
        <v>0</v>
      </c>
      <c r="BH13" s="143">
        <f>IF(BE13&lt;&gt;"DC",0,IF(COUNTIF('12p'!$E8:$AB8,"DC")=1,INDEX(Table_11p,13,3),IF(COUNTIF('12p'!$E8:$AB8,"DC")=2,INDEX(Table_10p,13,3),IF(COUNTIF('12p'!$E8:$AB8,"DC")&gt;=3,INDEX(Table_9p_or_less,13,3),0))))</f>
        <v>0</v>
      </c>
      <c r="BI13" s="189">
        <f t="shared" ref="BI13:BI22" si="38">SUM(BF13,BG13,BH13)</f>
        <v>6</v>
      </c>
      <c r="BJ13" s="145">
        <f t="shared" ref="BJ13:BJ22" si="39">IF(BE13="",BJ12,BJ12+BI13)</f>
        <v>11</v>
      </c>
      <c r="BK13" s="161" t="str">
        <f t="shared" ref="BK13:BK22" si="40">IF(BE13="", "", IF(BE13="DC", "OK", IF(BE13&lt;BE12, "[ALERT] Decreasing score !", "OK")))</f>
        <v>OK</v>
      </c>
      <c r="BL13" s="127">
        <f>'12p'!W8</f>
        <v>7</v>
      </c>
      <c r="BM13" s="142">
        <f t="shared" ref="BM13:BM22" si="41">IF(OR(BL13="DC",BL13=""),0,IF(OR(BL12="DC",BL12="",BL13&lt;BL12),BL13,BL13-BL12))</f>
        <v>1</v>
      </c>
      <c r="BN13" s="197" cm="1">
        <f t="array" ref="BN13">IF(OR(BL13="DC",BL13="",BM13=0),0,IF(COUNTIF('12p'!$E8:$AB8,"DC")=1,IF(INDEX(Table_11p,IF(BM13=12,1,IF(BM13=10,2,14-BM13)),3)="X",1,INDEX(Table_11p,IF(BM13=12,1,IF(BM13=10,2,14-BM13)),3)),IF(COUNTIF('12p'!$E8:$AB8,"DC")=2,IF(INDEX(Table_10p,IF(BM13=11,1,IF(BM13=9,2,12-BM13)),3)="X",1,INDEX(Table_10p,IF(BM13=11,1,IF(BM13=9,2,12-BM13)),3)),IF(COUNTIF('12p'!$E8:$AB8,"DC")&gt;=3,IF(INDEX(Table_9p_or_less,10-BM13,3)="X",1,INDEX(Table_9p_or_less,10-BM13,3)),0))))</f>
        <v>0</v>
      </c>
      <c r="BO13" s="143">
        <f>IF(BL13&lt;&gt;"DC",0,IF(COUNTIF('12p'!$E8:$AB8,"DC")=1,INDEX(Table_11p,13,3),IF(COUNTIF('12p'!$E8:$AB8,"DC")=2,INDEX(Table_10p,13,3),IF(COUNTIF('12p'!$E8:$AB8,"DC")&gt;=3,INDEX(Table_9p_or_less,13,3),0))))</f>
        <v>0</v>
      </c>
      <c r="BP13" s="189">
        <f t="shared" ref="BP13:BP22" si="42">SUM(BM13,BN13,BO13)</f>
        <v>1</v>
      </c>
      <c r="BQ13" s="145">
        <f t="shared" ref="BQ13:BQ22" si="43">IF(BL13="",BQ12,BQ12+BP13)</f>
        <v>7</v>
      </c>
      <c r="BR13" s="161" t="str">
        <f t="shared" ref="BR13:BR22" si="44">IF(BL13="", "", IF(BL13="DC", "OK", IF(BL13&lt;BL12, "[ALERT] Decreasing score !", "OK")))</f>
        <v>OK</v>
      </c>
      <c r="BS13" s="127">
        <f>'12p'!Y8</f>
        <v>11</v>
      </c>
      <c r="BT13" s="142">
        <f t="shared" ref="BT13:BT22" si="45">IF(OR(BS13="DC",BS13=""),0,IF(OR(BS12="DC",BS12="",BS13&lt;BS12),BS13,BS13-BS12))</f>
        <v>2</v>
      </c>
      <c r="BU13" s="197" cm="1">
        <f t="array" ref="BU13">IF(OR(BS13="DC",BS13="",BT13=0),0,IF(COUNTIF('12p'!$E8:$AB8,"DC")=1,IF(INDEX(Table_11p,IF(BT13=12,1,IF(BT13=10,2,14-BT13)),3)="X",1,INDEX(Table_11p,IF(BT13=12,1,IF(BT13=10,2,14-BT13)),3)),IF(COUNTIF('12p'!$E8:$AB8,"DC")=2,IF(INDEX(Table_10p,IF(BT13=11,1,IF(BT13=9,2,12-BT13)),3)="X",1,INDEX(Table_10p,IF(BT13=11,1,IF(BT13=9,2,12-BT13)),3)),IF(COUNTIF('12p'!$E8:$AB8,"DC")&gt;=3,IF(INDEX(Table_9p_or_less,10-BT13,3)="X",1,INDEX(Table_9p_or_less,10-BT13,3)),0))))</f>
        <v>0</v>
      </c>
      <c r="BV13" s="143">
        <f>IF(BS13&lt;&gt;"DC",0,IF(COUNTIF('12p'!$E8:$AB8,"DC")=1,INDEX(Table_11p,13,3),IF(COUNTIF('12p'!$E8:$AB8,"DC")=2,INDEX(Table_10p,13,3),IF(COUNTIF('12p'!$E8:$AB8,"DC")&gt;=3,INDEX(Table_9p_or_less,13,3),0))))</f>
        <v>0</v>
      </c>
      <c r="BW13" s="189">
        <f t="shared" ref="BW13:BW22" si="46">SUM(BT13,BU13,BV13)</f>
        <v>2</v>
      </c>
      <c r="BX13" s="145">
        <f t="shared" ref="BX13:BX22" si="47">IF(BS13="",BX12,BX12+BW13)</f>
        <v>11</v>
      </c>
      <c r="BY13" s="161" t="str">
        <f t="shared" ref="BY13:BY22" si="48">IF(BS13="", "", IF(BS13="DC", "OK", IF(BS13&lt;BS12, "[ALERT] Decreasing score !", "OK")))</f>
        <v>OK</v>
      </c>
      <c r="BZ13" s="127">
        <f>'12p'!AA8</f>
        <v>16</v>
      </c>
      <c r="CA13" s="142">
        <f t="shared" ref="CA13:CA22" si="49">IF(OR(BZ13="DC",BZ13=""),0,IF(OR(BZ12="DC",BZ12="",BZ13&lt;BZ12),BZ13,BZ13-BZ12))</f>
        <v>9</v>
      </c>
      <c r="CB13" s="197" cm="1">
        <f t="array" ref="CB13">IF(OR(BZ13="DC",BZ13="",CA13=0),0,IF(COUNTIF('12p'!$E8:$AB8,"DC")=1,IF(INDEX(Table_11p,IF(CA13=12,1,IF(CA13=10,2,14-CA13)),3)="X",1,INDEX(Table_11p,IF(CA13=12,1,IF(CA13=10,2,14-CA13)),3)),IF(COUNTIF('12p'!$E8:$AB8,"DC")=2,IF(INDEX(Table_10p,IF(CA13=11,1,IF(CA13=9,2,12-CA13)),3)="X",1,INDEX(Table_10p,IF(CA13=11,1,IF(CA13=9,2,12-CA13)),3)),IF(COUNTIF('12p'!$E8:$AB8,"DC")&gt;=3,IF(INDEX(Table_9p_or_less,10-CA13,3)="X",1,INDEX(Table_9p_or_less,10-CA13,3)),0))))</f>
        <v>0</v>
      </c>
      <c r="CC13" s="143">
        <f>IF(BZ13&lt;&gt;"DC",0,IF(COUNTIF('12p'!$E8:$AB8,"DC")=1,INDEX(Table_11p,13,3),IF(COUNTIF('12p'!$E8:$AB8,"DC")=2,INDEX(Table_10p,13,3),IF(COUNTIF('12p'!$E8:$AB8,"DC")&gt;=3,INDEX(Table_9p_or_less,13,3),0))))</f>
        <v>0</v>
      </c>
      <c r="CD13" s="189">
        <f t="shared" ref="CD13:CD22" si="50">SUM(CA13,CB13,CC13)</f>
        <v>9</v>
      </c>
      <c r="CE13" s="145">
        <f t="shared" ref="CE13:CE22" si="51">IF(BZ13="",CE12,CE12+CD13)</f>
        <v>16</v>
      </c>
      <c r="CF13" s="161" t="str">
        <f t="shared" ref="CF13:CF22" si="52">IF(BZ13="", "", IF(BZ13="DC", "OK", IF(BZ13&lt;BZ12, "[ALERT] Decreasing score !", "OK")))</f>
        <v>OK</v>
      </c>
      <c r="CG13" s="206">
        <f t="shared" si="4"/>
        <v>82</v>
      </c>
      <c r="CH13" s="108"/>
    </row>
    <row r="14" spans="1:86" x14ac:dyDescent="0.25">
      <c r="A14" s="127">
        <f>'12p'!E9</f>
        <v>27</v>
      </c>
      <c r="B14" s="142">
        <f t="shared" si="5"/>
        <v>12</v>
      </c>
      <c r="C14" s="197" cm="1">
        <f t="array" ref="C14">IF(OR(A14="DC",A14="",B14=0),0,IF(COUNTIF('12p'!$E9:$AB9,"DC")=1,IF(INDEX(Table_11p,IF(B14=12,1,IF(B14=10,2,14-B14)),3)="X",1,INDEX(Table_11p,IF(B14=12,1,IF(B14=10,2,14-B14)),3)),IF(COUNTIF('12p'!$E9:$AB9,"DC")=2,IF(INDEX(Table_10p,IF(B14=11,1,IF(B14=9,2,12-B14)),3)="X",1,INDEX(Table_10p,IF(B14=11,1,IF(B14=9,2,12-B14)),3)),IF(COUNTIF('12p'!$E9:$AB9,"DC")&gt;=3,IF(INDEX(Table_9p_or_less,10-B14,3)="X",1,INDEX(Table_9p_or_less,10-B14,3)),0))))</f>
        <v>0</v>
      </c>
      <c r="D14" s="143">
        <f>IF(A14&lt;&gt;"DC",0,IF(COUNTIF('12p'!$E9:$AB9,"DC")=1,INDEX(Table_11p,13,3),IF(COUNTIF('12p'!$E9:$AB9,"DC")=2,INDEX(Table_10p,13,3),IF(COUNTIF('12p'!$E9:$AB9,"DC")&gt;=3,INDEX(Table_9p_or_less,13,3),0))))</f>
        <v>0</v>
      </c>
      <c r="E14" s="189">
        <f t="shared" si="6"/>
        <v>12</v>
      </c>
      <c r="F14" s="145">
        <f t="shared" si="7"/>
        <v>27</v>
      </c>
      <c r="G14" s="161" t="str">
        <f t="shared" si="8"/>
        <v>OK</v>
      </c>
      <c r="H14" s="127">
        <f>'12p'!G9</f>
        <v>46</v>
      </c>
      <c r="I14" s="142">
        <f t="shared" si="9"/>
        <v>15</v>
      </c>
      <c r="J14" s="197" cm="1">
        <f t="array" ref="J14">IF(OR(H14="DC",H14="",I14=0),0,IF(COUNTIF('12p'!$E9:$AB9,"DC")=1,IF(INDEX(Table_11p,IF(I14=12,1,IF(I14=10,2,14-I14)),3)="X",1,INDEX(Table_11p,IF(I14=12,1,IF(I14=10,2,14-I14)),3)),IF(COUNTIF('12p'!$E9:$AB9,"DC")=2,IF(INDEX(Table_10p,IF(I14=11,1,IF(I14=9,2,12-I14)),3)="X",1,INDEX(Table_10p,IF(I14=11,1,IF(I14=9,2,12-I14)),3)),IF(COUNTIF('12p'!$E9:$AB9,"DC")&gt;=3,IF(INDEX(Table_9p_or_less,10-I14,3)="X",1,INDEX(Table_9p_or_less,10-I14,3)),0))))</f>
        <v>0</v>
      </c>
      <c r="K14" s="143">
        <f>IF(H14&lt;&gt;"DC",0,IF(COUNTIF('12p'!$E9:$AB9,"DC")=1,INDEX(Table_11p,13,3),IF(COUNTIF('12p'!$E9:$AB9,"DC")=2,INDEX(Table_10p,13,3),IF(COUNTIF('12p'!$E9:$AB9,"DC")&gt;=3,INDEX(Table_9p_or_less,13,3),0))))</f>
        <v>0</v>
      </c>
      <c r="L14" s="189">
        <f t="shared" si="10"/>
        <v>15</v>
      </c>
      <c r="M14" s="145">
        <f t="shared" si="11"/>
        <v>46</v>
      </c>
      <c r="N14" s="161" t="str">
        <f t="shared" si="12"/>
        <v>OK</v>
      </c>
      <c r="O14" s="127">
        <f>'12p'!I9</f>
        <v>44</v>
      </c>
      <c r="P14" s="142">
        <f t="shared" si="13"/>
        <v>10</v>
      </c>
      <c r="Q14" s="197" cm="1">
        <f t="array" ref="Q14">IF(OR(O14="DC",O14="",P14=0),0,IF(COUNTIF('12p'!$E9:$AB9,"DC")=1,IF(INDEX(Table_11p,IF(P14=12,1,IF(P14=10,2,14-P14)),3)="X",1,INDEX(Table_11p,IF(P14=12,1,IF(P14=10,2,14-P14)),3)),IF(COUNTIF('12p'!$E9:$AB9,"DC")=2,IF(INDEX(Table_10p,IF(P14=11,1,IF(P14=9,2,12-P14)),3)="X",1,INDEX(Table_10p,IF(P14=11,1,IF(P14=9,2,12-P14)),3)),IF(COUNTIF('12p'!$E9:$AB9,"DC")&gt;=3,IF(INDEX(Table_9p_or_less,10-P14,3)="X",1,INDEX(Table_9p_or_less,10-P14,3)),0))))</f>
        <v>0</v>
      </c>
      <c r="R14" s="143">
        <f>IF(O14&lt;&gt;"DC",0,IF(COUNTIF('12p'!$E9:$AB9,"DC")=1,INDEX(Table_11p,13,3),IF(COUNTIF('12p'!$E9:$AB9,"DC")=2,INDEX(Table_10p,13,3),IF(COUNTIF('12p'!$E9:$AB9,"DC")&gt;=3,INDEX(Table_9p_or_less,13,3),0))))</f>
        <v>0</v>
      </c>
      <c r="S14" s="189">
        <f t="shared" si="14"/>
        <v>10</v>
      </c>
      <c r="T14" s="145">
        <f t="shared" si="15"/>
        <v>44</v>
      </c>
      <c r="U14" s="161" t="str">
        <f t="shared" si="16"/>
        <v>OK</v>
      </c>
      <c r="V14" s="127">
        <f>'12p'!K9</f>
        <v>29</v>
      </c>
      <c r="W14" s="142">
        <f t="shared" si="17"/>
        <v>3</v>
      </c>
      <c r="X14" s="197" cm="1">
        <f t="array" ref="X14">IF(OR(V14="DC",V14="",W14=0),0,IF(COUNTIF('12p'!$E9:$AB9,"DC")=1,IF(INDEX(Table_11p,IF(W14=12,1,IF(W14=10,2,14-W14)),3)="X",1,INDEX(Table_11p,IF(W14=12,1,IF(W14=10,2,14-W14)),3)),IF(COUNTIF('12p'!$E9:$AB9,"DC")=2,IF(INDEX(Table_10p,IF(W14=11,1,IF(W14=9,2,12-W14)),3)="X",1,INDEX(Table_10p,IF(W14=11,1,IF(W14=9,2,12-W14)),3)),IF(COUNTIF('12p'!$E9:$AB9,"DC")&gt;=3,IF(INDEX(Table_9p_or_less,10-W14,3)="X",1,INDEX(Table_9p_or_less,10-W14,3)),0))))</f>
        <v>0</v>
      </c>
      <c r="Y14" s="143">
        <f>IF(V14&lt;&gt;"DC",0,IF(COUNTIF('12p'!$E9:$AB9,"DC")=1,INDEX(Table_11p,13,3),IF(COUNTIF('12p'!$E9:$AB9,"DC")=2,INDEX(Table_10p,13,3),IF(COUNTIF('12p'!$E9:$AB9,"DC")&gt;=3,INDEX(Table_9p_or_less,13,3),0))))</f>
        <v>0</v>
      </c>
      <c r="Z14" s="189">
        <f t="shared" si="18"/>
        <v>3</v>
      </c>
      <c r="AA14" s="145">
        <f t="shared" si="19"/>
        <v>29</v>
      </c>
      <c r="AB14" s="161" t="str">
        <f t="shared" si="20"/>
        <v>OK</v>
      </c>
      <c r="AC14" s="127">
        <f>'12p'!M9</f>
        <v>37</v>
      </c>
      <c r="AD14" s="142">
        <f t="shared" si="21"/>
        <v>8</v>
      </c>
      <c r="AE14" s="197" cm="1">
        <f t="array" ref="AE14">IF(OR(AC14="DC",AC14="",AD14=0),0,IF(COUNTIF('12p'!$E9:$AB9,"DC")=1,IF(INDEX(Table_11p,IF(AD14=12,1,IF(AD14=10,2,14-AD14)),3)="X",1,INDEX(Table_11p,IF(AD14=12,1,IF(AD14=10,2,14-AD14)),3)),IF(COUNTIF('12p'!$E9:$AB9,"DC")=2,IF(INDEX(Table_10p,IF(AD14=11,1,IF(AD14=9,2,12-AD14)),3)="X",1,INDEX(Table_10p,IF(AD14=11,1,IF(AD14=9,2,12-AD14)),3)),IF(COUNTIF('12p'!$E9:$AB9,"DC")&gt;=3,IF(INDEX(Table_9p_or_less,10-AD14,3)="X",1,INDEX(Table_9p_or_less,10-AD14,3)),0))))</f>
        <v>0</v>
      </c>
      <c r="AF14" s="143">
        <f>IF(AC14&lt;&gt;"DC",0,IF(COUNTIF('12p'!$E9:$AB9,"DC")=1,INDEX(Table_11p,13,3),IF(COUNTIF('12p'!$E9:$AB9,"DC")=2,INDEX(Table_10p,13,3),IF(COUNTIF('12p'!$E9:$AB9,"DC")&gt;=3,INDEX(Table_9p_or_less,13,3),0))))</f>
        <v>0</v>
      </c>
      <c r="AG14" s="189">
        <f t="shared" si="22"/>
        <v>8</v>
      </c>
      <c r="AH14" s="145">
        <f t="shared" si="23"/>
        <v>37</v>
      </c>
      <c r="AI14" s="161" t="str">
        <f t="shared" si="24"/>
        <v>OK</v>
      </c>
      <c r="AJ14" s="127">
        <f>'12p'!O9</f>
        <v>26</v>
      </c>
      <c r="AK14" s="142">
        <f t="shared" si="25"/>
        <v>5</v>
      </c>
      <c r="AL14" s="197" cm="1">
        <f t="array" ref="AL14">IF(OR(AJ14="DC",AJ14="",AK14=0),0,IF(COUNTIF('12p'!$E9:$AB9,"DC")=1,IF(INDEX(Table_11p,IF(AK14=12,1,IF(AK14=10,2,14-AK14)),3)="X",1,INDEX(Table_11p,IF(AK14=12,1,IF(AK14=10,2,14-AK14)),3)),IF(COUNTIF('12p'!$E9:$AB9,"DC")=2,IF(INDEX(Table_10p,IF(AK14=11,1,IF(AK14=9,2,12-AK14)),3)="X",1,INDEX(Table_10p,IF(AK14=11,1,IF(AK14=9,2,12-AK14)),3)),IF(COUNTIF('12p'!$E9:$AB9,"DC")&gt;=3,IF(INDEX(Table_9p_or_less,10-AK14,3)="X",1,INDEX(Table_9p_or_less,10-AK14,3)),0))))</f>
        <v>0</v>
      </c>
      <c r="AM14" s="143">
        <f>IF(AJ14&lt;&gt;"DC",0,IF(COUNTIF('12p'!$E9:$AB9,"DC")=1,INDEX(Table_11p,13,3),IF(COUNTIF('12p'!$E9:$AB9,"DC")=2,INDEX(Table_10p,13,3),IF(COUNTIF('12p'!$E9:$AB9,"DC")&gt;=3,INDEX(Table_9p_or_less,13,3),0))))</f>
        <v>0</v>
      </c>
      <c r="AN14" s="189">
        <f t="shared" si="26"/>
        <v>5</v>
      </c>
      <c r="AO14" s="145">
        <f t="shared" si="27"/>
        <v>26</v>
      </c>
      <c r="AP14" s="161" t="str">
        <f t="shared" si="28"/>
        <v>OK</v>
      </c>
      <c r="AQ14" s="127">
        <f>'12p'!Q9</f>
        <v>29</v>
      </c>
      <c r="AR14" s="142">
        <f t="shared" si="29"/>
        <v>4</v>
      </c>
      <c r="AS14" s="197" cm="1">
        <f t="array" ref="AS14">IF(OR(AQ14="DC",AQ14="",AR14=0),0,IF(COUNTIF('12p'!$E9:$AB9,"DC")=1,IF(INDEX(Table_11p,IF(AR14=12,1,IF(AR14=10,2,14-AR14)),3)="X",1,INDEX(Table_11p,IF(AR14=12,1,IF(AR14=10,2,14-AR14)),3)),IF(COUNTIF('12p'!$E9:$AB9,"DC")=2,IF(INDEX(Table_10p,IF(AR14=11,1,IF(AR14=9,2,12-AR14)),3)="X",1,INDEX(Table_10p,IF(AR14=11,1,IF(AR14=9,2,12-AR14)),3)),IF(COUNTIF('12p'!$E9:$AB9,"DC")&gt;=3,IF(INDEX(Table_9p_or_less,10-AR14,3)="X",1,INDEX(Table_9p_or_less,10-AR14,3)),0))))</f>
        <v>0</v>
      </c>
      <c r="AT14" s="143">
        <f>IF(AQ14&lt;&gt;"DC",0,IF(COUNTIF('12p'!$E9:$AB9,"DC")=1,INDEX(Table_11p,13,3),IF(COUNTIF('12p'!$E9:$AB9,"DC")=2,INDEX(Table_10p,13,3),IF(COUNTIF('12p'!$E9:$AB9,"DC")&gt;=3,INDEX(Table_9p_or_less,13,3),0))))</f>
        <v>0</v>
      </c>
      <c r="AU14" s="189">
        <f t="shared" si="30"/>
        <v>4</v>
      </c>
      <c r="AV14" s="145">
        <f t="shared" si="31"/>
        <v>29</v>
      </c>
      <c r="AW14" s="161" t="str">
        <f t="shared" si="32"/>
        <v>OK</v>
      </c>
      <c r="AX14" s="127">
        <f>'12p'!S9</f>
        <v>29</v>
      </c>
      <c r="AY14" s="142">
        <f t="shared" si="33"/>
        <v>9</v>
      </c>
      <c r="AZ14" s="197" cm="1">
        <f t="array" ref="AZ14">IF(OR(AX14="DC",AX14="",AY14=0),0,IF(COUNTIF('12p'!$E9:$AB9,"DC")=1,IF(INDEX(Table_11p,IF(AY14=12,1,IF(AY14=10,2,14-AY14)),3)="X",1,INDEX(Table_11p,IF(AY14=12,1,IF(AY14=10,2,14-AY14)),3)),IF(COUNTIF('12p'!$E9:$AB9,"DC")=2,IF(INDEX(Table_10p,IF(AY14=11,1,IF(AY14=9,2,12-AY14)),3)="X",1,INDEX(Table_10p,IF(AY14=11,1,IF(AY14=9,2,12-AY14)),3)),IF(COUNTIF('12p'!$E9:$AB9,"DC")&gt;=3,IF(INDEX(Table_9p_or_less,10-AY14,3)="X",1,INDEX(Table_9p_or_less,10-AY14,3)),0))))</f>
        <v>0</v>
      </c>
      <c r="BA14" s="143">
        <f>IF(AX14&lt;&gt;"DC",0,IF(COUNTIF('12p'!$E9:$AB9,"DC")=1,INDEX(Table_11p,13,3),IF(COUNTIF('12p'!$E9:$AB9,"DC")=2,INDEX(Table_10p,13,3),IF(COUNTIF('12p'!$E9:$AB9,"DC")&gt;=3,INDEX(Table_9p_or_less,13,3),0))))</f>
        <v>0</v>
      </c>
      <c r="BB14" s="189">
        <f t="shared" si="34"/>
        <v>9</v>
      </c>
      <c r="BC14" s="145">
        <f t="shared" si="35"/>
        <v>29</v>
      </c>
      <c r="BD14" s="161" t="str">
        <f t="shared" si="36"/>
        <v>OK</v>
      </c>
      <c r="BE14" s="127">
        <f>'12p'!U9</f>
        <v>17</v>
      </c>
      <c r="BF14" s="142">
        <f t="shared" si="37"/>
        <v>6</v>
      </c>
      <c r="BG14" s="197" cm="1">
        <f t="array" ref="BG14">IF(OR(BE14="DC",BE14="",BF14=0),0,IF(COUNTIF('12p'!$E9:$AB9,"DC")=1,IF(INDEX(Table_11p,IF(BF14=12,1,IF(BF14=10,2,14-BF14)),3)="X",1,INDEX(Table_11p,IF(BF14=12,1,IF(BF14=10,2,14-BF14)),3)),IF(COUNTIF('12p'!$E9:$AB9,"DC")=2,IF(INDEX(Table_10p,IF(BF14=11,1,IF(BF14=9,2,12-BF14)),3)="X",1,INDEX(Table_10p,IF(BF14=11,1,IF(BF14=9,2,12-BF14)),3)),IF(COUNTIF('12p'!$E9:$AB9,"DC")&gt;=3,IF(INDEX(Table_9p_or_less,10-BF14,3)="X",1,INDEX(Table_9p_or_less,10-BF14,3)),0))))</f>
        <v>0</v>
      </c>
      <c r="BH14" s="143">
        <f>IF(BE14&lt;&gt;"DC",0,IF(COUNTIF('12p'!$E9:$AB9,"DC")=1,INDEX(Table_11p,13,3),IF(COUNTIF('12p'!$E9:$AB9,"DC")=2,INDEX(Table_10p,13,3),IF(COUNTIF('12p'!$E9:$AB9,"DC")&gt;=3,INDEX(Table_9p_or_less,13,3),0))))</f>
        <v>0</v>
      </c>
      <c r="BI14" s="189">
        <f t="shared" si="38"/>
        <v>6</v>
      </c>
      <c r="BJ14" s="145">
        <f t="shared" si="39"/>
        <v>17</v>
      </c>
      <c r="BK14" s="161" t="str">
        <f t="shared" si="40"/>
        <v>OK</v>
      </c>
      <c r="BL14" s="127">
        <f>'12p'!W9</f>
        <v>2</v>
      </c>
      <c r="BM14" s="142">
        <f t="shared" si="41"/>
        <v>2</v>
      </c>
      <c r="BN14" s="197" cm="1">
        <f t="array" ref="BN14">IF(OR(BL14="DC",BL14="",BM14=0),0,IF(COUNTIF('12p'!$E9:$AB9,"DC")=1,IF(INDEX(Table_11p,IF(BM14=12,1,IF(BM14=10,2,14-BM14)),3)="X",1,INDEX(Table_11p,IF(BM14=12,1,IF(BM14=10,2,14-BM14)),3)),IF(COUNTIF('12p'!$E9:$AB9,"DC")=2,IF(INDEX(Table_10p,IF(BM14=11,1,IF(BM14=9,2,12-BM14)),3)="X",1,INDEX(Table_10p,IF(BM14=11,1,IF(BM14=9,2,12-BM14)),3)),IF(COUNTIF('12p'!$E9:$AB9,"DC")&gt;=3,IF(INDEX(Table_9p_or_less,10-BM14,3)="X",1,INDEX(Table_9p_or_less,10-BM14,3)),0))))</f>
        <v>0</v>
      </c>
      <c r="BO14" s="143">
        <f>IF(BL14&lt;&gt;"DC",0,IF(COUNTIF('12p'!$E9:$AB9,"DC")=1,INDEX(Table_11p,13,3),IF(COUNTIF('12p'!$E9:$AB9,"DC")=2,INDEX(Table_10p,13,3),IF(COUNTIF('12p'!$E9:$AB9,"DC")&gt;=3,INDEX(Table_9p_or_less,13,3),0))))</f>
        <v>0</v>
      </c>
      <c r="BP14" s="189">
        <f t="shared" si="42"/>
        <v>2</v>
      </c>
      <c r="BQ14" s="145">
        <f t="shared" si="43"/>
        <v>9</v>
      </c>
      <c r="BR14" s="161" t="str">
        <f t="shared" si="44"/>
        <v>[ALERT] Decreasing score !</v>
      </c>
      <c r="BS14" s="127">
        <f>'12p'!Y9</f>
        <v>1</v>
      </c>
      <c r="BT14" s="142">
        <f t="shared" si="45"/>
        <v>1</v>
      </c>
      <c r="BU14" s="197" cm="1">
        <f t="array" ref="BU14">IF(OR(BS14="DC",BS14="",BT14=0),0,IF(COUNTIF('12p'!$E9:$AB9,"DC")=1,IF(INDEX(Table_11p,IF(BT14=12,1,IF(BT14=10,2,14-BT14)),3)="X",1,INDEX(Table_11p,IF(BT14=12,1,IF(BT14=10,2,14-BT14)),3)),IF(COUNTIF('12p'!$E9:$AB9,"DC")=2,IF(INDEX(Table_10p,IF(BT14=11,1,IF(BT14=9,2,12-BT14)),3)="X",1,INDEX(Table_10p,IF(BT14=11,1,IF(BT14=9,2,12-BT14)),3)),IF(COUNTIF('12p'!$E9:$AB9,"DC")&gt;=3,IF(INDEX(Table_9p_or_less,10-BT14,3)="X",1,INDEX(Table_9p_or_less,10-BT14,3)),0))))</f>
        <v>0</v>
      </c>
      <c r="BV14" s="143">
        <f>IF(BS14&lt;&gt;"DC",0,IF(COUNTIF('12p'!$E9:$AB9,"DC")=1,INDEX(Table_11p,13,3),IF(COUNTIF('12p'!$E9:$AB9,"DC")=2,INDEX(Table_10p,13,3),IF(COUNTIF('12p'!$E9:$AB9,"DC")&gt;=3,INDEX(Table_9p_or_less,13,3),0))))</f>
        <v>0</v>
      </c>
      <c r="BW14" s="189">
        <f t="shared" si="46"/>
        <v>1</v>
      </c>
      <c r="BX14" s="145">
        <f t="shared" si="47"/>
        <v>12</v>
      </c>
      <c r="BY14" s="161" t="str">
        <f t="shared" si="48"/>
        <v>[ALERT] Decreasing score !</v>
      </c>
      <c r="BZ14" s="127">
        <f>'12p'!AA9</f>
        <v>23</v>
      </c>
      <c r="CA14" s="142">
        <f t="shared" si="49"/>
        <v>7</v>
      </c>
      <c r="CB14" s="197" cm="1">
        <f t="array" ref="CB14">IF(OR(BZ14="DC",BZ14="",CA14=0),0,IF(COUNTIF('12p'!$E9:$AB9,"DC")=1,IF(INDEX(Table_11p,IF(CA14=12,1,IF(CA14=10,2,14-CA14)),3)="X",1,INDEX(Table_11p,IF(CA14=12,1,IF(CA14=10,2,14-CA14)),3)),IF(COUNTIF('12p'!$E9:$AB9,"DC")=2,IF(INDEX(Table_10p,IF(CA14=11,1,IF(CA14=9,2,12-CA14)),3)="X",1,INDEX(Table_10p,IF(CA14=11,1,IF(CA14=9,2,12-CA14)),3)),IF(COUNTIF('12p'!$E9:$AB9,"DC")&gt;=3,IF(INDEX(Table_9p_or_less,10-CA14,3)="X",1,INDEX(Table_9p_or_less,10-CA14,3)),0))))</f>
        <v>0</v>
      </c>
      <c r="CC14" s="143">
        <f>IF(BZ14&lt;&gt;"DC",0,IF(COUNTIF('12p'!$E9:$AB9,"DC")=1,INDEX(Table_11p,13,3),IF(COUNTIF('12p'!$E9:$AB9,"DC")=2,INDEX(Table_10p,13,3),IF(COUNTIF('12p'!$E9:$AB9,"DC")&gt;=3,INDEX(Table_9p_or_less,13,3),0))))</f>
        <v>0</v>
      </c>
      <c r="CD14" s="189">
        <f t="shared" si="50"/>
        <v>7</v>
      </c>
      <c r="CE14" s="145">
        <f t="shared" si="51"/>
        <v>23</v>
      </c>
      <c r="CF14" s="161" t="str">
        <f t="shared" si="52"/>
        <v>OK</v>
      </c>
      <c r="CG14" s="206">
        <f t="shared" si="4"/>
        <v>82</v>
      </c>
      <c r="CH14" s="108"/>
    </row>
    <row r="15" spans="1:86" x14ac:dyDescent="0.25">
      <c r="A15" s="127">
        <f>'12p'!E10</f>
        <v>35</v>
      </c>
      <c r="B15" s="142">
        <f t="shared" si="5"/>
        <v>8</v>
      </c>
      <c r="C15" s="197" cm="1">
        <f t="array" ref="C15">IF(OR(A15="DC",A15="",B15=0),0,IF(COUNTIF('12p'!$E10:$AB10,"DC")=1,IF(INDEX(Table_11p,IF(B15=12,1,IF(B15=10,2,14-B15)),3)="X",1,INDEX(Table_11p,IF(B15=12,1,IF(B15=10,2,14-B15)),3)),IF(COUNTIF('12p'!$E10:$AB10,"DC")=2,IF(INDEX(Table_10p,IF(B15=11,1,IF(B15=9,2,12-B15)),3)="X",1,INDEX(Table_10p,IF(B15=11,1,IF(B15=9,2,12-B15)),3)),IF(COUNTIF('12p'!$E10:$AB10,"DC")&gt;=3,IF(INDEX(Table_9p_or_less,10-B15,3)="X",1,INDEX(Table_9p_or_less,10-B15,3)),0))))</f>
        <v>1</v>
      </c>
      <c r="D15" s="143">
        <f>IF(A15&lt;&gt;"DC",0,IF(COUNTIF('12p'!$E10:$AB10,"DC")=1,INDEX(Table_11p,13,3),IF(COUNTIF('12p'!$E10:$AB10,"DC")=2,INDEX(Table_10p,13,3),IF(COUNTIF('12p'!$E10:$AB10,"DC")&gt;=3,INDEX(Table_9p_or_less,13,3),0))))</f>
        <v>0</v>
      </c>
      <c r="E15" s="189">
        <f t="shared" si="6"/>
        <v>9</v>
      </c>
      <c r="F15" s="145">
        <f t="shared" si="7"/>
        <v>36</v>
      </c>
      <c r="G15" s="161" t="str">
        <f t="shared" si="8"/>
        <v>OK</v>
      </c>
      <c r="H15" s="127">
        <f>'12p'!G10</f>
        <v>52</v>
      </c>
      <c r="I15" s="142">
        <f t="shared" si="9"/>
        <v>6</v>
      </c>
      <c r="J15" s="197" cm="1">
        <f t="array" ref="J15">IF(OR(H15="DC",H15="",I15=0),0,IF(COUNTIF('12p'!$E10:$AB10,"DC")=1,IF(INDEX(Table_11p,IF(I15=12,1,IF(I15=10,2,14-I15)),3)="X",1,INDEX(Table_11p,IF(I15=12,1,IF(I15=10,2,14-I15)),3)),IF(COUNTIF('12p'!$E10:$AB10,"DC")=2,IF(INDEX(Table_10p,IF(I15=11,1,IF(I15=9,2,12-I15)),3)="X",1,INDEX(Table_10p,IF(I15=11,1,IF(I15=9,2,12-I15)),3)),IF(COUNTIF('12p'!$E10:$AB10,"DC")&gt;=3,IF(INDEX(Table_9p_or_less,10-I15,3)="X",1,INDEX(Table_9p_or_less,10-I15,3)),0))))</f>
        <v>1</v>
      </c>
      <c r="K15" s="143">
        <f>IF(H15&lt;&gt;"DC",0,IF(COUNTIF('12p'!$E10:$AB10,"DC")=1,INDEX(Table_11p,13,3),IF(COUNTIF('12p'!$E10:$AB10,"DC")=2,INDEX(Table_10p,13,3),IF(COUNTIF('12p'!$E10:$AB10,"DC")&gt;=3,INDEX(Table_9p_or_less,13,3),0))))</f>
        <v>0</v>
      </c>
      <c r="L15" s="189">
        <f t="shared" si="10"/>
        <v>7</v>
      </c>
      <c r="M15" s="145">
        <f t="shared" si="11"/>
        <v>53</v>
      </c>
      <c r="N15" s="161" t="str">
        <f t="shared" si="12"/>
        <v>OK</v>
      </c>
      <c r="O15" s="127">
        <f>'12p'!I10</f>
        <v>45</v>
      </c>
      <c r="P15" s="142">
        <f t="shared" si="13"/>
        <v>1</v>
      </c>
      <c r="Q15" s="197" cm="1">
        <f t="array" ref="Q15">IF(OR(O15="DC",O15="",P15=0),0,IF(COUNTIF('12p'!$E10:$AB10,"DC")=1,IF(INDEX(Table_11p,IF(P15=12,1,IF(P15=10,2,14-P15)),3)="X",1,INDEX(Table_11p,IF(P15=12,1,IF(P15=10,2,14-P15)),3)),IF(COUNTIF('12p'!$E10:$AB10,"DC")=2,IF(INDEX(Table_10p,IF(P15=11,1,IF(P15=9,2,12-P15)),3)="X",1,INDEX(Table_10p,IF(P15=11,1,IF(P15=9,2,12-P15)),3)),IF(COUNTIF('12p'!$E10:$AB10,"DC")&gt;=3,IF(INDEX(Table_9p_or_less,10-P15,3)="X",1,INDEX(Table_9p_or_less,10-P15,3)),0))))</f>
        <v>1</v>
      </c>
      <c r="R15" s="143">
        <f>IF(O15&lt;&gt;"DC",0,IF(COUNTIF('12p'!$E10:$AB10,"DC")=1,INDEX(Table_11p,13,3),IF(COUNTIF('12p'!$E10:$AB10,"DC")=2,INDEX(Table_10p,13,3),IF(COUNTIF('12p'!$E10:$AB10,"DC")&gt;=3,INDEX(Table_9p_or_less,13,3),0))))</f>
        <v>0</v>
      </c>
      <c r="S15" s="189">
        <f t="shared" si="14"/>
        <v>2</v>
      </c>
      <c r="T15" s="145">
        <f t="shared" si="15"/>
        <v>46</v>
      </c>
      <c r="U15" s="161" t="str">
        <f t="shared" si="16"/>
        <v>OK</v>
      </c>
      <c r="V15" s="127">
        <f>'12p'!K10</f>
        <v>41</v>
      </c>
      <c r="W15" s="142">
        <f t="shared" si="17"/>
        <v>12</v>
      </c>
      <c r="X15" s="197" cm="1">
        <f t="array" ref="X15">IF(OR(V15="DC",V15="",W15=0),0,IF(COUNTIF('12p'!$E10:$AB10,"DC")=1,IF(INDEX(Table_11p,IF(W15=12,1,IF(W15=10,2,14-W15)),3)="X",1,INDEX(Table_11p,IF(W15=12,1,IF(W15=10,2,14-W15)),3)),IF(COUNTIF('12p'!$E10:$AB10,"DC")=2,IF(INDEX(Table_10p,IF(W15=11,1,IF(W15=9,2,12-W15)),3)="X",1,INDEX(Table_10p,IF(W15=11,1,IF(W15=9,2,12-W15)),3)),IF(COUNTIF('12p'!$E10:$AB10,"DC")&gt;=3,IF(INDEX(Table_9p_or_less,10-W15,3)="X",1,INDEX(Table_9p_or_less,10-W15,3)),0))))</f>
        <v>3</v>
      </c>
      <c r="Y15" s="143">
        <f>IF(V15&lt;&gt;"DC",0,IF(COUNTIF('12p'!$E10:$AB10,"DC")=1,INDEX(Table_11p,13,3),IF(COUNTIF('12p'!$E10:$AB10,"DC")=2,INDEX(Table_10p,13,3),IF(COUNTIF('12p'!$E10:$AB10,"DC")&gt;=3,INDEX(Table_9p_or_less,13,3),0))))</f>
        <v>0</v>
      </c>
      <c r="Z15" s="189">
        <f t="shared" si="18"/>
        <v>15</v>
      </c>
      <c r="AA15" s="145">
        <f t="shared" si="19"/>
        <v>44</v>
      </c>
      <c r="AB15" s="161" t="str">
        <f t="shared" si="20"/>
        <v>OK</v>
      </c>
      <c r="AC15" s="127">
        <f>'12p'!M10</f>
        <v>40</v>
      </c>
      <c r="AD15" s="142">
        <f t="shared" si="21"/>
        <v>3</v>
      </c>
      <c r="AE15" s="197" cm="1">
        <f t="array" ref="AE15">IF(OR(AC15="DC",AC15="",AD15=0),0,IF(COUNTIF('12p'!$E10:$AB10,"DC")=1,IF(INDEX(Table_11p,IF(AD15=12,1,IF(AD15=10,2,14-AD15)),3)="X",1,INDEX(Table_11p,IF(AD15=12,1,IF(AD15=10,2,14-AD15)),3)),IF(COUNTIF('12p'!$E10:$AB10,"DC")=2,IF(INDEX(Table_10p,IF(AD15=11,1,IF(AD15=9,2,12-AD15)),3)="X",1,INDEX(Table_10p,IF(AD15=11,1,IF(AD15=9,2,12-AD15)),3)),IF(COUNTIF('12p'!$E10:$AB10,"DC")&gt;=3,IF(INDEX(Table_9p_or_less,10-AD15,3)="X",1,INDEX(Table_9p_or_less,10-AD15,3)),0))))</f>
        <v>1</v>
      </c>
      <c r="AF15" s="143">
        <f>IF(AC15&lt;&gt;"DC",0,IF(COUNTIF('12p'!$E10:$AB10,"DC")=1,INDEX(Table_11p,13,3),IF(COUNTIF('12p'!$E10:$AB10,"DC")=2,INDEX(Table_10p,13,3),IF(COUNTIF('12p'!$E10:$AB10,"DC")&gt;=3,INDEX(Table_9p_or_less,13,3),0))))</f>
        <v>0</v>
      </c>
      <c r="AG15" s="189">
        <f t="shared" si="22"/>
        <v>4</v>
      </c>
      <c r="AH15" s="145">
        <f t="shared" si="23"/>
        <v>41</v>
      </c>
      <c r="AI15" s="161" t="str">
        <f t="shared" si="24"/>
        <v>OK</v>
      </c>
      <c r="AJ15" s="127">
        <f>'12p'!O10</f>
        <v>35</v>
      </c>
      <c r="AK15" s="142">
        <f t="shared" si="25"/>
        <v>9</v>
      </c>
      <c r="AL15" s="197" cm="1">
        <f t="array" ref="AL15">IF(OR(AJ15="DC",AJ15="",AK15=0),0,IF(COUNTIF('12p'!$E10:$AB10,"DC")=1,IF(INDEX(Table_11p,IF(AK15=12,1,IF(AK15=10,2,14-AK15)),3)="X",1,INDEX(Table_11p,IF(AK15=12,1,IF(AK15=10,2,14-AK15)),3)),IF(COUNTIF('12p'!$E10:$AB10,"DC")=2,IF(INDEX(Table_10p,IF(AK15=11,1,IF(AK15=9,2,12-AK15)),3)="X",1,INDEX(Table_10p,IF(AK15=11,1,IF(AK15=9,2,12-AK15)),3)),IF(COUNTIF('12p'!$E10:$AB10,"DC")&gt;=3,IF(INDEX(Table_9p_or_less,10-AK15,3)="X",1,INDEX(Table_9p_or_less,10-AK15,3)),0))))</f>
        <v>1</v>
      </c>
      <c r="AM15" s="143">
        <f>IF(AJ15&lt;&gt;"DC",0,IF(COUNTIF('12p'!$E10:$AB10,"DC")=1,INDEX(Table_11p,13,3),IF(COUNTIF('12p'!$E10:$AB10,"DC")=2,INDEX(Table_10p,13,3),IF(COUNTIF('12p'!$E10:$AB10,"DC")&gt;=3,INDEX(Table_9p_or_less,13,3),0))))</f>
        <v>0</v>
      </c>
      <c r="AN15" s="189">
        <f t="shared" si="26"/>
        <v>10</v>
      </c>
      <c r="AO15" s="145">
        <f t="shared" si="27"/>
        <v>36</v>
      </c>
      <c r="AP15" s="161" t="str">
        <f t="shared" si="28"/>
        <v>OK</v>
      </c>
      <c r="AQ15" s="127">
        <f>'12p'!Q10</f>
        <v>34</v>
      </c>
      <c r="AR15" s="142">
        <f t="shared" si="29"/>
        <v>5</v>
      </c>
      <c r="AS15" s="197" cm="1">
        <f t="array" ref="AS15">IF(OR(AQ15="DC",AQ15="",AR15=0),0,IF(COUNTIF('12p'!$E10:$AB10,"DC")=1,IF(INDEX(Table_11p,IF(AR15=12,1,IF(AR15=10,2,14-AR15)),3)="X",1,INDEX(Table_11p,IF(AR15=12,1,IF(AR15=10,2,14-AR15)),3)),IF(COUNTIF('12p'!$E10:$AB10,"DC")=2,IF(INDEX(Table_10p,IF(AR15=11,1,IF(AR15=9,2,12-AR15)),3)="X",1,INDEX(Table_10p,IF(AR15=11,1,IF(AR15=9,2,12-AR15)),3)),IF(COUNTIF('12p'!$E10:$AB10,"DC")&gt;=3,IF(INDEX(Table_9p_or_less,10-AR15,3)="X",1,INDEX(Table_9p_or_less,10-AR15,3)),0))))</f>
        <v>1</v>
      </c>
      <c r="AT15" s="143">
        <f>IF(AQ15&lt;&gt;"DC",0,IF(COUNTIF('12p'!$E10:$AB10,"DC")=1,INDEX(Table_11p,13,3),IF(COUNTIF('12p'!$E10:$AB10,"DC")=2,INDEX(Table_10p,13,3),IF(COUNTIF('12p'!$E10:$AB10,"DC")&gt;=3,INDEX(Table_9p_or_less,13,3),0))))</f>
        <v>0</v>
      </c>
      <c r="AU15" s="189">
        <f t="shared" si="30"/>
        <v>6</v>
      </c>
      <c r="AV15" s="145">
        <f t="shared" si="31"/>
        <v>35</v>
      </c>
      <c r="AW15" s="161" t="str">
        <f t="shared" si="32"/>
        <v>OK</v>
      </c>
      <c r="AX15" s="127">
        <f>'12p'!S10</f>
        <v>31</v>
      </c>
      <c r="AY15" s="142">
        <f t="shared" si="33"/>
        <v>2</v>
      </c>
      <c r="AZ15" s="197" cm="1">
        <f t="array" ref="AZ15">IF(OR(AX15="DC",AX15="",AY15=0),0,IF(COUNTIF('12p'!$E10:$AB10,"DC")=1,IF(INDEX(Table_11p,IF(AY15=12,1,IF(AY15=10,2,14-AY15)),3)="X",1,INDEX(Table_11p,IF(AY15=12,1,IF(AY15=10,2,14-AY15)),3)),IF(COUNTIF('12p'!$E10:$AB10,"DC")=2,IF(INDEX(Table_10p,IF(AY15=11,1,IF(AY15=9,2,12-AY15)),3)="X",1,INDEX(Table_10p,IF(AY15=11,1,IF(AY15=9,2,12-AY15)),3)),IF(COUNTIF('12p'!$E10:$AB10,"DC")&gt;=3,IF(INDEX(Table_9p_or_less,10-AY15,3)="X",1,INDEX(Table_9p_or_less,10-AY15,3)),0))))</f>
        <v>1</v>
      </c>
      <c r="BA15" s="143">
        <f>IF(AX15&lt;&gt;"DC",0,IF(COUNTIF('12p'!$E10:$AB10,"DC")=1,INDEX(Table_11p,13,3),IF(COUNTIF('12p'!$E10:$AB10,"DC")=2,INDEX(Table_10p,13,3),IF(COUNTIF('12p'!$E10:$AB10,"DC")&gt;=3,INDEX(Table_9p_or_less,13,3),0))))</f>
        <v>0</v>
      </c>
      <c r="BB15" s="189">
        <f t="shared" si="34"/>
        <v>3</v>
      </c>
      <c r="BC15" s="145">
        <f t="shared" si="35"/>
        <v>32</v>
      </c>
      <c r="BD15" s="161" t="str">
        <f t="shared" si="36"/>
        <v>OK</v>
      </c>
      <c r="BE15" s="127">
        <f>'12p'!U10</f>
        <v>24</v>
      </c>
      <c r="BF15" s="142">
        <f t="shared" si="37"/>
        <v>7</v>
      </c>
      <c r="BG15" s="197" cm="1">
        <f t="array" ref="BG15">IF(OR(BE15="DC",BE15="",BF15=0),0,IF(COUNTIF('12p'!$E10:$AB10,"DC")=1,IF(INDEX(Table_11p,IF(BF15=12,1,IF(BF15=10,2,14-BF15)),3)="X",1,INDEX(Table_11p,IF(BF15=12,1,IF(BF15=10,2,14-BF15)),3)),IF(COUNTIF('12p'!$E10:$AB10,"DC")=2,IF(INDEX(Table_10p,IF(BF15=11,1,IF(BF15=9,2,12-BF15)),3)="X",1,INDEX(Table_10p,IF(BF15=11,1,IF(BF15=9,2,12-BF15)),3)),IF(COUNTIF('12p'!$E10:$AB10,"DC")&gt;=3,IF(INDEX(Table_9p_or_less,10-BF15,3)="X",1,INDEX(Table_9p_or_less,10-BF15,3)),0))))</f>
        <v>1</v>
      </c>
      <c r="BH15" s="143">
        <f>IF(BE15&lt;&gt;"DC",0,IF(COUNTIF('12p'!$E10:$AB10,"DC")=1,INDEX(Table_11p,13,3),IF(COUNTIF('12p'!$E10:$AB10,"DC")=2,INDEX(Table_10p,13,3),IF(COUNTIF('12p'!$E10:$AB10,"DC")&gt;=3,INDEX(Table_9p_or_less,13,3),0))))</f>
        <v>0</v>
      </c>
      <c r="BI15" s="189">
        <f t="shared" si="38"/>
        <v>8</v>
      </c>
      <c r="BJ15" s="145">
        <f t="shared" si="39"/>
        <v>25</v>
      </c>
      <c r="BK15" s="161" t="str">
        <f t="shared" si="40"/>
        <v>OK</v>
      </c>
      <c r="BL15" s="127" t="str">
        <f>'12p'!W10</f>
        <v>DC</v>
      </c>
      <c r="BM15" s="142">
        <f t="shared" si="41"/>
        <v>0</v>
      </c>
      <c r="BN15" s="197" cm="1">
        <f t="array" ref="BN15">IF(OR(BL15="DC",BL15="",BM15=0),0,IF(COUNTIF('12p'!$E10:$AB10,"DC")=1,IF(INDEX(Table_11p,IF(BM15=12,1,IF(BM15=10,2,14-BM15)),3)="X",1,INDEX(Table_11p,IF(BM15=12,1,IF(BM15=10,2,14-BM15)),3)),IF(COUNTIF('12p'!$E10:$AB10,"DC")=2,IF(INDEX(Table_10p,IF(BM15=11,1,IF(BM15=9,2,12-BM15)),3)="X",1,INDEX(Table_10p,IF(BM15=11,1,IF(BM15=9,2,12-BM15)),3)),IF(COUNTIF('12p'!$E10:$AB10,"DC")&gt;=3,IF(INDEX(Table_9p_or_less,10-BM15,3)="X",1,INDEX(Table_9p_or_less,10-BM15,3)),0))))</f>
        <v>0</v>
      </c>
      <c r="BO15" s="143">
        <f>IF(BL15&lt;&gt;"DC",0,IF(COUNTIF('12p'!$E10:$AB10,"DC")=1,INDEX(Table_11p,13,3),IF(COUNTIF('12p'!$E10:$AB10,"DC")=2,INDEX(Table_10p,13,3),IF(COUNTIF('12p'!$E10:$AB10,"DC")&gt;=3,INDEX(Table_9p_or_less,13,3),0))))</f>
        <v>1</v>
      </c>
      <c r="BP15" s="189">
        <f t="shared" si="42"/>
        <v>1</v>
      </c>
      <c r="BQ15" s="145">
        <f t="shared" si="43"/>
        <v>10</v>
      </c>
      <c r="BR15" s="161" t="str">
        <f t="shared" si="44"/>
        <v>OK</v>
      </c>
      <c r="BS15" s="127">
        <f>'12p'!Y10</f>
        <v>10</v>
      </c>
      <c r="BT15" s="142">
        <f t="shared" si="45"/>
        <v>9</v>
      </c>
      <c r="BU15" s="197" cm="1">
        <f t="array" ref="BU15">IF(OR(BS15="DC",BS15="",BT15=0),0,IF(COUNTIF('12p'!$E10:$AB10,"DC")=1,IF(INDEX(Table_11p,IF(BT15=12,1,IF(BT15=10,2,14-BT15)),3)="X",1,INDEX(Table_11p,IF(BT15=12,1,IF(BT15=10,2,14-BT15)),3)),IF(COUNTIF('12p'!$E10:$AB10,"DC")=2,IF(INDEX(Table_10p,IF(BT15=11,1,IF(BT15=9,2,12-BT15)),3)="X",1,INDEX(Table_10p,IF(BT15=11,1,IF(BT15=9,2,12-BT15)),3)),IF(COUNTIF('12p'!$E10:$AB10,"DC")&gt;=3,IF(INDEX(Table_9p_or_less,10-BT15,3)="X",1,INDEX(Table_9p_or_less,10-BT15,3)),0))))</f>
        <v>1</v>
      </c>
      <c r="BV15" s="143">
        <f>IF(BS15&lt;&gt;"DC",0,IF(COUNTIF('12p'!$E10:$AB10,"DC")=1,INDEX(Table_11p,13,3),IF(COUNTIF('12p'!$E10:$AB10,"DC")=2,INDEX(Table_10p,13,3),IF(COUNTIF('12p'!$E10:$AB10,"DC")&gt;=3,INDEX(Table_9p_or_less,13,3),0))))</f>
        <v>0</v>
      </c>
      <c r="BW15" s="189">
        <f t="shared" si="46"/>
        <v>10</v>
      </c>
      <c r="BX15" s="145">
        <f t="shared" si="47"/>
        <v>22</v>
      </c>
      <c r="BY15" s="161" t="str">
        <f t="shared" si="48"/>
        <v>OK</v>
      </c>
      <c r="BZ15" s="127">
        <f>'12p'!AA10</f>
        <v>27</v>
      </c>
      <c r="CA15" s="142">
        <f t="shared" si="49"/>
        <v>4</v>
      </c>
      <c r="CB15" s="197" cm="1">
        <f t="array" ref="CB15">IF(OR(BZ15="DC",BZ15="",CA15=0),0,IF(COUNTIF('12p'!$E10:$AB10,"DC")=1,IF(INDEX(Table_11p,IF(CA15=12,1,IF(CA15=10,2,14-CA15)),3)="X",1,INDEX(Table_11p,IF(CA15=12,1,IF(CA15=10,2,14-CA15)),3)),IF(COUNTIF('12p'!$E10:$AB10,"DC")=2,IF(INDEX(Table_10p,IF(CA15=11,1,IF(CA15=9,2,12-CA15)),3)="X",1,INDEX(Table_10p,IF(CA15=11,1,IF(CA15=9,2,12-CA15)),3)),IF(COUNTIF('12p'!$E10:$AB10,"DC")&gt;=3,IF(INDEX(Table_9p_or_less,10-CA15,3)="X",1,INDEX(Table_9p_or_less,10-CA15,3)),0))))</f>
        <v>1</v>
      </c>
      <c r="CC15" s="143">
        <f>IF(BZ15&lt;&gt;"DC",0,IF(COUNTIF('12p'!$E10:$AB10,"DC")=1,INDEX(Table_11p,13,3),IF(COUNTIF('12p'!$E10:$AB10,"DC")=2,INDEX(Table_10p,13,3),IF(COUNTIF('12p'!$E10:$AB10,"DC")&gt;=3,INDEX(Table_9p_or_less,13,3),0))))</f>
        <v>0</v>
      </c>
      <c r="CD15" s="189">
        <f t="shared" si="50"/>
        <v>5</v>
      </c>
      <c r="CE15" s="145">
        <f t="shared" si="51"/>
        <v>28</v>
      </c>
      <c r="CF15" s="161" t="str">
        <f t="shared" si="52"/>
        <v>OK</v>
      </c>
      <c r="CG15" s="206">
        <f t="shared" si="4"/>
        <v>66</v>
      </c>
      <c r="CH15" s="108"/>
    </row>
    <row r="16" spans="1:86" x14ac:dyDescent="0.25">
      <c r="A16" s="127">
        <f>'12p'!E11</f>
        <v>41</v>
      </c>
      <c r="B16" s="142">
        <f t="shared" si="5"/>
        <v>6</v>
      </c>
      <c r="C16" s="197" cm="1">
        <f t="array" ref="C16">IF(OR(A16="DC",A16="",B16=0),0,IF(COUNTIF('12p'!$E11:$AB11,"DC")=1,IF(INDEX(Table_11p,IF(B16=12,1,IF(B16=10,2,14-B16)),3)="X",1,INDEX(Table_11p,IF(B16=12,1,IF(B16=10,2,14-B16)),3)),IF(COUNTIF('12p'!$E11:$AB11,"DC")=2,IF(INDEX(Table_10p,IF(B16=11,1,IF(B16=9,2,12-B16)),3)="X",1,INDEX(Table_10p,IF(B16=11,1,IF(B16=9,2,12-B16)),3)),IF(COUNTIF('12p'!$E11:$AB11,"DC")&gt;=3,IF(INDEX(Table_9p_or_less,10-B16,3)="X",1,INDEX(Table_9p_or_less,10-B16,3)),0))))</f>
        <v>2</v>
      </c>
      <c r="D16" s="143">
        <f>IF(A16&lt;&gt;"DC",0,IF(COUNTIF('12p'!$E11:$AB11,"DC")=1,INDEX(Table_11p,13,3),IF(COUNTIF('12p'!$E11:$AB11,"DC")=2,INDEX(Table_10p,13,3),IF(COUNTIF('12p'!$E11:$AB11,"DC")&gt;=3,INDEX(Table_9p_or_less,13,3),0))))</f>
        <v>0</v>
      </c>
      <c r="E16" s="189">
        <f t="shared" si="6"/>
        <v>8</v>
      </c>
      <c r="F16" s="145">
        <f t="shared" si="7"/>
        <v>44</v>
      </c>
      <c r="G16" s="161" t="str">
        <f t="shared" si="8"/>
        <v>OK</v>
      </c>
      <c r="H16" s="127">
        <f>'12p'!G11</f>
        <v>63</v>
      </c>
      <c r="I16" s="142">
        <f t="shared" si="9"/>
        <v>11</v>
      </c>
      <c r="J16" s="197" cm="1">
        <f t="array" ref="J16">IF(OR(H16="DC",H16="",I16=0),0,IF(COUNTIF('12p'!$E11:$AB11,"DC")=1,IF(INDEX(Table_11p,IF(I16=12,1,IF(I16=10,2,14-I16)),3)="X",1,INDEX(Table_11p,IF(I16=12,1,IF(I16=10,2,14-I16)),3)),IF(COUNTIF('12p'!$E11:$AB11,"DC")=2,IF(INDEX(Table_10p,IF(I16=11,1,IF(I16=9,2,12-I16)),3)="X",1,INDEX(Table_10p,IF(I16=11,1,IF(I16=9,2,12-I16)),3)),IF(COUNTIF('12p'!$E11:$AB11,"DC")&gt;=3,IF(INDEX(Table_9p_or_less,10-I16,3)="X",1,INDEX(Table_9p_or_less,10-I16,3)),0))))</f>
        <v>4</v>
      </c>
      <c r="K16" s="143">
        <f>IF(H16&lt;&gt;"DC",0,IF(COUNTIF('12p'!$E11:$AB11,"DC")=1,INDEX(Table_11p,13,3),IF(COUNTIF('12p'!$E11:$AB11,"DC")=2,INDEX(Table_10p,13,3),IF(COUNTIF('12p'!$E11:$AB11,"DC")&gt;=3,INDEX(Table_9p_or_less,13,3),0))))</f>
        <v>0</v>
      </c>
      <c r="L16" s="189">
        <f t="shared" si="10"/>
        <v>15</v>
      </c>
      <c r="M16" s="145">
        <f t="shared" si="11"/>
        <v>68</v>
      </c>
      <c r="N16" s="161" t="str">
        <f t="shared" si="12"/>
        <v>OK</v>
      </c>
      <c r="O16" s="127">
        <f>'12p'!I11</f>
        <v>53</v>
      </c>
      <c r="P16" s="142">
        <f t="shared" si="13"/>
        <v>8</v>
      </c>
      <c r="Q16" s="197" cm="1">
        <f t="array" ref="Q16">IF(OR(O16="DC",O16="",P16=0),0,IF(COUNTIF('12p'!$E11:$AB11,"DC")=1,IF(INDEX(Table_11p,IF(P16=12,1,IF(P16=10,2,14-P16)),3)="X",1,INDEX(Table_11p,IF(P16=12,1,IF(P16=10,2,14-P16)),3)),IF(COUNTIF('12p'!$E11:$AB11,"DC")=2,IF(INDEX(Table_10p,IF(P16=11,1,IF(P16=9,2,12-P16)),3)="X",1,INDEX(Table_10p,IF(P16=11,1,IF(P16=9,2,12-P16)),3)),IF(COUNTIF('12p'!$E11:$AB11,"DC")&gt;=3,IF(INDEX(Table_9p_or_less,10-P16,3)="X",1,INDEX(Table_9p_or_less,10-P16,3)),0))))</f>
        <v>2</v>
      </c>
      <c r="R16" s="143">
        <f>IF(O16&lt;&gt;"DC",0,IF(COUNTIF('12p'!$E11:$AB11,"DC")=1,INDEX(Table_11p,13,3),IF(COUNTIF('12p'!$E11:$AB11,"DC")=2,INDEX(Table_10p,13,3),IF(COUNTIF('12p'!$E11:$AB11,"DC")&gt;=3,INDEX(Table_9p_or_less,13,3),0))))</f>
        <v>0</v>
      </c>
      <c r="S16" s="189">
        <f t="shared" si="14"/>
        <v>10</v>
      </c>
      <c r="T16" s="145">
        <f t="shared" si="15"/>
        <v>56</v>
      </c>
      <c r="U16" s="161" t="str">
        <f t="shared" si="16"/>
        <v>OK</v>
      </c>
      <c r="V16" s="127">
        <f>'12p'!K11</f>
        <v>45</v>
      </c>
      <c r="W16" s="142">
        <f t="shared" si="17"/>
        <v>4</v>
      </c>
      <c r="X16" s="197" cm="1">
        <f t="array" ref="X16">IF(OR(V16="DC",V16="",W16=0),0,IF(COUNTIF('12p'!$E11:$AB11,"DC")=1,IF(INDEX(Table_11p,IF(W16=12,1,IF(W16=10,2,14-W16)),3)="X",1,INDEX(Table_11p,IF(W16=12,1,IF(W16=10,2,14-W16)),3)),IF(COUNTIF('12p'!$E11:$AB11,"DC")=2,IF(INDEX(Table_10p,IF(W16=11,1,IF(W16=9,2,12-W16)),3)="X",1,INDEX(Table_10p,IF(W16=11,1,IF(W16=9,2,12-W16)),3)),IF(COUNTIF('12p'!$E11:$AB11,"DC")&gt;=3,IF(INDEX(Table_9p_or_less,10-W16,3)="X",1,INDEX(Table_9p_or_less,10-W16,3)),0))))</f>
        <v>2</v>
      </c>
      <c r="Y16" s="143">
        <f>IF(V16&lt;&gt;"DC",0,IF(COUNTIF('12p'!$E11:$AB11,"DC")=1,INDEX(Table_11p,13,3),IF(COUNTIF('12p'!$E11:$AB11,"DC")=2,INDEX(Table_10p,13,3),IF(COUNTIF('12p'!$E11:$AB11,"DC")&gt;=3,INDEX(Table_9p_or_less,13,3),0))))</f>
        <v>0</v>
      </c>
      <c r="Z16" s="189">
        <f t="shared" si="18"/>
        <v>6</v>
      </c>
      <c r="AA16" s="145">
        <f t="shared" si="19"/>
        <v>50</v>
      </c>
      <c r="AB16" s="161" t="str">
        <f t="shared" si="20"/>
        <v>OK</v>
      </c>
      <c r="AC16" s="127">
        <f>'12p'!M11</f>
        <v>41</v>
      </c>
      <c r="AD16" s="142">
        <f t="shared" si="21"/>
        <v>1</v>
      </c>
      <c r="AE16" s="197" cm="1">
        <f t="array" ref="AE16">IF(OR(AC16="DC",AC16="",AD16=0),0,IF(COUNTIF('12p'!$E11:$AB11,"DC")=1,IF(INDEX(Table_11p,IF(AD16=12,1,IF(AD16=10,2,14-AD16)),3)="X",1,INDEX(Table_11p,IF(AD16=12,1,IF(AD16=10,2,14-AD16)),3)),IF(COUNTIF('12p'!$E11:$AB11,"DC")=2,IF(INDEX(Table_10p,IF(AD16=11,1,IF(AD16=9,2,12-AD16)),3)="X",1,INDEX(Table_10p,IF(AD16=11,1,IF(AD16=9,2,12-AD16)),3)),IF(COUNTIF('12p'!$E11:$AB11,"DC")&gt;=3,IF(INDEX(Table_9p_or_less,10-AD16,3)="X",1,INDEX(Table_9p_or_less,10-AD16,3)),0))))</f>
        <v>1</v>
      </c>
      <c r="AF16" s="143">
        <f>IF(AC16&lt;&gt;"DC",0,IF(COUNTIF('12p'!$E11:$AB11,"DC")=1,INDEX(Table_11p,13,3),IF(COUNTIF('12p'!$E11:$AB11,"DC")=2,INDEX(Table_10p,13,3),IF(COUNTIF('12p'!$E11:$AB11,"DC")&gt;=3,INDEX(Table_9p_or_less,13,3),0))))</f>
        <v>0</v>
      </c>
      <c r="AG16" s="189">
        <f t="shared" si="22"/>
        <v>2</v>
      </c>
      <c r="AH16" s="145">
        <f t="shared" si="23"/>
        <v>43</v>
      </c>
      <c r="AI16" s="161" t="str">
        <f t="shared" si="24"/>
        <v>OK</v>
      </c>
      <c r="AJ16" s="127" t="str">
        <f>'12p'!O11</f>
        <v>DC</v>
      </c>
      <c r="AK16" s="142">
        <f t="shared" si="25"/>
        <v>0</v>
      </c>
      <c r="AL16" s="197" cm="1">
        <f t="array" ref="AL16">IF(OR(AJ16="DC",AJ16="",AK16=0),0,IF(COUNTIF('12p'!$E11:$AB11,"DC")=1,IF(INDEX(Table_11p,IF(AK16=12,1,IF(AK16=10,2,14-AK16)),3)="X",1,INDEX(Table_11p,IF(AK16=12,1,IF(AK16=10,2,14-AK16)),3)),IF(COUNTIF('12p'!$E11:$AB11,"DC")=2,IF(INDEX(Table_10p,IF(AK16=11,1,IF(AK16=9,2,12-AK16)),3)="X",1,INDEX(Table_10p,IF(AK16=11,1,IF(AK16=9,2,12-AK16)),3)),IF(COUNTIF('12p'!$E11:$AB11,"DC")&gt;=3,IF(INDEX(Table_9p_or_less,10-AK16,3)="X",1,INDEX(Table_9p_or_less,10-AK16,3)),0))))</f>
        <v>0</v>
      </c>
      <c r="AM16" s="143">
        <f>IF(AJ16&lt;&gt;"DC",0,IF(COUNTIF('12p'!$E11:$AB11,"DC")=1,INDEX(Table_11p,13,3),IF(COUNTIF('12p'!$E11:$AB11,"DC")=2,INDEX(Table_10p,13,3),IF(COUNTIF('12p'!$E11:$AB11,"DC")&gt;=3,INDEX(Table_9p_or_less,13,3),0))))</f>
        <v>1</v>
      </c>
      <c r="AN16" s="189">
        <f t="shared" si="26"/>
        <v>1</v>
      </c>
      <c r="AO16" s="145">
        <f t="shared" si="27"/>
        <v>37</v>
      </c>
      <c r="AP16" s="161" t="str">
        <f t="shared" si="28"/>
        <v>OK</v>
      </c>
      <c r="AQ16" s="127">
        <f>'12p'!Q11</f>
        <v>41</v>
      </c>
      <c r="AR16" s="142">
        <f t="shared" si="29"/>
        <v>7</v>
      </c>
      <c r="AS16" s="197" cm="1">
        <f t="array" ref="AS16">IF(OR(AQ16="DC",AQ16="",AR16=0),0,IF(COUNTIF('12p'!$E11:$AB11,"DC")=1,IF(INDEX(Table_11p,IF(AR16=12,1,IF(AR16=10,2,14-AR16)),3)="X",1,INDEX(Table_11p,IF(AR16=12,1,IF(AR16=10,2,14-AR16)),3)),IF(COUNTIF('12p'!$E11:$AB11,"DC")=2,IF(INDEX(Table_10p,IF(AR16=11,1,IF(AR16=9,2,12-AR16)),3)="X",1,INDEX(Table_10p,IF(AR16=11,1,IF(AR16=9,2,12-AR16)),3)),IF(COUNTIF('12p'!$E11:$AB11,"DC")&gt;=3,IF(INDEX(Table_9p_or_less,10-AR16,3)="X",1,INDEX(Table_9p_or_less,10-AR16,3)),0))))</f>
        <v>2</v>
      </c>
      <c r="AT16" s="143">
        <f>IF(AQ16&lt;&gt;"DC",0,IF(COUNTIF('12p'!$E11:$AB11,"DC")=1,INDEX(Table_11p,13,3),IF(COUNTIF('12p'!$E11:$AB11,"DC")=2,INDEX(Table_10p,13,3),IF(COUNTIF('12p'!$E11:$AB11,"DC")&gt;=3,INDEX(Table_9p_or_less,13,3),0))))</f>
        <v>0</v>
      </c>
      <c r="AU16" s="189">
        <f t="shared" si="30"/>
        <v>9</v>
      </c>
      <c r="AV16" s="145">
        <f t="shared" si="31"/>
        <v>44</v>
      </c>
      <c r="AW16" s="161" t="str">
        <f t="shared" si="32"/>
        <v>OK</v>
      </c>
      <c r="AX16" s="127">
        <f>'12p'!S11</f>
        <v>40</v>
      </c>
      <c r="AY16" s="142">
        <f t="shared" si="33"/>
        <v>9</v>
      </c>
      <c r="AZ16" s="197" cm="1">
        <f t="array" ref="AZ16">IF(OR(AX16="DC",AX16="",AY16=0),0,IF(COUNTIF('12p'!$E11:$AB11,"DC")=1,IF(INDEX(Table_11p,IF(AY16=12,1,IF(AY16=10,2,14-AY16)),3)="X",1,INDEX(Table_11p,IF(AY16=12,1,IF(AY16=10,2,14-AY16)),3)),IF(COUNTIF('12p'!$E11:$AB11,"DC")=2,IF(INDEX(Table_10p,IF(AY16=11,1,IF(AY16=9,2,12-AY16)),3)="X",1,INDEX(Table_10p,IF(AY16=11,1,IF(AY16=9,2,12-AY16)),3)),IF(COUNTIF('12p'!$E11:$AB11,"DC")&gt;=3,IF(INDEX(Table_9p_or_less,10-AY16,3)="X",1,INDEX(Table_9p_or_less,10-AY16,3)),0))))</f>
        <v>3</v>
      </c>
      <c r="BA16" s="143">
        <f>IF(AX16&lt;&gt;"DC",0,IF(COUNTIF('12p'!$E11:$AB11,"DC")=1,INDEX(Table_11p,13,3),IF(COUNTIF('12p'!$E11:$AB11,"DC")=2,INDEX(Table_10p,13,3),IF(COUNTIF('12p'!$E11:$AB11,"DC")&gt;=3,INDEX(Table_9p_or_less,13,3),0))))</f>
        <v>0</v>
      </c>
      <c r="BB16" s="189">
        <f t="shared" si="34"/>
        <v>12</v>
      </c>
      <c r="BC16" s="145">
        <f t="shared" si="35"/>
        <v>44</v>
      </c>
      <c r="BD16" s="161" t="str">
        <f t="shared" si="36"/>
        <v>OK</v>
      </c>
      <c r="BE16" s="127">
        <f>'12p'!U11</f>
        <v>27</v>
      </c>
      <c r="BF16" s="142">
        <f t="shared" si="37"/>
        <v>3</v>
      </c>
      <c r="BG16" s="197" cm="1">
        <f t="array" ref="BG16">IF(OR(BE16="DC",BE16="",BF16=0),0,IF(COUNTIF('12p'!$E11:$AB11,"DC")=1,IF(INDEX(Table_11p,IF(BF16=12,1,IF(BF16=10,2,14-BF16)),3)="X",1,INDEX(Table_11p,IF(BF16=12,1,IF(BF16=10,2,14-BF16)),3)),IF(COUNTIF('12p'!$E11:$AB11,"DC")=2,IF(INDEX(Table_10p,IF(BF16=11,1,IF(BF16=9,2,12-BF16)),3)="X",1,INDEX(Table_10p,IF(BF16=11,1,IF(BF16=9,2,12-BF16)),3)),IF(COUNTIF('12p'!$E11:$AB11,"DC")&gt;=3,IF(INDEX(Table_9p_or_less,10-BF16,3)="X",1,INDEX(Table_9p_or_less,10-BF16,3)),0))))</f>
        <v>2</v>
      </c>
      <c r="BH16" s="143">
        <f>IF(BE16&lt;&gt;"DC",0,IF(COUNTIF('12p'!$E11:$AB11,"DC")=1,INDEX(Table_11p,13,3),IF(COUNTIF('12p'!$E11:$AB11,"DC")=2,INDEX(Table_10p,13,3),IF(COUNTIF('12p'!$E11:$AB11,"DC")&gt;=3,INDEX(Table_9p_or_less,13,3),0))))</f>
        <v>0</v>
      </c>
      <c r="BI16" s="189">
        <f t="shared" si="38"/>
        <v>5</v>
      </c>
      <c r="BJ16" s="145">
        <f t="shared" si="39"/>
        <v>30</v>
      </c>
      <c r="BK16" s="161" t="str">
        <f t="shared" si="40"/>
        <v>OK</v>
      </c>
      <c r="BL16" s="127" t="str">
        <f>'12p'!W11</f>
        <v>DC</v>
      </c>
      <c r="BM16" s="142">
        <f t="shared" si="41"/>
        <v>0</v>
      </c>
      <c r="BN16" s="197" cm="1">
        <f t="array" ref="BN16">IF(OR(BL16="DC",BL16="",BM16=0),0,IF(COUNTIF('12p'!$E11:$AB11,"DC")=1,IF(INDEX(Table_11p,IF(BM16=12,1,IF(BM16=10,2,14-BM16)),3)="X",1,INDEX(Table_11p,IF(BM16=12,1,IF(BM16=10,2,14-BM16)),3)),IF(COUNTIF('12p'!$E11:$AB11,"DC")=2,IF(INDEX(Table_10p,IF(BM16=11,1,IF(BM16=9,2,12-BM16)),3)="X",1,INDEX(Table_10p,IF(BM16=11,1,IF(BM16=9,2,12-BM16)),3)),IF(COUNTIF('12p'!$E11:$AB11,"DC")&gt;=3,IF(INDEX(Table_9p_or_less,10-BM16,3)="X",1,INDEX(Table_9p_or_less,10-BM16,3)),0))))</f>
        <v>0</v>
      </c>
      <c r="BO16" s="143">
        <f>IF(BL16&lt;&gt;"DC",0,IF(COUNTIF('12p'!$E11:$AB11,"DC")=1,INDEX(Table_11p,13,3),IF(COUNTIF('12p'!$E11:$AB11,"DC")=2,INDEX(Table_10p,13,3),IF(COUNTIF('12p'!$E11:$AB11,"DC")&gt;=3,INDEX(Table_9p_or_less,13,3),0))))</f>
        <v>1</v>
      </c>
      <c r="BP16" s="189">
        <f t="shared" si="42"/>
        <v>1</v>
      </c>
      <c r="BQ16" s="145">
        <f t="shared" si="43"/>
        <v>11</v>
      </c>
      <c r="BR16" s="161" t="str">
        <f t="shared" si="44"/>
        <v>OK</v>
      </c>
      <c r="BS16" s="127">
        <f>'12p'!Y11</f>
        <v>12</v>
      </c>
      <c r="BT16" s="142">
        <f t="shared" si="45"/>
        <v>2</v>
      </c>
      <c r="BU16" s="197" cm="1">
        <f t="array" ref="BU16">IF(OR(BS16="DC",BS16="",BT16=0),0,IF(COUNTIF('12p'!$E11:$AB11,"DC")=1,IF(INDEX(Table_11p,IF(BT16=12,1,IF(BT16=10,2,14-BT16)),3)="X",1,INDEX(Table_11p,IF(BT16=12,1,IF(BT16=10,2,14-BT16)),3)),IF(COUNTIF('12p'!$E11:$AB11,"DC")=2,IF(INDEX(Table_10p,IF(BT16=11,1,IF(BT16=9,2,12-BT16)),3)="X",1,INDEX(Table_10p,IF(BT16=11,1,IF(BT16=9,2,12-BT16)),3)),IF(COUNTIF('12p'!$E11:$AB11,"DC")&gt;=3,IF(INDEX(Table_9p_or_less,10-BT16,3)="X",1,INDEX(Table_9p_or_less,10-BT16,3)),0))))</f>
        <v>2</v>
      </c>
      <c r="BV16" s="143">
        <f>IF(BS16&lt;&gt;"DC",0,IF(COUNTIF('12p'!$E11:$AB11,"DC")=1,INDEX(Table_11p,13,3),IF(COUNTIF('12p'!$E11:$AB11,"DC")=2,INDEX(Table_10p,13,3),IF(COUNTIF('12p'!$E11:$AB11,"DC")&gt;=3,INDEX(Table_9p_or_less,13,3),0))))</f>
        <v>0</v>
      </c>
      <c r="BW16" s="189">
        <f t="shared" si="46"/>
        <v>4</v>
      </c>
      <c r="BX16" s="145">
        <f t="shared" si="47"/>
        <v>26</v>
      </c>
      <c r="BY16" s="161" t="str">
        <f t="shared" si="48"/>
        <v>OK</v>
      </c>
      <c r="BZ16" s="127">
        <f>'12p'!AA11</f>
        <v>32</v>
      </c>
      <c r="CA16" s="142">
        <f t="shared" si="49"/>
        <v>5</v>
      </c>
      <c r="CB16" s="197" cm="1">
        <f t="array" ref="CB16">IF(OR(BZ16="DC",BZ16="",CA16=0),0,IF(COUNTIF('12p'!$E11:$AB11,"DC")=1,IF(INDEX(Table_11p,IF(CA16=12,1,IF(CA16=10,2,14-CA16)),3)="X",1,INDEX(Table_11p,IF(CA16=12,1,IF(CA16=10,2,14-CA16)),3)),IF(COUNTIF('12p'!$E11:$AB11,"DC")=2,IF(INDEX(Table_10p,IF(CA16=11,1,IF(CA16=9,2,12-CA16)),3)="X",1,INDEX(Table_10p,IF(CA16=11,1,IF(CA16=9,2,12-CA16)),3)),IF(COUNTIF('12p'!$E11:$AB11,"DC")&gt;=3,IF(INDEX(Table_9p_or_less,10-CA16,3)="X",1,INDEX(Table_9p_or_less,10-CA16,3)),0))))</f>
        <v>2</v>
      </c>
      <c r="CC16" s="143">
        <f>IF(BZ16&lt;&gt;"DC",0,IF(COUNTIF('12p'!$E11:$AB11,"DC")=1,INDEX(Table_11p,13,3),IF(COUNTIF('12p'!$E11:$AB11,"DC")=2,INDEX(Table_10p,13,3),IF(COUNTIF('12p'!$E11:$AB11,"DC")&gt;=3,INDEX(Table_9p_or_less,13,3),0))))</f>
        <v>0</v>
      </c>
      <c r="CD16" s="189">
        <f t="shared" si="50"/>
        <v>7</v>
      </c>
      <c r="CE16" s="145">
        <f t="shared" si="51"/>
        <v>35</v>
      </c>
      <c r="CF16" s="161" t="str">
        <f t="shared" si="52"/>
        <v>OK</v>
      </c>
      <c r="CG16" s="206">
        <f t="shared" si="4"/>
        <v>56</v>
      </c>
      <c r="CH16" s="108"/>
    </row>
    <row r="17" spans="1:132" x14ac:dyDescent="0.25">
      <c r="A17" s="127">
        <f>'12p'!E12</f>
        <v>5</v>
      </c>
      <c r="B17" s="142">
        <f t="shared" si="5"/>
        <v>5</v>
      </c>
      <c r="C17" s="197" cm="1">
        <f t="array" ref="C17">IF(OR(A17="DC",A17="",B17=0),0,IF(COUNTIF('12p'!$E12:$AB12,"DC")=1,IF(INDEX(Table_11p,IF(B17=12,1,IF(B17=10,2,14-B17)),3)="X",1,INDEX(Table_11p,IF(B17=12,1,IF(B17=10,2,14-B17)),3)),IF(COUNTIF('12p'!$E12:$AB12,"DC")=2,IF(INDEX(Table_10p,IF(B17=11,1,IF(B17=9,2,12-B17)),3)="X",1,INDEX(Table_10p,IF(B17=11,1,IF(B17=9,2,12-B17)),3)),IF(COUNTIF('12p'!$E12:$AB12,"DC")&gt;=3,IF(INDEX(Table_9p_or_less,10-B17,3)="X",1,INDEX(Table_9p_or_less,10-B17,3)),0))))</f>
        <v>1</v>
      </c>
      <c r="D17" s="143">
        <f>IF(A17&lt;&gt;"DC",0,IF(COUNTIF('12p'!$E12:$AB12,"DC")=1,INDEX(Table_11p,13,3),IF(COUNTIF('12p'!$E12:$AB12,"DC")=2,INDEX(Table_10p,13,3),IF(COUNTIF('12p'!$E12:$AB12,"DC")&gt;=3,INDEX(Table_9p_or_less,13,3),0))))</f>
        <v>0</v>
      </c>
      <c r="E17" s="189">
        <f t="shared" si="6"/>
        <v>6</v>
      </c>
      <c r="F17" s="145">
        <f t="shared" si="7"/>
        <v>50</v>
      </c>
      <c r="G17" s="161" t="str">
        <f t="shared" si="8"/>
        <v>[ALERT] Decreasing score !</v>
      </c>
      <c r="H17" s="127">
        <f>'12p'!G12</f>
        <v>4</v>
      </c>
      <c r="I17" s="142">
        <f t="shared" si="9"/>
        <v>4</v>
      </c>
      <c r="J17" s="197" cm="1">
        <f t="array" ref="J17">IF(OR(H17="DC",H17="",I17=0),0,IF(COUNTIF('12p'!$E12:$AB12,"DC")=1,IF(INDEX(Table_11p,IF(I17=12,1,IF(I17=10,2,14-I17)),3)="X",1,INDEX(Table_11p,IF(I17=12,1,IF(I17=10,2,14-I17)),3)),IF(COUNTIF('12p'!$E12:$AB12,"DC")=2,IF(INDEX(Table_10p,IF(I17=11,1,IF(I17=9,2,12-I17)),3)="X",1,INDEX(Table_10p,IF(I17=11,1,IF(I17=9,2,12-I17)),3)),IF(COUNTIF('12p'!$E12:$AB12,"DC")&gt;=3,IF(INDEX(Table_9p_or_less,10-I17,3)="X",1,INDEX(Table_9p_or_less,10-I17,3)),0))))</f>
        <v>1</v>
      </c>
      <c r="K17" s="143">
        <f>IF(H17&lt;&gt;"DC",0,IF(COUNTIF('12p'!$E12:$AB12,"DC")=1,INDEX(Table_11p,13,3),IF(COUNTIF('12p'!$E12:$AB12,"DC")=2,INDEX(Table_10p,13,3),IF(COUNTIF('12p'!$E12:$AB12,"DC")&gt;=3,INDEX(Table_9p_or_less,13,3),0))))</f>
        <v>0</v>
      </c>
      <c r="L17" s="189">
        <f t="shared" si="10"/>
        <v>5</v>
      </c>
      <c r="M17" s="145">
        <f t="shared" si="11"/>
        <v>73</v>
      </c>
      <c r="N17" s="161" t="str">
        <f t="shared" si="12"/>
        <v>[ALERT] Decreasing score !</v>
      </c>
      <c r="O17" s="127">
        <f>'12p'!I12</f>
        <v>7</v>
      </c>
      <c r="P17" s="142">
        <f t="shared" si="13"/>
        <v>7</v>
      </c>
      <c r="Q17" s="197" cm="1">
        <f t="array" ref="Q17">IF(OR(O17="DC",O17="",P17=0),0,IF(COUNTIF('12p'!$E12:$AB12,"DC")=1,IF(INDEX(Table_11p,IF(P17=12,1,IF(P17=10,2,14-P17)),3)="X",1,INDEX(Table_11p,IF(P17=12,1,IF(P17=10,2,14-P17)),3)),IF(COUNTIF('12p'!$E12:$AB12,"DC")=2,IF(INDEX(Table_10p,IF(P17=11,1,IF(P17=9,2,12-P17)),3)="X",1,INDEX(Table_10p,IF(P17=11,1,IF(P17=9,2,12-P17)),3)),IF(COUNTIF('12p'!$E12:$AB12,"DC")&gt;=3,IF(INDEX(Table_9p_or_less,10-P17,3)="X",1,INDEX(Table_9p_or_less,10-P17,3)),0))))</f>
        <v>1</v>
      </c>
      <c r="R17" s="143">
        <f>IF(O17&lt;&gt;"DC",0,IF(COUNTIF('12p'!$E12:$AB12,"DC")=1,INDEX(Table_11p,13,3),IF(COUNTIF('12p'!$E12:$AB12,"DC")=2,INDEX(Table_10p,13,3),IF(COUNTIF('12p'!$E12:$AB12,"DC")&gt;=3,INDEX(Table_9p_or_less,13,3),0))))</f>
        <v>0</v>
      </c>
      <c r="S17" s="189">
        <f t="shared" si="14"/>
        <v>8</v>
      </c>
      <c r="T17" s="145">
        <f t="shared" si="15"/>
        <v>64</v>
      </c>
      <c r="U17" s="161" t="str">
        <f t="shared" si="16"/>
        <v>[ALERT] Decreasing score !</v>
      </c>
      <c r="V17" s="127">
        <f>'12p'!K12</f>
        <v>8</v>
      </c>
      <c r="W17" s="142">
        <f t="shared" si="17"/>
        <v>8</v>
      </c>
      <c r="X17" s="197" cm="1">
        <f t="array" ref="X17">IF(OR(V17="DC",V17="",W17=0),0,IF(COUNTIF('12p'!$E12:$AB12,"DC")=1,IF(INDEX(Table_11p,IF(W17=12,1,IF(W17=10,2,14-W17)),3)="X",1,INDEX(Table_11p,IF(W17=12,1,IF(W17=10,2,14-W17)),3)),IF(COUNTIF('12p'!$E12:$AB12,"DC")=2,IF(INDEX(Table_10p,IF(W17=11,1,IF(W17=9,2,12-W17)),3)="X",1,INDEX(Table_10p,IF(W17=11,1,IF(W17=9,2,12-W17)),3)),IF(COUNTIF('12p'!$E12:$AB12,"DC")&gt;=3,IF(INDEX(Table_9p_or_less,10-W17,3)="X",1,INDEX(Table_9p_or_less,10-W17,3)),0))))</f>
        <v>1</v>
      </c>
      <c r="Y17" s="143">
        <f>IF(V17&lt;&gt;"DC",0,IF(COUNTIF('12p'!$E12:$AB12,"DC")=1,INDEX(Table_11p,13,3),IF(COUNTIF('12p'!$E12:$AB12,"DC")=2,INDEX(Table_10p,13,3),IF(COUNTIF('12p'!$E12:$AB12,"DC")&gt;=3,INDEX(Table_9p_or_less,13,3),0))))</f>
        <v>0</v>
      </c>
      <c r="Z17" s="189">
        <f t="shared" si="18"/>
        <v>9</v>
      </c>
      <c r="AA17" s="145">
        <f t="shared" si="19"/>
        <v>59</v>
      </c>
      <c r="AB17" s="161" t="str">
        <f t="shared" si="20"/>
        <v>[ALERT] Decreasing score !</v>
      </c>
      <c r="AC17" s="127">
        <f>'12p'!M12</f>
        <v>10</v>
      </c>
      <c r="AD17" s="142">
        <f t="shared" si="21"/>
        <v>10</v>
      </c>
      <c r="AE17" s="197" cm="1">
        <f t="array" ref="AE17">IF(OR(AC17="DC",AC17="",AD17=0),0,IF(COUNTIF('12p'!$E12:$AB12,"DC")=1,IF(INDEX(Table_11p,IF(AD17=12,1,IF(AD17=10,2,14-AD17)),3)="X",1,INDEX(Table_11p,IF(AD17=12,1,IF(AD17=10,2,14-AD17)),3)),IF(COUNTIF('12p'!$E12:$AB12,"DC")=2,IF(INDEX(Table_10p,IF(AD17=11,1,IF(AD17=9,2,12-AD17)),3)="X",1,INDEX(Table_10p,IF(AD17=11,1,IF(AD17=9,2,12-AD17)),3)),IF(COUNTIF('12p'!$E12:$AB12,"DC")&gt;=3,IF(INDEX(Table_9p_or_less,10-AD17,3)="X",1,INDEX(Table_9p_or_less,10-AD17,3)),0))))</f>
        <v>2</v>
      </c>
      <c r="AF17" s="143">
        <f>IF(AC17&lt;&gt;"DC",0,IF(COUNTIF('12p'!$E12:$AB12,"DC")=1,INDEX(Table_11p,13,3),IF(COUNTIF('12p'!$E12:$AB12,"DC")=2,INDEX(Table_10p,13,3),IF(COUNTIF('12p'!$E12:$AB12,"DC")&gt;=3,INDEX(Table_9p_or_less,13,3),0))))</f>
        <v>0</v>
      </c>
      <c r="AG17" s="189">
        <f t="shared" si="22"/>
        <v>12</v>
      </c>
      <c r="AH17" s="145">
        <f t="shared" si="23"/>
        <v>55</v>
      </c>
      <c r="AI17" s="161" t="str">
        <f t="shared" si="24"/>
        <v>[ALERT] Decreasing score !</v>
      </c>
      <c r="AJ17" s="127">
        <f>'12p'!O12</f>
        <v>3</v>
      </c>
      <c r="AK17" s="142">
        <f t="shared" si="25"/>
        <v>3</v>
      </c>
      <c r="AL17" s="197" cm="1">
        <f t="array" ref="AL17">IF(OR(AJ17="DC",AJ17="",AK17=0),0,IF(COUNTIF('12p'!$E12:$AB12,"DC")=1,IF(INDEX(Table_11p,IF(AK17=12,1,IF(AK17=10,2,14-AK17)),3)="X",1,INDEX(Table_11p,IF(AK17=12,1,IF(AK17=10,2,14-AK17)),3)),IF(COUNTIF('12p'!$E12:$AB12,"DC")=2,IF(INDEX(Table_10p,IF(AK17=11,1,IF(AK17=9,2,12-AK17)),3)="X",1,INDEX(Table_10p,IF(AK17=11,1,IF(AK17=9,2,12-AK17)),3)),IF(COUNTIF('12p'!$E12:$AB12,"DC")&gt;=3,IF(INDEX(Table_9p_or_less,10-AK17,3)="X",1,INDEX(Table_9p_or_less,10-AK17,3)),0))))</f>
        <v>1</v>
      </c>
      <c r="AM17" s="143">
        <f>IF(AJ17&lt;&gt;"DC",0,IF(COUNTIF('12p'!$E12:$AB12,"DC")=1,INDEX(Table_11p,13,3),IF(COUNTIF('12p'!$E12:$AB12,"DC")=2,INDEX(Table_10p,13,3),IF(COUNTIF('12p'!$E12:$AB12,"DC")&gt;=3,INDEX(Table_9p_or_less,13,3),0))))</f>
        <v>0</v>
      </c>
      <c r="AN17" s="189">
        <f t="shared" si="26"/>
        <v>4</v>
      </c>
      <c r="AO17" s="145">
        <f t="shared" si="27"/>
        <v>41</v>
      </c>
      <c r="AP17" s="161" t="str">
        <f t="shared" si="28"/>
        <v>[ALERT] Decreasing score !</v>
      </c>
      <c r="AQ17" s="127">
        <f>'12p'!Q12</f>
        <v>6</v>
      </c>
      <c r="AR17" s="142">
        <f t="shared" si="29"/>
        <v>6</v>
      </c>
      <c r="AS17" s="197" cm="1">
        <f t="array" ref="AS17">IF(OR(AQ17="DC",AQ17="",AR17=0),0,IF(COUNTIF('12p'!$E12:$AB12,"DC")=1,IF(INDEX(Table_11p,IF(AR17=12,1,IF(AR17=10,2,14-AR17)),3)="X",1,INDEX(Table_11p,IF(AR17=12,1,IF(AR17=10,2,14-AR17)),3)),IF(COUNTIF('12p'!$E12:$AB12,"DC")=2,IF(INDEX(Table_10p,IF(AR17=11,1,IF(AR17=9,2,12-AR17)),3)="X",1,INDEX(Table_10p,IF(AR17=11,1,IF(AR17=9,2,12-AR17)),3)),IF(COUNTIF('12p'!$E12:$AB12,"DC")&gt;=3,IF(INDEX(Table_9p_or_less,10-AR17,3)="X",1,INDEX(Table_9p_or_less,10-AR17,3)),0))))</f>
        <v>1</v>
      </c>
      <c r="AT17" s="143">
        <f>IF(AQ17&lt;&gt;"DC",0,IF(COUNTIF('12p'!$E12:$AB12,"DC")=1,INDEX(Table_11p,13,3),IF(COUNTIF('12p'!$E12:$AB12,"DC")=2,INDEX(Table_10p,13,3),IF(COUNTIF('12p'!$E12:$AB12,"DC")&gt;=3,INDEX(Table_9p_or_less,13,3),0))))</f>
        <v>0</v>
      </c>
      <c r="AU17" s="189">
        <f t="shared" si="30"/>
        <v>7</v>
      </c>
      <c r="AV17" s="145">
        <f t="shared" si="31"/>
        <v>51</v>
      </c>
      <c r="AW17" s="161" t="str">
        <f t="shared" si="32"/>
        <v>[ALERT] Decreasing score !</v>
      </c>
      <c r="AX17" s="127">
        <f>'12p'!S12</f>
        <v>2</v>
      </c>
      <c r="AY17" s="142">
        <f t="shared" si="33"/>
        <v>2</v>
      </c>
      <c r="AZ17" s="197" cm="1">
        <f t="array" ref="AZ17">IF(OR(AX17="DC",AX17="",AY17=0),0,IF(COUNTIF('12p'!$E12:$AB12,"DC")=1,IF(INDEX(Table_11p,IF(AY17=12,1,IF(AY17=10,2,14-AY17)),3)="X",1,INDEX(Table_11p,IF(AY17=12,1,IF(AY17=10,2,14-AY17)),3)),IF(COUNTIF('12p'!$E12:$AB12,"DC")=2,IF(INDEX(Table_10p,IF(AY17=11,1,IF(AY17=9,2,12-AY17)),3)="X",1,INDEX(Table_10p,IF(AY17=11,1,IF(AY17=9,2,12-AY17)),3)),IF(COUNTIF('12p'!$E12:$AB12,"DC")&gt;=3,IF(INDEX(Table_9p_or_less,10-AY17,3)="X",1,INDEX(Table_9p_or_less,10-AY17,3)),0))))</f>
        <v>1</v>
      </c>
      <c r="BA17" s="143">
        <f>IF(AX17&lt;&gt;"DC",0,IF(COUNTIF('12p'!$E12:$AB12,"DC")=1,INDEX(Table_11p,13,3),IF(COUNTIF('12p'!$E12:$AB12,"DC")=2,INDEX(Table_10p,13,3),IF(COUNTIF('12p'!$E12:$AB12,"DC")&gt;=3,INDEX(Table_9p_or_less,13,3),0))))</f>
        <v>0</v>
      </c>
      <c r="BB17" s="189">
        <f t="shared" si="34"/>
        <v>3</v>
      </c>
      <c r="BC17" s="145">
        <f t="shared" si="35"/>
        <v>47</v>
      </c>
      <c r="BD17" s="161" t="str">
        <f t="shared" si="36"/>
        <v>[ALERT] Decreasing score !</v>
      </c>
      <c r="BE17" s="127">
        <f>'12p'!U12</f>
        <v>1</v>
      </c>
      <c r="BF17" s="142">
        <f t="shared" si="37"/>
        <v>1</v>
      </c>
      <c r="BG17" s="197" cm="1">
        <f t="array" ref="BG17">IF(OR(BE17="DC",BE17="",BF17=0),0,IF(COUNTIF('12p'!$E12:$AB12,"DC")=1,IF(INDEX(Table_11p,IF(BF17=12,1,IF(BF17=10,2,14-BF17)),3)="X",1,INDEX(Table_11p,IF(BF17=12,1,IF(BF17=10,2,14-BF17)),3)),IF(COUNTIF('12p'!$E12:$AB12,"DC")=2,IF(INDEX(Table_10p,IF(BF17=11,1,IF(BF17=9,2,12-BF17)),3)="X",1,INDEX(Table_10p,IF(BF17=11,1,IF(BF17=9,2,12-BF17)),3)),IF(COUNTIF('12p'!$E12:$AB12,"DC")&gt;=3,IF(INDEX(Table_9p_or_less,10-BF17,3)="X",1,INDEX(Table_9p_or_less,10-BF17,3)),0))))</f>
        <v>1</v>
      </c>
      <c r="BH17" s="143">
        <f>IF(BE17&lt;&gt;"DC",0,IF(COUNTIF('12p'!$E12:$AB12,"DC")=1,INDEX(Table_11p,13,3),IF(COUNTIF('12p'!$E12:$AB12,"DC")=2,INDEX(Table_10p,13,3),IF(COUNTIF('12p'!$E12:$AB12,"DC")&gt;=3,INDEX(Table_9p_or_less,13,3),0))))</f>
        <v>0</v>
      </c>
      <c r="BI17" s="189">
        <f t="shared" si="38"/>
        <v>2</v>
      </c>
      <c r="BJ17" s="145">
        <f t="shared" si="39"/>
        <v>32</v>
      </c>
      <c r="BK17" s="161" t="str">
        <f t="shared" si="40"/>
        <v>[ALERT] Decreasing score !</v>
      </c>
      <c r="BL17" s="127" t="str">
        <f>'12p'!W12</f>
        <v>DC</v>
      </c>
      <c r="BM17" s="142">
        <f t="shared" si="41"/>
        <v>0</v>
      </c>
      <c r="BN17" s="197" cm="1">
        <f t="array" ref="BN17">IF(OR(BL17="DC",BL17="",BM17=0),0,IF(COUNTIF('12p'!$E12:$AB12,"DC")=1,IF(INDEX(Table_11p,IF(BM17=12,1,IF(BM17=10,2,14-BM17)),3)="X",1,INDEX(Table_11p,IF(BM17=12,1,IF(BM17=10,2,14-BM17)),3)),IF(COUNTIF('12p'!$E12:$AB12,"DC")=2,IF(INDEX(Table_10p,IF(BM17=11,1,IF(BM17=9,2,12-BM17)),3)="X",1,INDEX(Table_10p,IF(BM17=11,1,IF(BM17=9,2,12-BM17)),3)),IF(COUNTIF('12p'!$E12:$AB12,"DC")&gt;=3,IF(INDEX(Table_9p_or_less,10-BM17,3)="X",1,INDEX(Table_9p_or_less,10-BM17,3)),0))))</f>
        <v>0</v>
      </c>
      <c r="BO17" s="143">
        <f>IF(BL17&lt;&gt;"DC",0,IF(COUNTIF('12p'!$E12:$AB12,"DC")=1,INDEX(Table_11p,13,3),IF(COUNTIF('12p'!$E12:$AB12,"DC")=2,INDEX(Table_10p,13,3),IF(COUNTIF('12p'!$E12:$AB12,"DC")&gt;=3,INDEX(Table_9p_or_less,13,3),0))))</f>
        <v>1</v>
      </c>
      <c r="BP17" s="189">
        <f t="shared" si="42"/>
        <v>1</v>
      </c>
      <c r="BQ17" s="145">
        <f t="shared" si="43"/>
        <v>12</v>
      </c>
      <c r="BR17" s="161" t="str">
        <f t="shared" si="44"/>
        <v>OK</v>
      </c>
      <c r="BS17" s="127">
        <f>'12p'!Y12</f>
        <v>9</v>
      </c>
      <c r="BT17" s="142">
        <f t="shared" si="45"/>
        <v>9</v>
      </c>
      <c r="BU17" s="197" cm="1">
        <f t="array" ref="BU17">IF(OR(BS17="DC",BS17="",BT17=0),0,IF(COUNTIF('12p'!$E12:$AB12,"DC")=1,IF(INDEX(Table_11p,IF(BT17=12,1,IF(BT17=10,2,14-BT17)),3)="X",1,INDEX(Table_11p,IF(BT17=12,1,IF(BT17=10,2,14-BT17)),3)),IF(COUNTIF('12p'!$E12:$AB12,"DC")=2,IF(INDEX(Table_10p,IF(BT17=11,1,IF(BT17=9,2,12-BT17)),3)="X",1,INDEX(Table_10p,IF(BT17=11,1,IF(BT17=9,2,12-BT17)),3)),IF(COUNTIF('12p'!$E12:$AB12,"DC")&gt;=3,IF(INDEX(Table_9p_or_less,10-BT17,3)="X",1,INDEX(Table_9p_or_less,10-BT17,3)),0))))</f>
        <v>1</v>
      </c>
      <c r="BV17" s="143">
        <f>IF(BS17&lt;&gt;"DC",0,IF(COUNTIF('12p'!$E12:$AB12,"DC")=1,INDEX(Table_11p,13,3),IF(COUNTIF('12p'!$E12:$AB12,"DC")=2,INDEX(Table_10p,13,3),IF(COUNTIF('12p'!$E12:$AB12,"DC")&gt;=3,INDEX(Table_9p_or_less,13,3),0))))</f>
        <v>0</v>
      </c>
      <c r="BW17" s="189">
        <f t="shared" si="46"/>
        <v>10</v>
      </c>
      <c r="BX17" s="145">
        <f t="shared" si="47"/>
        <v>36</v>
      </c>
      <c r="BY17" s="161" t="str">
        <f t="shared" si="48"/>
        <v>[ALERT] Decreasing score !</v>
      </c>
      <c r="BZ17" s="127">
        <f>'12p'!AA12</f>
        <v>12</v>
      </c>
      <c r="CA17" s="142">
        <f t="shared" si="49"/>
        <v>12</v>
      </c>
      <c r="CB17" s="197" cm="1">
        <f t="array" ref="CB17">IF(OR(BZ17="DC",BZ17="",CA17=0),0,IF(COUNTIF('12p'!$E12:$AB12,"DC")=1,IF(INDEX(Table_11p,IF(CA17=12,1,IF(CA17=10,2,14-CA17)),3)="X",1,INDEX(Table_11p,IF(CA17=12,1,IF(CA17=10,2,14-CA17)),3)),IF(COUNTIF('12p'!$E12:$AB12,"DC")=2,IF(INDEX(Table_10p,IF(CA17=11,1,IF(CA17=9,2,12-CA17)),3)="X",1,INDEX(Table_10p,IF(CA17=11,1,IF(CA17=9,2,12-CA17)),3)),IF(COUNTIF('12p'!$E12:$AB12,"DC")&gt;=3,IF(INDEX(Table_9p_or_less,10-CA17,3)="X",1,INDEX(Table_9p_or_less,10-CA17,3)),0))))</f>
        <v>3</v>
      </c>
      <c r="CC17" s="143">
        <f>IF(BZ17&lt;&gt;"DC",0,IF(COUNTIF('12p'!$E12:$AB12,"DC")=1,INDEX(Table_11p,13,3),IF(COUNTIF('12p'!$E12:$AB12,"DC")=2,INDEX(Table_10p,13,3),IF(COUNTIF('12p'!$E12:$AB12,"DC")&gt;=3,INDEX(Table_9p_or_less,13,3),0))))</f>
        <v>0</v>
      </c>
      <c r="CD17" s="189">
        <f t="shared" si="50"/>
        <v>15</v>
      </c>
      <c r="CE17" s="145">
        <f t="shared" si="51"/>
        <v>50</v>
      </c>
      <c r="CF17" s="161" t="str">
        <f t="shared" si="52"/>
        <v>[ALERT] Decreasing score !</v>
      </c>
      <c r="CG17" s="206">
        <f t="shared" si="4"/>
        <v>67</v>
      </c>
      <c r="CH17" s="108"/>
    </row>
    <row r="18" spans="1:132" x14ac:dyDescent="0.25">
      <c r="A18" s="127">
        <f>'12p'!E13</f>
        <v>17</v>
      </c>
      <c r="B18" s="142">
        <f t="shared" si="5"/>
        <v>12</v>
      </c>
      <c r="C18" s="197" cm="1">
        <f t="array" ref="C18">IF(OR(A18="DC",A18="",B18=0),0,IF(COUNTIF('12p'!$E13:$AB13,"DC")=1,IF(INDEX(Table_11p,IF(B18=12,1,IF(B18=10,2,14-B18)),3)="X",1,INDEX(Table_11p,IF(B18=12,1,IF(B18=10,2,14-B18)),3)),IF(COUNTIF('12p'!$E13:$AB13,"DC")=2,IF(INDEX(Table_10p,IF(B18=11,1,IF(B18=9,2,12-B18)),3)="X",1,INDEX(Table_10p,IF(B18=11,1,IF(B18=9,2,12-B18)),3)),IF(COUNTIF('12p'!$E13:$AB13,"DC")&gt;=3,IF(INDEX(Table_9p_or_less,10-B18,3)="X",1,INDEX(Table_9p_or_less,10-B18,3)),0))))</f>
        <v>3</v>
      </c>
      <c r="D18" s="143">
        <f>IF(A18&lt;&gt;"DC",0,IF(COUNTIF('12p'!$E13:$AB13,"DC")=1,INDEX(Table_11p,13,3),IF(COUNTIF('12p'!$E13:$AB13,"DC")=2,INDEX(Table_10p,13,3),IF(COUNTIF('12p'!$E13:$AB13,"DC")&gt;=3,INDEX(Table_9p_or_less,13,3),0))))</f>
        <v>0</v>
      </c>
      <c r="E18" s="189">
        <f t="shared" si="6"/>
        <v>15</v>
      </c>
      <c r="F18" s="145">
        <f t="shared" si="7"/>
        <v>65</v>
      </c>
      <c r="G18" s="161" t="str">
        <f t="shared" si="8"/>
        <v>OK</v>
      </c>
      <c r="H18" s="127">
        <f>'12p'!G13</f>
        <v>13</v>
      </c>
      <c r="I18" s="142">
        <f t="shared" si="9"/>
        <v>9</v>
      </c>
      <c r="J18" s="197" cm="1">
        <f t="array" ref="J18">IF(OR(H18="DC",H18="",I18=0),0,IF(COUNTIF('12p'!$E13:$AB13,"DC")=1,IF(INDEX(Table_11p,IF(I18=12,1,IF(I18=10,2,14-I18)),3)="X",1,INDEX(Table_11p,IF(I18=12,1,IF(I18=10,2,14-I18)),3)),IF(COUNTIF('12p'!$E13:$AB13,"DC")=2,IF(INDEX(Table_10p,IF(I18=11,1,IF(I18=9,2,12-I18)),3)="X",1,INDEX(Table_10p,IF(I18=11,1,IF(I18=9,2,12-I18)),3)),IF(COUNTIF('12p'!$E13:$AB13,"DC")&gt;=3,IF(INDEX(Table_9p_or_less,10-I18,3)="X",1,INDEX(Table_9p_or_less,10-I18,3)),0))))</f>
        <v>1</v>
      </c>
      <c r="K18" s="143">
        <f>IF(H18&lt;&gt;"DC",0,IF(COUNTIF('12p'!$E13:$AB13,"DC")=1,INDEX(Table_11p,13,3),IF(COUNTIF('12p'!$E13:$AB13,"DC")=2,INDEX(Table_10p,13,3),IF(COUNTIF('12p'!$E13:$AB13,"DC")&gt;=3,INDEX(Table_9p_or_less,13,3),0))))</f>
        <v>0</v>
      </c>
      <c r="L18" s="189">
        <f t="shared" si="10"/>
        <v>10</v>
      </c>
      <c r="M18" s="145">
        <f t="shared" si="11"/>
        <v>83</v>
      </c>
      <c r="N18" s="161" t="str">
        <f t="shared" si="12"/>
        <v>OK</v>
      </c>
      <c r="O18" s="127">
        <f>'12p'!I13</f>
        <v>12</v>
      </c>
      <c r="P18" s="142">
        <f t="shared" si="13"/>
        <v>5</v>
      </c>
      <c r="Q18" s="197" cm="1">
        <f t="array" ref="Q18">IF(OR(O18="DC",O18="",P18=0),0,IF(COUNTIF('12p'!$E13:$AB13,"DC")=1,IF(INDEX(Table_11p,IF(P18=12,1,IF(P18=10,2,14-P18)),3)="X",1,INDEX(Table_11p,IF(P18=12,1,IF(P18=10,2,14-P18)),3)),IF(COUNTIF('12p'!$E13:$AB13,"DC")=2,IF(INDEX(Table_10p,IF(P18=11,1,IF(P18=9,2,12-P18)),3)="X",1,INDEX(Table_10p,IF(P18=11,1,IF(P18=9,2,12-P18)),3)),IF(COUNTIF('12p'!$E13:$AB13,"DC")&gt;=3,IF(INDEX(Table_9p_or_less,10-P18,3)="X",1,INDEX(Table_9p_or_less,10-P18,3)),0))))</f>
        <v>1</v>
      </c>
      <c r="R18" s="143">
        <f>IF(O18&lt;&gt;"DC",0,IF(COUNTIF('12p'!$E13:$AB13,"DC")=1,INDEX(Table_11p,13,3),IF(COUNTIF('12p'!$E13:$AB13,"DC")=2,INDEX(Table_10p,13,3),IF(COUNTIF('12p'!$E13:$AB13,"DC")&gt;=3,INDEX(Table_9p_or_less,13,3),0))))</f>
        <v>0</v>
      </c>
      <c r="S18" s="189">
        <f t="shared" si="14"/>
        <v>6</v>
      </c>
      <c r="T18" s="145">
        <f t="shared" si="15"/>
        <v>70</v>
      </c>
      <c r="U18" s="161" t="str">
        <f t="shared" si="16"/>
        <v>OK</v>
      </c>
      <c r="V18" s="127">
        <f>'12p'!K13</f>
        <v>14</v>
      </c>
      <c r="W18" s="142">
        <f t="shared" si="17"/>
        <v>6</v>
      </c>
      <c r="X18" s="197" cm="1">
        <f t="array" ref="X18">IF(OR(V18="DC",V18="",W18=0),0,IF(COUNTIF('12p'!$E13:$AB13,"DC")=1,IF(INDEX(Table_11p,IF(W18=12,1,IF(W18=10,2,14-W18)),3)="X",1,INDEX(Table_11p,IF(W18=12,1,IF(W18=10,2,14-W18)),3)),IF(COUNTIF('12p'!$E13:$AB13,"DC")=2,IF(INDEX(Table_10p,IF(W18=11,1,IF(W18=9,2,12-W18)),3)="X",1,INDEX(Table_10p,IF(W18=11,1,IF(W18=9,2,12-W18)),3)),IF(COUNTIF('12p'!$E13:$AB13,"DC")&gt;=3,IF(INDEX(Table_9p_or_less,10-W18,3)="X",1,INDEX(Table_9p_or_less,10-W18,3)),0))))</f>
        <v>1</v>
      </c>
      <c r="Y18" s="143">
        <f>IF(V18&lt;&gt;"DC",0,IF(COUNTIF('12p'!$E13:$AB13,"DC")=1,INDEX(Table_11p,13,3),IF(COUNTIF('12p'!$E13:$AB13,"DC")=2,INDEX(Table_10p,13,3),IF(COUNTIF('12p'!$E13:$AB13,"DC")&gt;=3,INDEX(Table_9p_or_less,13,3),0))))</f>
        <v>0</v>
      </c>
      <c r="Z18" s="189">
        <f t="shared" si="18"/>
        <v>7</v>
      </c>
      <c r="AA18" s="145">
        <f t="shared" si="19"/>
        <v>66</v>
      </c>
      <c r="AB18" s="161" t="str">
        <f t="shared" si="20"/>
        <v>OK</v>
      </c>
      <c r="AC18" s="127">
        <f>'12p'!M13</f>
        <v>18</v>
      </c>
      <c r="AD18" s="142">
        <f t="shared" si="21"/>
        <v>8</v>
      </c>
      <c r="AE18" s="197" cm="1">
        <f t="array" ref="AE18">IF(OR(AC18="DC",AC18="",AD18=0),0,IF(COUNTIF('12p'!$E13:$AB13,"DC")=1,IF(INDEX(Table_11p,IF(AD18=12,1,IF(AD18=10,2,14-AD18)),3)="X",1,INDEX(Table_11p,IF(AD18=12,1,IF(AD18=10,2,14-AD18)),3)),IF(COUNTIF('12p'!$E13:$AB13,"DC")=2,IF(INDEX(Table_10p,IF(AD18=11,1,IF(AD18=9,2,12-AD18)),3)="X",1,INDEX(Table_10p,IF(AD18=11,1,IF(AD18=9,2,12-AD18)),3)),IF(COUNTIF('12p'!$E13:$AB13,"DC")&gt;=3,IF(INDEX(Table_9p_or_less,10-AD18,3)="X",1,INDEX(Table_9p_or_less,10-AD18,3)),0))))</f>
        <v>1</v>
      </c>
      <c r="AF18" s="143">
        <f>IF(AC18&lt;&gt;"DC",0,IF(COUNTIF('12p'!$E13:$AB13,"DC")=1,INDEX(Table_11p,13,3),IF(COUNTIF('12p'!$E13:$AB13,"DC")=2,INDEX(Table_10p,13,3),IF(COUNTIF('12p'!$E13:$AB13,"DC")&gt;=3,INDEX(Table_9p_or_less,13,3),0))))</f>
        <v>0</v>
      </c>
      <c r="AG18" s="189">
        <f t="shared" si="22"/>
        <v>9</v>
      </c>
      <c r="AH18" s="145">
        <f t="shared" si="23"/>
        <v>64</v>
      </c>
      <c r="AI18" s="161" t="str">
        <f t="shared" si="24"/>
        <v>OK</v>
      </c>
      <c r="AJ18" s="127">
        <f>'12p'!O13</f>
        <v>10</v>
      </c>
      <c r="AK18" s="142">
        <f t="shared" si="25"/>
        <v>7</v>
      </c>
      <c r="AL18" s="197" cm="1">
        <f t="array" ref="AL18">IF(OR(AJ18="DC",AJ18="",AK18=0),0,IF(COUNTIF('12p'!$E13:$AB13,"DC")=1,IF(INDEX(Table_11p,IF(AK18=12,1,IF(AK18=10,2,14-AK18)),3)="X",1,INDEX(Table_11p,IF(AK18=12,1,IF(AK18=10,2,14-AK18)),3)),IF(COUNTIF('12p'!$E13:$AB13,"DC")=2,IF(INDEX(Table_10p,IF(AK18=11,1,IF(AK18=9,2,12-AK18)),3)="X",1,INDEX(Table_10p,IF(AK18=11,1,IF(AK18=9,2,12-AK18)),3)),IF(COUNTIF('12p'!$E13:$AB13,"DC")&gt;=3,IF(INDEX(Table_9p_or_less,10-AK18,3)="X",1,INDEX(Table_9p_or_less,10-AK18,3)),0))))</f>
        <v>1</v>
      </c>
      <c r="AM18" s="143">
        <f>IF(AJ18&lt;&gt;"DC",0,IF(COUNTIF('12p'!$E13:$AB13,"DC")=1,INDEX(Table_11p,13,3),IF(COUNTIF('12p'!$E13:$AB13,"DC")=2,INDEX(Table_10p,13,3),IF(COUNTIF('12p'!$E13:$AB13,"DC")&gt;=3,INDEX(Table_9p_or_less,13,3),0))))</f>
        <v>0</v>
      </c>
      <c r="AN18" s="189">
        <f t="shared" si="26"/>
        <v>8</v>
      </c>
      <c r="AO18" s="145">
        <f t="shared" si="27"/>
        <v>49</v>
      </c>
      <c r="AP18" s="161" t="str">
        <f t="shared" si="28"/>
        <v>OK</v>
      </c>
      <c r="AQ18" s="127">
        <f>'12p'!Q13</f>
        <v>10</v>
      </c>
      <c r="AR18" s="142">
        <f t="shared" si="29"/>
        <v>4</v>
      </c>
      <c r="AS18" s="197" cm="1">
        <f t="array" ref="AS18">IF(OR(AQ18="DC",AQ18="",AR18=0),0,IF(COUNTIF('12p'!$E13:$AB13,"DC")=1,IF(INDEX(Table_11p,IF(AR18=12,1,IF(AR18=10,2,14-AR18)),3)="X",1,INDEX(Table_11p,IF(AR18=12,1,IF(AR18=10,2,14-AR18)),3)),IF(COUNTIF('12p'!$E13:$AB13,"DC")=2,IF(INDEX(Table_10p,IF(AR18=11,1,IF(AR18=9,2,12-AR18)),3)="X",1,INDEX(Table_10p,IF(AR18=11,1,IF(AR18=9,2,12-AR18)),3)),IF(COUNTIF('12p'!$E13:$AB13,"DC")&gt;=3,IF(INDEX(Table_9p_or_less,10-AR18,3)="X",1,INDEX(Table_9p_or_less,10-AR18,3)),0))))</f>
        <v>1</v>
      </c>
      <c r="AT18" s="143">
        <f>IF(AQ18&lt;&gt;"DC",0,IF(COUNTIF('12p'!$E13:$AB13,"DC")=1,INDEX(Table_11p,13,3),IF(COUNTIF('12p'!$E13:$AB13,"DC")=2,INDEX(Table_10p,13,3),IF(COUNTIF('12p'!$E13:$AB13,"DC")&gt;=3,INDEX(Table_9p_or_less,13,3),0))))</f>
        <v>0</v>
      </c>
      <c r="AU18" s="189">
        <f t="shared" si="30"/>
        <v>5</v>
      </c>
      <c r="AV18" s="145">
        <f t="shared" si="31"/>
        <v>56</v>
      </c>
      <c r="AW18" s="161" t="str">
        <f t="shared" si="32"/>
        <v>OK</v>
      </c>
      <c r="AX18" s="127">
        <f>'12p'!S13</f>
        <v>4</v>
      </c>
      <c r="AY18" s="142">
        <f t="shared" si="33"/>
        <v>2</v>
      </c>
      <c r="AZ18" s="197" cm="1">
        <f t="array" ref="AZ18">IF(OR(AX18="DC",AX18="",AY18=0),0,IF(COUNTIF('12p'!$E13:$AB13,"DC")=1,IF(INDEX(Table_11p,IF(AY18=12,1,IF(AY18=10,2,14-AY18)),3)="X",1,INDEX(Table_11p,IF(AY18=12,1,IF(AY18=10,2,14-AY18)),3)),IF(COUNTIF('12p'!$E13:$AB13,"DC")=2,IF(INDEX(Table_10p,IF(AY18=11,1,IF(AY18=9,2,12-AY18)),3)="X",1,INDEX(Table_10p,IF(AY18=11,1,IF(AY18=9,2,12-AY18)),3)),IF(COUNTIF('12p'!$E13:$AB13,"DC")&gt;=3,IF(INDEX(Table_9p_or_less,10-AY18,3)="X",1,INDEX(Table_9p_or_less,10-AY18,3)),0))))</f>
        <v>1</v>
      </c>
      <c r="BA18" s="143">
        <f>IF(AX18&lt;&gt;"DC",0,IF(COUNTIF('12p'!$E13:$AB13,"DC")=1,INDEX(Table_11p,13,3),IF(COUNTIF('12p'!$E13:$AB13,"DC")=2,INDEX(Table_10p,13,3),IF(COUNTIF('12p'!$E13:$AB13,"DC")&gt;=3,INDEX(Table_9p_or_less,13,3),0))))</f>
        <v>0</v>
      </c>
      <c r="BB18" s="189">
        <f t="shared" si="34"/>
        <v>3</v>
      </c>
      <c r="BC18" s="145">
        <f t="shared" si="35"/>
        <v>50</v>
      </c>
      <c r="BD18" s="161" t="str">
        <f t="shared" si="36"/>
        <v>OK</v>
      </c>
      <c r="BE18" s="127">
        <f>'12p'!U13</f>
        <v>2</v>
      </c>
      <c r="BF18" s="142">
        <f t="shared" si="37"/>
        <v>1</v>
      </c>
      <c r="BG18" s="197" cm="1">
        <f t="array" ref="BG18">IF(OR(BE18="DC",BE18="",BF18=0),0,IF(COUNTIF('12p'!$E13:$AB13,"DC")=1,IF(INDEX(Table_11p,IF(BF18=12,1,IF(BF18=10,2,14-BF18)),3)="X",1,INDEX(Table_11p,IF(BF18=12,1,IF(BF18=10,2,14-BF18)),3)),IF(COUNTIF('12p'!$E13:$AB13,"DC")=2,IF(INDEX(Table_10p,IF(BF18=11,1,IF(BF18=9,2,12-BF18)),3)="X",1,INDEX(Table_10p,IF(BF18=11,1,IF(BF18=9,2,12-BF18)),3)),IF(COUNTIF('12p'!$E13:$AB13,"DC")&gt;=3,IF(INDEX(Table_9p_or_less,10-BF18,3)="X",1,INDEX(Table_9p_or_less,10-BF18,3)),0))))</f>
        <v>1</v>
      </c>
      <c r="BH18" s="143">
        <f>IF(BE18&lt;&gt;"DC",0,IF(COUNTIF('12p'!$E13:$AB13,"DC")=1,INDEX(Table_11p,13,3),IF(COUNTIF('12p'!$E13:$AB13,"DC")=2,INDEX(Table_10p,13,3),IF(COUNTIF('12p'!$E13:$AB13,"DC")&gt;=3,INDEX(Table_9p_or_less,13,3),0))))</f>
        <v>0</v>
      </c>
      <c r="BI18" s="189">
        <f t="shared" si="38"/>
        <v>2</v>
      </c>
      <c r="BJ18" s="145">
        <f t="shared" si="39"/>
        <v>34</v>
      </c>
      <c r="BK18" s="161" t="str">
        <f t="shared" si="40"/>
        <v>OK</v>
      </c>
      <c r="BL18" s="127" t="str">
        <f>'12p'!W13</f>
        <v>DC</v>
      </c>
      <c r="BM18" s="142">
        <f t="shared" si="41"/>
        <v>0</v>
      </c>
      <c r="BN18" s="197" cm="1">
        <f t="array" ref="BN18">IF(OR(BL18="DC",BL18="",BM18=0),0,IF(COUNTIF('12p'!$E13:$AB13,"DC")=1,IF(INDEX(Table_11p,IF(BM18=12,1,IF(BM18=10,2,14-BM18)),3)="X",1,INDEX(Table_11p,IF(BM18=12,1,IF(BM18=10,2,14-BM18)),3)),IF(COUNTIF('12p'!$E13:$AB13,"DC")=2,IF(INDEX(Table_10p,IF(BM18=11,1,IF(BM18=9,2,12-BM18)),3)="X",1,INDEX(Table_10p,IF(BM18=11,1,IF(BM18=9,2,12-BM18)),3)),IF(COUNTIF('12p'!$E13:$AB13,"DC")&gt;=3,IF(INDEX(Table_9p_or_less,10-BM18,3)="X",1,INDEX(Table_9p_or_less,10-BM18,3)),0))))</f>
        <v>0</v>
      </c>
      <c r="BO18" s="143">
        <f>IF(BL18&lt;&gt;"DC",0,IF(COUNTIF('12p'!$E13:$AB13,"DC")=1,INDEX(Table_11p,13,3),IF(COUNTIF('12p'!$E13:$AB13,"DC")=2,INDEX(Table_10p,13,3),IF(COUNTIF('12p'!$E13:$AB13,"DC")&gt;=3,INDEX(Table_9p_or_less,13,3),0))))</f>
        <v>1</v>
      </c>
      <c r="BP18" s="189">
        <f t="shared" si="42"/>
        <v>1</v>
      </c>
      <c r="BQ18" s="145">
        <f t="shared" si="43"/>
        <v>13</v>
      </c>
      <c r="BR18" s="161" t="str">
        <f t="shared" si="44"/>
        <v>OK</v>
      </c>
      <c r="BS18" s="127">
        <f>'12p'!Y13</f>
        <v>12</v>
      </c>
      <c r="BT18" s="142">
        <f t="shared" si="45"/>
        <v>3</v>
      </c>
      <c r="BU18" s="197" cm="1">
        <f t="array" ref="BU18">IF(OR(BS18="DC",BS18="",BT18=0),0,IF(COUNTIF('12p'!$E13:$AB13,"DC")=1,IF(INDEX(Table_11p,IF(BT18=12,1,IF(BT18=10,2,14-BT18)),3)="X",1,INDEX(Table_11p,IF(BT18=12,1,IF(BT18=10,2,14-BT18)),3)),IF(COUNTIF('12p'!$E13:$AB13,"DC")=2,IF(INDEX(Table_10p,IF(BT18=11,1,IF(BT18=9,2,12-BT18)),3)="X",1,INDEX(Table_10p,IF(BT18=11,1,IF(BT18=9,2,12-BT18)),3)),IF(COUNTIF('12p'!$E13:$AB13,"DC")&gt;=3,IF(INDEX(Table_9p_or_less,10-BT18,3)="X",1,INDEX(Table_9p_or_less,10-BT18,3)),0))))</f>
        <v>1</v>
      </c>
      <c r="BV18" s="143">
        <f>IF(BS18&lt;&gt;"DC",0,IF(COUNTIF('12p'!$E13:$AB13,"DC")=1,INDEX(Table_11p,13,3),IF(COUNTIF('12p'!$E13:$AB13,"DC")=2,INDEX(Table_10p,13,3),IF(COUNTIF('12p'!$E13:$AB13,"DC")&gt;=3,INDEX(Table_9p_or_less,13,3),0))))</f>
        <v>0</v>
      </c>
      <c r="BW18" s="189">
        <f t="shared" si="46"/>
        <v>4</v>
      </c>
      <c r="BX18" s="145">
        <f t="shared" si="47"/>
        <v>40</v>
      </c>
      <c r="BY18" s="161" t="str">
        <f t="shared" si="48"/>
        <v>OK</v>
      </c>
      <c r="BZ18" s="127">
        <f>'12p'!AA13</f>
        <v>22</v>
      </c>
      <c r="CA18" s="142">
        <f t="shared" si="49"/>
        <v>10</v>
      </c>
      <c r="CB18" s="197" cm="1">
        <f t="array" ref="CB18">IF(OR(BZ18="DC",BZ18="",CA18=0),0,IF(COUNTIF('12p'!$E13:$AB13,"DC")=1,IF(INDEX(Table_11p,IF(CA18=12,1,IF(CA18=10,2,14-CA18)),3)="X",1,INDEX(Table_11p,IF(CA18=12,1,IF(CA18=10,2,14-CA18)),3)),IF(COUNTIF('12p'!$E13:$AB13,"DC")=2,IF(INDEX(Table_10p,IF(CA18=11,1,IF(CA18=9,2,12-CA18)),3)="X",1,INDEX(Table_10p,IF(CA18=11,1,IF(CA18=9,2,12-CA18)),3)),IF(COUNTIF('12p'!$E13:$AB13,"DC")&gt;=3,IF(INDEX(Table_9p_or_less,10-CA18,3)="X",1,INDEX(Table_9p_or_less,10-CA18,3)),0))))</f>
        <v>2</v>
      </c>
      <c r="CC18" s="143">
        <f>IF(BZ18&lt;&gt;"DC",0,IF(COUNTIF('12p'!$E13:$AB13,"DC")=1,INDEX(Table_11p,13,3),IF(COUNTIF('12p'!$E13:$AB13,"DC")=2,INDEX(Table_10p,13,3),IF(COUNTIF('12p'!$E13:$AB13,"DC")&gt;=3,INDEX(Table_9p_or_less,13,3),0))))</f>
        <v>0</v>
      </c>
      <c r="CD18" s="189">
        <f t="shared" si="50"/>
        <v>12</v>
      </c>
      <c r="CE18" s="145">
        <f t="shared" si="51"/>
        <v>62</v>
      </c>
      <c r="CF18" s="161" t="str">
        <f t="shared" si="52"/>
        <v>OK</v>
      </c>
      <c r="CG18" s="206">
        <f t="shared" si="4"/>
        <v>67</v>
      </c>
      <c r="CH18" s="108"/>
    </row>
    <row r="19" spans="1:132" x14ac:dyDescent="0.25">
      <c r="A19" s="127">
        <f>'12p'!E14</f>
        <v>26</v>
      </c>
      <c r="B19" s="142">
        <f t="shared" si="5"/>
        <v>9</v>
      </c>
      <c r="C19" s="197" cm="1">
        <f t="array" ref="C19">IF(OR(A19="DC",A19="",B19=0),0,IF(COUNTIF('12p'!$E14:$AB14,"DC")=1,IF(INDEX(Table_11p,IF(B19=12,1,IF(B19=10,2,14-B19)),3)="X",1,INDEX(Table_11p,IF(B19=12,1,IF(B19=10,2,14-B19)),3)),IF(COUNTIF('12p'!$E14:$AB14,"DC")=2,IF(INDEX(Table_10p,IF(B19=11,1,IF(B19=9,2,12-B19)),3)="X",1,INDEX(Table_10p,IF(B19=11,1,IF(B19=9,2,12-B19)),3)),IF(COUNTIF('12p'!$E14:$AB14,"DC")&gt;=3,IF(INDEX(Table_9p_or_less,10-B19,3)="X",1,INDEX(Table_9p_or_less,10-B19,3)),0))))</f>
        <v>1</v>
      </c>
      <c r="D19" s="143">
        <f>IF(A19&lt;&gt;"DC",0,IF(COUNTIF('12p'!$E14:$AB14,"DC")=1,INDEX(Table_11p,13,3),IF(COUNTIF('12p'!$E14:$AB14,"DC")=2,INDEX(Table_10p,13,3),IF(COUNTIF('12p'!$E14:$AB14,"DC")&gt;=3,INDEX(Table_9p_or_less,13,3),0))))</f>
        <v>0</v>
      </c>
      <c r="E19" s="189">
        <f t="shared" si="6"/>
        <v>10</v>
      </c>
      <c r="F19" s="145">
        <f t="shared" si="7"/>
        <v>75</v>
      </c>
      <c r="G19" s="161" t="str">
        <f t="shared" si="8"/>
        <v>OK</v>
      </c>
      <c r="H19" s="127">
        <f>'12p'!G14</f>
        <v>25</v>
      </c>
      <c r="I19" s="142">
        <f t="shared" si="9"/>
        <v>12</v>
      </c>
      <c r="J19" s="197" cm="1">
        <f t="array" ref="J19">IF(OR(H19="DC",H19="",I19=0),0,IF(COUNTIF('12p'!$E14:$AB14,"DC")=1,IF(INDEX(Table_11p,IF(I19=12,1,IF(I19=10,2,14-I19)),3)="X",1,INDEX(Table_11p,IF(I19=12,1,IF(I19=10,2,14-I19)),3)),IF(COUNTIF('12p'!$E14:$AB14,"DC")=2,IF(INDEX(Table_10p,IF(I19=11,1,IF(I19=9,2,12-I19)),3)="X",1,INDEX(Table_10p,IF(I19=11,1,IF(I19=9,2,12-I19)),3)),IF(COUNTIF('12p'!$E14:$AB14,"DC")&gt;=3,IF(INDEX(Table_9p_or_less,10-I19,3)="X",1,INDEX(Table_9p_or_less,10-I19,3)),0))))</f>
        <v>3</v>
      </c>
      <c r="K19" s="143">
        <f>IF(H19&lt;&gt;"DC",0,IF(COUNTIF('12p'!$E14:$AB14,"DC")=1,INDEX(Table_11p,13,3),IF(COUNTIF('12p'!$E14:$AB14,"DC")=2,INDEX(Table_10p,13,3),IF(COUNTIF('12p'!$E14:$AB14,"DC")&gt;=3,INDEX(Table_9p_or_less,13,3),0))))</f>
        <v>0</v>
      </c>
      <c r="L19" s="189">
        <f t="shared" si="10"/>
        <v>15</v>
      </c>
      <c r="M19" s="145">
        <f t="shared" si="11"/>
        <v>98</v>
      </c>
      <c r="N19" s="161" t="str">
        <f t="shared" si="12"/>
        <v>OK</v>
      </c>
      <c r="O19" s="127">
        <f>'12p'!I14</f>
        <v>20</v>
      </c>
      <c r="P19" s="142">
        <f t="shared" si="13"/>
        <v>8</v>
      </c>
      <c r="Q19" s="197" cm="1">
        <f t="array" ref="Q19">IF(OR(O19="DC",O19="",P19=0),0,IF(COUNTIF('12p'!$E14:$AB14,"DC")=1,IF(INDEX(Table_11p,IF(P19=12,1,IF(P19=10,2,14-P19)),3)="X",1,INDEX(Table_11p,IF(P19=12,1,IF(P19=10,2,14-P19)),3)),IF(COUNTIF('12p'!$E14:$AB14,"DC")=2,IF(INDEX(Table_10p,IF(P19=11,1,IF(P19=9,2,12-P19)),3)="X",1,INDEX(Table_10p,IF(P19=11,1,IF(P19=9,2,12-P19)),3)),IF(COUNTIF('12p'!$E14:$AB14,"DC")&gt;=3,IF(INDEX(Table_9p_or_less,10-P19,3)="X",1,INDEX(Table_9p_or_less,10-P19,3)),0))))</f>
        <v>1</v>
      </c>
      <c r="R19" s="143">
        <f>IF(O19&lt;&gt;"DC",0,IF(COUNTIF('12p'!$E14:$AB14,"DC")=1,INDEX(Table_11p,13,3),IF(COUNTIF('12p'!$E14:$AB14,"DC")=2,INDEX(Table_10p,13,3),IF(COUNTIF('12p'!$E14:$AB14,"DC")&gt;=3,INDEX(Table_9p_or_less,13,3),0))))</f>
        <v>0</v>
      </c>
      <c r="S19" s="189">
        <f t="shared" si="14"/>
        <v>9</v>
      </c>
      <c r="T19" s="145">
        <f t="shared" si="15"/>
        <v>79</v>
      </c>
      <c r="U19" s="161" t="str">
        <f t="shared" si="16"/>
        <v>OK</v>
      </c>
      <c r="V19" s="127">
        <f>'12p'!K14</f>
        <v>18</v>
      </c>
      <c r="W19" s="142">
        <f t="shared" si="17"/>
        <v>4</v>
      </c>
      <c r="X19" s="197" cm="1">
        <f t="array" ref="X19">IF(OR(V19="DC",V19="",W19=0),0,IF(COUNTIF('12p'!$E14:$AB14,"DC")=1,IF(INDEX(Table_11p,IF(W19=12,1,IF(W19=10,2,14-W19)),3)="X",1,INDEX(Table_11p,IF(W19=12,1,IF(W19=10,2,14-W19)),3)),IF(COUNTIF('12p'!$E14:$AB14,"DC")=2,IF(INDEX(Table_10p,IF(W19=11,1,IF(W19=9,2,12-W19)),3)="X",1,INDEX(Table_10p,IF(W19=11,1,IF(W19=9,2,12-W19)),3)),IF(COUNTIF('12p'!$E14:$AB14,"DC")&gt;=3,IF(INDEX(Table_9p_or_less,10-W19,3)="X",1,INDEX(Table_9p_or_less,10-W19,3)),0))))</f>
        <v>1</v>
      </c>
      <c r="Y19" s="143">
        <f>IF(V19&lt;&gt;"DC",0,IF(COUNTIF('12p'!$E14:$AB14,"DC")=1,INDEX(Table_11p,13,3),IF(COUNTIF('12p'!$E14:$AB14,"DC")=2,INDEX(Table_10p,13,3),IF(COUNTIF('12p'!$E14:$AB14,"DC")&gt;=3,INDEX(Table_9p_or_less,13,3),0))))</f>
        <v>0</v>
      </c>
      <c r="Z19" s="189">
        <f t="shared" si="18"/>
        <v>5</v>
      </c>
      <c r="AA19" s="145">
        <f t="shared" si="19"/>
        <v>71</v>
      </c>
      <c r="AB19" s="161" t="str">
        <f t="shared" si="20"/>
        <v>OK</v>
      </c>
      <c r="AC19" s="127">
        <f>'12p'!M14</f>
        <v>24</v>
      </c>
      <c r="AD19" s="142">
        <f t="shared" si="21"/>
        <v>6</v>
      </c>
      <c r="AE19" s="197" cm="1">
        <f t="array" ref="AE19">IF(OR(AC19="DC",AC19="",AD19=0),0,IF(COUNTIF('12p'!$E14:$AB14,"DC")=1,IF(INDEX(Table_11p,IF(AD19=12,1,IF(AD19=10,2,14-AD19)),3)="X",1,INDEX(Table_11p,IF(AD19=12,1,IF(AD19=10,2,14-AD19)),3)),IF(COUNTIF('12p'!$E14:$AB14,"DC")=2,IF(INDEX(Table_10p,IF(AD19=11,1,IF(AD19=9,2,12-AD19)),3)="X",1,INDEX(Table_10p,IF(AD19=11,1,IF(AD19=9,2,12-AD19)),3)),IF(COUNTIF('12p'!$E14:$AB14,"DC")&gt;=3,IF(INDEX(Table_9p_or_less,10-AD19,3)="X",1,INDEX(Table_9p_or_less,10-AD19,3)),0))))</f>
        <v>1</v>
      </c>
      <c r="AF19" s="143">
        <f>IF(AC19&lt;&gt;"DC",0,IF(COUNTIF('12p'!$E14:$AB14,"DC")=1,INDEX(Table_11p,13,3),IF(COUNTIF('12p'!$E14:$AB14,"DC")=2,INDEX(Table_10p,13,3),IF(COUNTIF('12p'!$E14:$AB14,"DC")&gt;=3,INDEX(Table_9p_or_less,13,3),0))))</f>
        <v>0</v>
      </c>
      <c r="AG19" s="189">
        <f t="shared" si="22"/>
        <v>7</v>
      </c>
      <c r="AH19" s="145">
        <f t="shared" si="23"/>
        <v>71</v>
      </c>
      <c r="AI19" s="161" t="str">
        <f t="shared" si="24"/>
        <v>OK</v>
      </c>
      <c r="AJ19" s="127">
        <f>'12p'!O14</f>
        <v>13</v>
      </c>
      <c r="AK19" s="142">
        <f t="shared" si="25"/>
        <v>3</v>
      </c>
      <c r="AL19" s="197" cm="1">
        <f t="array" ref="AL19">IF(OR(AJ19="DC",AJ19="",AK19=0),0,IF(COUNTIF('12p'!$E14:$AB14,"DC")=1,IF(INDEX(Table_11p,IF(AK19=12,1,IF(AK19=10,2,14-AK19)),3)="X",1,INDEX(Table_11p,IF(AK19=12,1,IF(AK19=10,2,14-AK19)),3)),IF(COUNTIF('12p'!$E14:$AB14,"DC")=2,IF(INDEX(Table_10p,IF(AK19=11,1,IF(AK19=9,2,12-AK19)),3)="X",1,INDEX(Table_10p,IF(AK19=11,1,IF(AK19=9,2,12-AK19)),3)),IF(COUNTIF('12p'!$E14:$AB14,"DC")&gt;=3,IF(INDEX(Table_9p_or_less,10-AK19,3)="X",1,INDEX(Table_9p_or_less,10-AK19,3)),0))))</f>
        <v>1</v>
      </c>
      <c r="AM19" s="143">
        <f>IF(AJ19&lt;&gt;"DC",0,IF(COUNTIF('12p'!$E14:$AB14,"DC")=1,INDEX(Table_11p,13,3),IF(COUNTIF('12p'!$E14:$AB14,"DC")=2,INDEX(Table_10p,13,3),IF(COUNTIF('12p'!$E14:$AB14,"DC")&gt;=3,INDEX(Table_9p_or_less,13,3),0))))</f>
        <v>0</v>
      </c>
      <c r="AN19" s="189">
        <f t="shared" si="26"/>
        <v>4</v>
      </c>
      <c r="AO19" s="145">
        <f t="shared" si="27"/>
        <v>53</v>
      </c>
      <c r="AP19" s="161" t="str">
        <f t="shared" si="28"/>
        <v>OK</v>
      </c>
      <c r="AQ19" s="127">
        <f>'12p'!Q14</f>
        <v>17</v>
      </c>
      <c r="AR19" s="142">
        <f t="shared" si="29"/>
        <v>7</v>
      </c>
      <c r="AS19" s="197" cm="1">
        <f t="array" ref="AS19">IF(OR(AQ19="DC",AQ19="",AR19=0),0,IF(COUNTIF('12p'!$E14:$AB14,"DC")=1,IF(INDEX(Table_11p,IF(AR19=12,1,IF(AR19=10,2,14-AR19)),3)="X",1,INDEX(Table_11p,IF(AR19=12,1,IF(AR19=10,2,14-AR19)),3)),IF(COUNTIF('12p'!$E14:$AB14,"DC")=2,IF(INDEX(Table_10p,IF(AR19=11,1,IF(AR19=9,2,12-AR19)),3)="X",1,INDEX(Table_10p,IF(AR19=11,1,IF(AR19=9,2,12-AR19)),3)),IF(COUNTIF('12p'!$E14:$AB14,"DC")&gt;=3,IF(INDEX(Table_9p_or_less,10-AR19,3)="X",1,INDEX(Table_9p_or_less,10-AR19,3)),0))))</f>
        <v>1</v>
      </c>
      <c r="AT19" s="143">
        <f>IF(AQ19&lt;&gt;"DC",0,IF(COUNTIF('12p'!$E14:$AB14,"DC")=1,INDEX(Table_11p,13,3),IF(COUNTIF('12p'!$E14:$AB14,"DC")=2,INDEX(Table_10p,13,3),IF(COUNTIF('12p'!$E14:$AB14,"DC")&gt;=3,INDEX(Table_9p_or_less,13,3),0))))</f>
        <v>0</v>
      </c>
      <c r="AU19" s="189">
        <f t="shared" si="30"/>
        <v>8</v>
      </c>
      <c r="AV19" s="145">
        <f t="shared" si="31"/>
        <v>64</v>
      </c>
      <c r="AW19" s="161" t="str">
        <f t="shared" si="32"/>
        <v>OK</v>
      </c>
      <c r="AX19" s="127">
        <f>'12p'!S14</f>
        <v>14</v>
      </c>
      <c r="AY19" s="142">
        <f t="shared" si="33"/>
        <v>10</v>
      </c>
      <c r="AZ19" s="197" cm="1">
        <f t="array" ref="AZ19">IF(OR(AX19="DC",AX19="",AY19=0),0,IF(COUNTIF('12p'!$E14:$AB14,"DC")=1,IF(INDEX(Table_11p,IF(AY19=12,1,IF(AY19=10,2,14-AY19)),3)="X",1,INDEX(Table_11p,IF(AY19=12,1,IF(AY19=10,2,14-AY19)),3)),IF(COUNTIF('12p'!$E14:$AB14,"DC")=2,IF(INDEX(Table_10p,IF(AY19=11,1,IF(AY19=9,2,12-AY19)),3)="X",1,INDEX(Table_10p,IF(AY19=11,1,IF(AY19=9,2,12-AY19)),3)),IF(COUNTIF('12p'!$E14:$AB14,"DC")&gt;=3,IF(INDEX(Table_9p_or_less,10-AY19,3)="X",1,INDEX(Table_9p_or_less,10-AY19,3)),0))))</f>
        <v>2</v>
      </c>
      <c r="BA19" s="143">
        <f>IF(AX19&lt;&gt;"DC",0,IF(COUNTIF('12p'!$E14:$AB14,"DC")=1,INDEX(Table_11p,13,3),IF(COUNTIF('12p'!$E14:$AB14,"DC")=2,INDEX(Table_10p,13,3),IF(COUNTIF('12p'!$E14:$AB14,"DC")&gt;=3,INDEX(Table_9p_or_less,13,3),0))))</f>
        <v>0</v>
      </c>
      <c r="BB19" s="189">
        <f t="shared" si="34"/>
        <v>12</v>
      </c>
      <c r="BC19" s="145">
        <f t="shared" si="35"/>
        <v>62</v>
      </c>
      <c r="BD19" s="161" t="str">
        <f t="shared" si="36"/>
        <v>OK</v>
      </c>
      <c r="BE19" s="127">
        <f>'12p'!U14</f>
        <v>7</v>
      </c>
      <c r="BF19" s="142">
        <f t="shared" si="37"/>
        <v>5</v>
      </c>
      <c r="BG19" s="197" cm="1">
        <f t="array" ref="BG19">IF(OR(BE19="DC",BE19="",BF19=0),0,IF(COUNTIF('12p'!$E14:$AB14,"DC")=1,IF(INDEX(Table_11p,IF(BF19=12,1,IF(BF19=10,2,14-BF19)),3)="X",1,INDEX(Table_11p,IF(BF19=12,1,IF(BF19=10,2,14-BF19)),3)),IF(COUNTIF('12p'!$E14:$AB14,"DC")=2,IF(INDEX(Table_10p,IF(BF19=11,1,IF(BF19=9,2,12-BF19)),3)="X",1,INDEX(Table_10p,IF(BF19=11,1,IF(BF19=9,2,12-BF19)),3)),IF(COUNTIF('12p'!$E14:$AB14,"DC")&gt;=3,IF(INDEX(Table_9p_or_less,10-BF19,3)="X",1,INDEX(Table_9p_or_less,10-BF19,3)),0))))</f>
        <v>1</v>
      </c>
      <c r="BH19" s="143">
        <f>IF(BE19&lt;&gt;"DC",0,IF(COUNTIF('12p'!$E14:$AB14,"DC")=1,INDEX(Table_11p,13,3),IF(COUNTIF('12p'!$E14:$AB14,"DC")=2,INDEX(Table_10p,13,3),IF(COUNTIF('12p'!$E14:$AB14,"DC")&gt;=3,INDEX(Table_9p_or_less,13,3),0))))</f>
        <v>0</v>
      </c>
      <c r="BI19" s="189">
        <f t="shared" si="38"/>
        <v>6</v>
      </c>
      <c r="BJ19" s="145">
        <f t="shared" si="39"/>
        <v>40</v>
      </c>
      <c r="BK19" s="161" t="str">
        <f t="shared" si="40"/>
        <v>OK</v>
      </c>
      <c r="BL19" s="127" t="str">
        <f>'12p'!W14</f>
        <v>DC</v>
      </c>
      <c r="BM19" s="142">
        <f t="shared" si="41"/>
        <v>0</v>
      </c>
      <c r="BN19" s="197" cm="1">
        <f t="array" ref="BN19">IF(OR(BL19="DC",BL19="",BM19=0),0,IF(COUNTIF('12p'!$E14:$AB14,"DC")=1,IF(INDEX(Table_11p,IF(BM19=12,1,IF(BM19=10,2,14-BM19)),3)="X",1,INDEX(Table_11p,IF(BM19=12,1,IF(BM19=10,2,14-BM19)),3)),IF(COUNTIF('12p'!$E14:$AB14,"DC")=2,IF(INDEX(Table_10p,IF(BM19=11,1,IF(BM19=9,2,12-BM19)),3)="X",1,INDEX(Table_10p,IF(BM19=11,1,IF(BM19=9,2,12-BM19)),3)),IF(COUNTIF('12p'!$E14:$AB14,"DC")&gt;=3,IF(INDEX(Table_9p_or_less,10-BM19,3)="X",1,INDEX(Table_9p_or_less,10-BM19,3)),0))))</f>
        <v>0</v>
      </c>
      <c r="BO19" s="143">
        <f>IF(BL19&lt;&gt;"DC",0,IF(COUNTIF('12p'!$E14:$AB14,"DC")=1,INDEX(Table_11p,13,3),IF(COUNTIF('12p'!$E14:$AB14,"DC")=2,INDEX(Table_10p,13,3),IF(COUNTIF('12p'!$E14:$AB14,"DC")&gt;=3,INDEX(Table_9p_or_less,13,3),0))))</f>
        <v>1</v>
      </c>
      <c r="BP19" s="189">
        <f t="shared" si="42"/>
        <v>1</v>
      </c>
      <c r="BQ19" s="145">
        <f t="shared" si="43"/>
        <v>14</v>
      </c>
      <c r="BR19" s="161" t="str">
        <f t="shared" si="44"/>
        <v>OK</v>
      </c>
      <c r="BS19" s="127">
        <f>'12p'!Y14</f>
        <v>14</v>
      </c>
      <c r="BT19" s="142">
        <f t="shared" si="45"/>
        <v>2</v>
      </c>
      <c r="BU19" s="197" cm="1">
        <f t="array" ref="BU19">IF(OR(BS19="DC",BS19="",BT19=0),0,IF(COUNTIF('12p'!$E14:$AB14,"DC")=1,IF(INDEX(Table_11p,IF(BT19=12,1,IF(BT19=10,2,14-BT19)),3)="X",1,INDEX(Table_11p,IF(BT19=12,1,IF(BT19=10,2,14-BT19)),3)),IF(COUNTIF('12p'!$E14:$AB14,"DC")=2,IF(INDEX(Table_10p,IF(BT19=11,1,IF(BT19=9,2,12-BT19)),3)="X",1,INDEX(Table_10p,IF(BT19=11,1,IF(BT19=9,2,12-BT19)),3)),IF(COUNTIF('12p'!$E14:$AB14,"DC")&gt;=3,IF(INDEX(Table_9p_or_less,10-BT19,3)="X",1,INDEX(Table_9p_or_less,10-BT19,3)),0))))</f>
        <v>1</v>
      </c>
      <c r="BV19" s="143">
        <f>IF(BS19&lt;&gt;"DC",0,IF(COUNTIF('12p'!$E14:$AB14,"DC")=1,INDEX(Table_11p,13,3),IF(COUNTIF('12p'!$E14:$AB14,"DC")=2,INDEX(Table_10p,13,3),IF(COUNTIF('12p'!$E14:$AB14,"DC")&gt;=3,INDEX(Table_9p_or_less,13,3),0))))</f>
        <v>0</v>
      </c>
      <c r="BW19" s="189">
        <f t="shared" si="46"/>
        <v>3</v>
      </c>
      <c r="BX19" s="145">
        <f t="shared" si="47"/>
        <v>43</v>
      </c>
      <c r="BY19" s="161" t="str">
        <f t="shared" si="48"/>
        <v>OK</v>
      </c>
      <c r="BZ19" s="127">
        <f>'12p'!AA14</f>
        <v>23</v>
      </c>
      <c r="CA19" s="142">
        <f t="shared" si="49"/>
        <v>1</v>
      </c>
      <c r="CB19" s="197" cm="1">
        <f t="array" ref="CB19">IF(OR(BZ19="DC",BZ19="",CA19=0),0,IF(COUNTIF('12p'!$E14:$AB14,"DC")=1,IF(INDEX(Table_11p,IF(CA19=12,1,IF(CA19=10,2,14-CA19)),3)="X",1,INDEX(Table_11p,IF(CA19=12,1,IF(CA19=10,2,14-CA19)),3)),IF(COUNTIF('12p'!$E14:$AB14,"DC")=2,IF(INDEX(Table_10p,IF(CA19=11,1,IF(CA19=9,2,12-CA19)),3)="X",1,INDEX(Table_10p,IF(CA19=11,1,IF(CA19=9,2,12-CA19)),3)),IF(COUNTIF('12p'!$E14:$AB14,"DC")&gt;=3,IF(INDEX(Table_9p_or_less,10-CA19,3)="X",1,INDEX(Table_9p_or_less,10-CA19,3)),0))))</f>
        <v>1</v>
      </c>
      <c r="CC19" s="143">
        <f>IF(BZ19&lt;&gt;"DC",0,IF(COUNTIF('12p'!$E14:$AB14,"DC")=1,INDEX(Table_11p,13,3),IF(COUNTIF('12p'!$E14:$AB14,"DC")=2,INDEX(Table_10p,13,3),IF(COUNTIF('12p'!$E14:$AB14,"DC")&gt;=3,INDEX(Table_9p_or_less,13,3),0))))</f>
        <v>0</v>
      </c>
      <c r="CD19" s="189">
        <f t="shared" si="50"/>
        <v>2</v>
      </c>
      <c r="CE19" s="145">
        <f t="shared" si="51"/>
        <v>64</v>
      </c>
      <c r="CF19" s="161" t="str">
        <f t="shared" si="52"/>
        <v>OK</v>
      </c>
      <c r="CG19" s="206">
        <f t="shared" si="4"/>
        <v>67</v>
      </c>
      <c r="CH19" s="108"/>
    </row>
    <row r="20" spans="1:132" x14ac:dyDescent="0.25">
      <c r="A20" s="127">
        <f>'12p'!E15</f>
        <v>41</v>
      </c>
      <c r="B20" s="142">
        <f t="shared" si="5"/>
        <v>15</v>
      </c>
      <c r="C20" s="197" cm="1">
        <f t="array" ref="C20">IF(OR(A20="DC",A20="",B20=0),0,IF(COUNTIF('12p'!$E15:$AB15,"DC")=1,IF(INDEX(Table_11p,IF(B20=12,1,IF(B20=10,2,14-B20)),3)="X",1,INDEX(Table_11p,IF(B20=12,1,IF(B20=10,2,14-B20)),3)),IF(COUNTIF('12p'!$E15:$AB15,"DC")=2,IF(INDEX(Table_10p,IF(B20=11,1,IF(B20=9,2,12-B20)),3)="X",1,INDEX(Table_10p,IF(B20=11,1,IF(B20=9,2,12-B20)),3)),IF(COUNTIF('12p'!$E15:$AB15,"DC")&gt;=3,IF(INDEX(Table_9p_or_less,10-B20,3)="X",1,INDEX(Table_9p_or_less,10-B20,3)),0))))</f>
        <v>0</v>
      </c>
      <c r="D20" s="143">
        <f>IF(A20&lt;&gt;"DC",0,IF(COUNTIF('12p'!$E15:$AB15,"DC")=1,INDEX(Table_11p,13,3),IF(COUNTIF('12p'!$E15:$AB15,"DC")=2,INDEX(Table_10p,13,3),IF(COUNTIF('12p'!$E15:$AB15,"DC")&gt;=3,INDEX(Table_9p_or_less,13,3),0))))</f>
        <v>0</v>
      </c>
      <c r="E20" s="189">
        <f t="shared" si="6"/>
        <v>15</v>
      </c>
      <c r="F20" s="145">
        <f t="shared" si="7"/>
        <v>90</v>
      </c>
      <c r="G20" s="161" t="str">
        <f t="shared" si="8"/>
        <v>OK</v>
      </c>
      <c r="H20" s="127">
        <f>'12p'!G15</f>
        <v>31</v>
      </c>
      <c r="I20" s="142">
        <f t="shared" si="9"/>
        <v>6</v>
      </c>
      <c r="J20" s="197" cm="1">
        <f t="array" ref="J20">IF(OR(H20="DC",H20="",I20=0),0,IF(COUNTIF('12p'!$E15:$AB15,"DC")=1,IF(INDEX(Table_11p,IF(I20=12,1,IF(I20=10,2,14-I20)),3)="X",1,INDEX(Table_11p,IF(I20=12,1,IF(I20=10,2,14-I20)),3)),IF(COUNTIF('12p'!$E15:$AB15,"DC")=2,IF(INDEX(Table_10p,IF(I20=11,1,IF(I20=9,2,12-I20)),3)="X",1,INDEX(Table_10p,IF(I20=11,1,IF(I20=9,2,12-I20)),3)),IF(COUNTIF('12p'!$E15:$AB15,"DC")&gt;=3,IF(INDEX(Table_9p_or_less,10-I20,3)="X",1,INDEX(Table_9p_or_less,10-I20,3)),0))))</f>
        <v>0</v>
      </c>
      <c r="K20" s="143">
        <f>IF(H20&lt;&gt;"DC",0,IF(COUNTIF('12p'!$E15:$AB15,"DC")=1,INDEX(Table_11p,13,3),IF(COUNTIF('12p'!$E15:$AB15,"DC")=2,INDEX(Table_10p,13,3),IF(COUNTIF('12p'!$E15:$AB15,"DC")&gt;=3,INDEX(Table_9p_or_less,13,3),0))))</f>
        <v>0</v>
      </c>
      <c r="L20" s="189">
        <f t="shared" si="10"/>
        <v>6</v>
      </c>
      <c r="M20" s="145">
        <f t="shared" si="11"/>
        <v>104</v>
      </c>
      <c r="N20" s="161" t="str">
        <f t="shared" si="12"/>
        <v>OK</v>
      </c>
      <c r="O20" s="127">
        <f>'12p'!I15</f>
        <v>29</v>
      </c>
      <c r="P20" s="142">
        <f t="shared" si="13"/>
        <v>9</v>
      </c>
      <c r="Q20" s="197" cm="1">
        <f t="array" ref="Q20">IF(OR(O20="DC",O20="",P20=0),0,IF(COUNTIF('12p'!$E15:$AB15,"DC")=1,IF(INDEX(Table_11p,IF(P20=12,1,IF(P20=10,2,14-P20)),3)="X",1,INDEX(Table_11p,IF(P20=12,1,IF(P20=10,2,14-P20)),3)),IF(COUNTIF('12p'!$E15:$AB15,"DC")=2,IF(INDEX(Table_10p,IF(P20=11,1,IF(P20=9,2,12-P20)),3)="X",1,INDEX(Table_10p,IF(P20=11,1,IF(P20=9,2,12-P20)),3)),IF(COUNTIF('12p'!$E15:$AB15,"DC")&gt;=3,IF(INDEX(Table_9p_or_less,10-P20,3)="X",1,INDEX(Table_9p_or_less,10-P20,3)),0))))</f>
        <v>0</v>
      </c>
      <c r="R20" s="143">
        <f>IF(O20&lt;&gt;"DC",0,IF(COUNTIF('12p'!$E15:$AB15,"DC")=1,INDEX(Table_11p,13,3),IF(COUNTIF('12p'!$E15:$AB15,"DC")=2,INDEX(Table_10p,13,3),IF(COUNTIF('12p'!$E15:$AB15,"DC")&gt;=3,INDEX(Table_9p_or_less,13,3),0))))</f>
        <v>0</v>
      </c>
      <c r="S20" s="189">
        <f t="shared" si="14"/>
        <v>9</v>
      </c>
      <c r="T20" s="145">
        <f t="shared" si="15"/>
        <v>88</v>
      </c>
      <c r="U20" s="161" t="str">
        <f t="shared" si="16"/>
        <v>OK</v>
      </c>
      <c r="V20" s="127">
        <f>'12p'!K15</f>
        <v>26</v>
      </c>
      <c r="W20" s="142">
        <f t="shared" si="17"/>
        <v>8</v>
      </c>
      <c r="X20" s="197" cm="1">
        <f t="array" ref="X20">IF(OR(V20="DC",V20="",W20=0),0,IF(COUNTIF('12p'!$E15:$AB15,"DC")=1,IF(INDEX(Table_11p,IF(W20=12,1,IF(W20=10,2,14-W20)),3)="X",1,INDEX(Table_11p,IF(W20=12,1,IF(W20=10,2,14-W20)),3)),IF(COUNTIF('12p'!$E15:$AB15,"DC")=2,IF(INDEX(Table_10p,IF(W20=11,1,IF(W20=9,2,12-W20)),3)="X",1,INDEX(Table_10p,IF(W20=11,1,IF(W20=9,2,12-W20)),3)),IF(COUNTIF('12p'!$E15:$AB15,"DC")&gt;=3,IF(INDEX(Table_9p_or_less,10-W20,3)="X",1,INDEX(Table_9p_or_less,10-W20,3)),0))))</f>
        <v>0</v>
      </c>
      <c r="Y20" s="143">
        <f>IF(V20&lt;&gt;"DC",0,IF(COUNTIF('12p'!$E15:$AB15,"DC")=1,INDEX(Table_11p,13,3),IF(COUNTIF('12p'!$E15:$AB15,"DC")=2,INDEX(Table_10p,13,3),IF(COUNTIF('12p'!$E15:$AB15,"DC")&gt;=3,INDEX(Table_9p_or_less,13,3),0))))</f>
        <v>0</v>
      </c>
      <c r="Z20" s="189">
        <f t="shared" si="18"/>
        <v>8</v>
      </c>
      <c r="AA20" s="145">
        <f t="shared" si="19"/>
        <v>79</v>
      </c>
      <c r="AB20" s="161" t="str">
        <f t="shared" si="20"/>
        <v>OK</v>
      </c>
      <c r="AC20" s="127">
        <f>'12p'!M15</f>
        <v>34</v>
      </c>
      <c r="AD20" s="142">
        <f t="shared" si="21"/>
        <v>10</v>
      </c>
      <c r="AE20" s="197" cm="1">
        <f t="array" ref="AE20">IF(OR(AC20="DC",AC20="",AD20=0),0,IF(COUNTIF('12p'!$E15:$AB15,"DC")=1,IF(INDEX(Table_11p,IF(AD20=12,1,IF(AD20=10,2,14-AD20)),3)="X",1,INDEX(Table_11p,IF(AD20=12,1,IF(AD20=10,2,14-AD20)),3)),IF(COUNTIF('12p'!$E15:$AB15,"DC")=2,IF(INDEX(Table_10p,IF(AD20=11,1,IF(AD20=9,2,12-AD20)),3)="X",1,INDEX(Table_10p,IF(AD20=11,1,IF(AD20=9,2,12-AD20)),3)),IF(COUNTIF('12p'!$E15:$AB15,"DC")&gt;=3,IF(INDEX(Table_9p_or_less,10-AD20,3)="X",1,INDEX(Table_9p_or_less,10-AD20,3)),0))))</f>
        <v>0</v>
      </c>
      <c r="AF20" s="143">
        <f>IF(AC20&lt;&gt;"DC",0,IF(COUNTIF('12p'!$E15:$AB15,"DC")=1,INDEX(Table_11p,13,3),IF(COUNTIF('12p'!$E15:$AB15,"DC")=2,INDEX(Table_10p,13,3),IF(COUNTIF('12p'!$E15:$AB15,"DC")&gt;=3,INDEX(Table_9p_or_less,13,3),0))))</f>
        <v>0</v>
      </c>
      <c r="AG20" s="189">
        <f t="shared" si="22"/>
        <v>10</v>
      </c>
      <c r="AH20" s="145">
        <f t="shared" si="23"/>
        <v>81</v>
      </c>
      <c r="AI20" s="161" t="str">
        <f t="shared" si="24"/>
        <v>OK</v>
      </c>
      <c r="AJ20" s="127">
        <f>'12p'!O15</f>
        <v>16</v>
      </c>
      <c r="AK20" s="142">
        <f t="shared" si="25"/>
        <v>3</v>
      </c>
      <c r="AL20" s="197" cm="1">
        <f t="array" ref="AL20">IF(OR(AJ20="DC",AJ20="",AK20=0),0,IF(COUNTIF('12p'!$E15:$AB15,"DC")=1,IF(INDEX(Table_11p,IF(AK20=12,1,IF(AK20=10,2,14-AK20)),3)="X",1,INDEX(Table_11p,IF(AK20=12,1,IF(AK20=10,2,14-AK20)),3)),IF(COUNTIF('12p'!$E15:$AB15,"DC")=2,IF(INDEX(Table_10p,IF(AK20=11,1,IF(AK20=9,2,12-AK20)),3)="X",1,INDEX(Table_10p,IF(AK20=11,1,IF(AK20=9,2,12-AK20)),3)),IF(COUNTIF('12p'!$E15:$AB15,"DC")&gt;=3,IF(INDEX(Table_9p_or_less,10-AK20,3)="X",1,INDEX(Table_9p_or_less,10-AK20,3)),0))))</f>
        <v>0</v>
      </c>
      <c r="AM20" s="143">
        <f>IF(AJ20&lt;&gt;"DC",0,IF(COUNTIF('12p'!$E15:$AB15,"DC")=1,INDEX(Table_11p,13,3),IF(COUNTIF('12p'!$E15:$AB15,"DC")=2,INDEX(Table_10p,13,3),IF(COUNTIF('12p'!$E15:$AB15,"DC")&gt;=3,INDEX(Table_9p_or_less,13,3),0))))</f>
        <v>0</v>
      </c>
      <c r="AN20" s="189">
        <f t="shared" si="26"/>
        <v>3</v>
      </c>
      <c r="AO20" s="145">
        <f t="shared" si="27"/>
        <v>56</v>
      </c>
      <c r="AP20" s="161" t="str">
        <f t="shared" si="28"/>
        <v>OK</v>
      </c>
      <c r="AQ20" s="127">
        <f>'12p'!Q15</f>
        <v>22</v>
      </c>
      <c r="AR20" s="142">
        <f t="shared" si="29"/>
        <v>5</v>
      </c>
      <c r="AS20" s="197" cm="1">
        <f t="array" ref="AS20">IF(OR(AQ20="DC",AQ20="",AR20=0),0,IF(COUNTIF('12p'!$E15:$AB15,"DC")=1,IF(INDEX(Table_11p,IF(AR20=12,1,IF(AR20=10,2,14-AR20)),3)="X",1,INDEX(Table_11p,IF(AR20=12,1,IF(AR20=10,2,14-AR20)),3)),IF(COUNTIF('12p'!$E15:$AB15,"DC")=2,IF(INDEX(Table_10p,IF(AR20=11,1,IF(AR20=9,2,12-AR20)),3)="X",1,INDEX(Table_10p,IF(AR20=11,1,IF(AR20=9,2,12-AR20)),3)),IF(COUNTIF('12p'!$E15:$AB15,"DC")&gt;=3,IF(INDEX(Table_9p_or_less,10-AR20,3)="X",1,INDEX(Table_9p_or_less,10-AR20,3)),0))))</f>
        <v>0</v>
      </c>
      <c r="AT20" s="143">
        <f>IF(AQ20&lt;&gt;"DC",0,IF(COUNTIF('12p'!$E15:$AB15,"DC")=1,INDEX(Table_11p,13,3),IF(COUNTIF('12p'!$E15:$AB15,"DC")=2,INDEX(Table_10p,13,3),IF(COUNTIF('12p'!$E15:$AB15,"DC")&gt;=3,INDEX(Table_9p_or_less,13,3),0))))</f>
        <v>0</v>
      </c>
      <c r="AU20" s="189">
        <f t="shared" si="30"/>
        <v>5</v>
      </c>
      <c r="AV20" s="145">
        <f t="shared" si="31"/>
        <v>69</v>
      </c>
      <c r="AW20" s="161" t="str">
        <f t="shared" si="32"/>
        <v>OK</v>
      </c>
      <c r="AX20" s="127">
        <f>'12p'!S15</f>
        <v>18</v>
      </c>
      <c r="AY20" s="142">
        <f t="shared" si="33"/>
        <v>4</v>
      </c>
      <c r="AZ20" s="197" cm="1">
        <f t="array" ref="AZ20">IF(OR(AX20="DC",AX20="",AY20=0),0,IF(COUNTIF('12p'!$E15:$AB15,"DC")=1,IF(INDEX(Table_11p,IF(AY20=12,1,IF(AY20=10,2,14-AY20)),3)="X",1,INDEX(Table_11p,IF(AY20=12,1,IF(AY20=10,2,14-AY20)),3)),IF(COUNTIF('12p'!$E15:$AB15,"DC")=2,IF(INDEX(Table_10p,IF(AY20=11,1,IF(AY20=9,2,12-AY20)),3)="X",1,INDEX(Table_10p,IF(AY20=11,1,IF(AY20=9,2,12-AY20)),3)),IF(COUNTIF('12p'!$E15:$AB15,"DC")&gt;=3,IF(INDEX(Table_9p_or_less,10-AY20,3)="X",1,INDEX(Table_9p_or_less,10-AY20,3)),0))))</f>
        <v>0</v>
      </c>
      <c r="BA20" s="143">
        <f>IF(AX20&lt;&gt;"DC",0,IF(COUNTIF('12p'!$E15:$AB15,"DC")=1,INDEX(Table_11p,13,3),IF(COUNTIF('12p'!$E15:$AB15,"DC")=2,INDEX(Table_10p,13,3),IF(COUNTIF('12p'!$E15:$AB15,"DC")&gt;=3,INDEX(Table_9p_or_less,13,3),0))))</f>
        <v>0</v>
      </c>
      <c r="BB20" s="189">
        <f t="shared" si="34"/>
        <v>4</v>
      </c>
      <c r="BC20" s="145">
        <f t="shared" si="35"/>
        <v>66</v>
      </c>
      <c r="BD20" s="161" t="str">
        <f t="shared" si="36"/>
        <v>OK</v>
      </c>
      <c r="BE20" s="127">
        <f>'12p'!U15</f>
        <v>8</v>
      </c>
      <c r="BF20" s="142">
        <f t="shared" si="37"/>
        <v>1</v>
      </c>
      <c r="BG20" s="197" cm="1">
        <f t="array" ref="BG20">IF(OR(BE20="DC",BE20="",BF20=0),0,IF(COUNTIF('12p'!$E15:$AB15,"DC")=1,IF(INDEX(Table_11p,IF(BF20=12,1,IF(BF20=10,2,14-BF20)),3)="X",1,INDEX(Table_11p,IF(BF20=12,1,IF(BF20=10,2,14-BF20)),3)),IF(COUNTIF('12p'!$E15:$AB15,"DC")=2,IF(INDEX(Table_10p,IF(BF20=11,1,IF(BF20=9,2,12-BF20)),3)="X",1,INDEX(Table_10p,IF(BF20=11,1,IF(BF20=9,2,12-BF20)),3)),IF(COUNTIF('12p'!$E15:$AB15,"DC")&gt;=3,IF(INDEX(Table_9p_or_less,10-BF20,3)="X",1,INDEX(Table_9p_or_less,10-BF20,3)),0))))</f>
        <v>0</v>
      </c>
      <c r="BH20" s="143">
        <f>IF(BE20&lt;&gt;"DC",0,IF(COUNTIF('12p'!$E15:$AB15,"DC")=1,INDEX(Table_11p,13,3),IF(COUNTIF('12p'!$E15:$AB15,"DC")=2,INDEX(Table_10p,13,3),IF(COUNTIF('12p'!$E15:$AB15,"DC")&gt;=3,INDEX(Table_9p_or_less,13,3),0))))</f>
        <v>0</v>
      </c>
      <c r="BI20" s="189">
        <f t="shared" si="38"/>
        <v>1</v>
      </c>
      <c r="BJ20" s="145">
        <f t="shared" si="39"/>
        <v>41</v>
      </c>
      <c r="BK20" s="161" t="str">
        <f t="shared" si="40"/>
        <v>OK</v>
      </c>
      <c r="BL20" s="127">
        <f>'12p'!W15</f>
        <v>2</v>
      </c>
      <c r="BM20" s="142">
        <f t="shared" si="41"/>
        <v>2</v>
      </c>
      <c r="BN20" s="197" cm="1">
        <f t="array" ref="BN20">IF(OR(BL20="DC",BL20="",BM20=0),0,IF(COUNTIF('12p'!$E15:$AB15,"DC")=1,IF(INDEX(Table_11p,IF(BM20=12,1,IF(BM20=10,2,14-BM20)),3)="X",1,INDEX(Table_11p,IF(BM20=12,1,IF(BM20=10,2,14-BM20)),3)),IF(COUNTIF('12p'!$E15:$AB15,"DC")=2,IF(INDEX(Table_10p,IF(BM20=11,1,IF(BM20=9,2,12-BM20)),3)="X",1,INDEX(Table_10p,IF(BM20=11,1,IF(BM20=9,2,12-BM20)),3)),IF(COUNTIF('12p'!$E15:$AB15,"DC")&gt;=3,IF(INDEX(Table_9p_or_less,10-BM20,3)="X",1,INDEX(Table_9p_or_less,10-BM20,3)),0))))</f>
        <v>0</v>
      </c>
      <c r="BO20" s="143">
        <f>IF(BL20&lt;&gt;"DC",0,IF(COUNTIF('12p'!$E15:$AB15,"DC")=1,INDEX(Table_11p,13,3),IF(COUNTIF('12p'!$E15:$AB15,"DC")=2,INDEX(Table_10p,13,3),IF(COUNTIF('12p'!$E15:$AB15,"DC")&gt;=3,INDEX(Table_9p_or_less,13,3),0))))</f>
        <v>0</v>
      </c>
      <c r="BP20" s="189">
        <f t="shared" si="42"/>
        <v>2</v>
      </c>
      <c r="BQ20" s="145">
        <f t="shared" si="43"/>
        <v>16</v>
      </c>
      <c r="BR20" s="161" t="str">
        <f t="shared" si="44"/>
        <v>[ALERT] Decreasing score !</v>
      </c>
      <c r="BS20" s="127">
        <f>'12p'!Y15</f>
        <v>26</v>
      </c>
      <c r="BT20" s="142">
        <f t="shared" si="45"/>
        <v>12</v>
      </c>
      <c r="BU20" s="197" cm="1">
        <f t="array" ref="BU20">IF(OR(BS20="DC",BS20="",BT20=0),0,IF(COUNTIF('12p'!$E15:$AB15,"DC")=1,IF(INDEX(Table_11p,IF(BT20=12,1,IF(BT20=10,2,14-BT20)),3)="X",1,INDEX(Table_11p,IF(BT20=12,1,IF(BT20=10,2,14-BT20)),3)),IF(COUNTIF('12p'!$E15:$AB15,"DC")=2,IF(INDEX(Table_10p,IF(BT20=11,1,IF(BT20=9,2,12-BT20)),3)="X",1,INDEX(Table_10p,IF(BT20=11,1,IF(BT20=9,2,12-BT20)),3)),IF(COUNTIF('12p'!$E15:$AB15,"DC")&gt;=3,IF(INDEX(Table_9p_or_less,10-BT20,3)="X",1,INDEX(Table_9p_or_less,10-BT20,3)),0))))</f>
        <v>0</v>
      </c>
      <c r="BV20" s="143">
        <f>IF(BS20&lt;&gt;"DC",0,IF(COUNTIF('12p'!$E15:$AB15,"DC")=1,INDEX(Table_11p,13,3),IF(COUNTIF('12p'!$E15:$AB15,"DC")=2,INDEX(Table_10p,13,3),IF(COUNTIF('12p'!$E15:$AB15,"DC")&gt;=3,INDEX(Table_9p_or_less,13,3),0))))</f>
        <v>0</v>
      </c>
      <c r="BW20" s="189">
        <f t="shared" si="46"/>
        <v>12</v>
      </c>
      <c r="BX20" s="145">
        <f t="shared" si="47"/>
        <v>55</v>
      </c>
      <c r="BY20" s="161" t="str">
        <f t="shared" si="48"/>
        <v>OK</v>
      </c>
      <c r="BZ20" s="127">
        <f>'12p'!AA15</f>
        <v>30</v>
      </c>
      <c r="CA20" s="142">
        <f t="shared" si="49"/>
        <v>7</v>
      </c>
      <c r="CB20" s="197" cm="1">
        <f t="array" ref="CB20">IF(OR(BZ20="DC",BZ20="",CA20=0),0,IF(COUNTIF('12p'!$E15:$AB15,"DC")=1,IF(INDEX(Table_11p,IF(CA20=12,1,IF(CA20=10,2,14-CA20)),3)="X",1,INDEX(Table_11p,IF(CA20=12,1,IF(CA20=10,2,14-CA20)),3)),IF(COUNTIF('12p'!$E15:$AB15,"DC")=2,IF(INDEX(Table_10p,IF(CA20=11,1,IF(CA20=9,2,12-CA20)),3)="X",1,INDEX(Table_10p,IF(CA20=11,1,IF(CA20=9,2,12-CA20)),3)),IF(COUNTIF('12p'!$E15:$AB15,"DC")&gt;=3,IF(INDEX(Table_9p_or_less,10-CA20,3)="X",1,INDEX(Table_9p_or_less,10-CA20,3)),0))))</f>
        <v>0</v>
      </c>
      <c r="CC20" s="143">
        <f>IF(BZ20&lt;&gt;"DC",0,IF(COUNTIF('12p'!$E15:$AB15,"DC")=1,INDEX(Table_11p,13,3),IF(COUNTIF('12p'!$E15:$AB15,"DC")=2,INDEX(Table_10p,13,3),IF(COUNTIF('12p'!$E15:$AB15,"DC")&gt;=3,INDEX(Table_9p_or_less,13,3),0))))</f>
        <v>0</v>
      </c>
      <c r="CD20" s="189">
        <f t="shared" si="50"/>
        <v>7</v>
      </c>
      <c r="CE20" s="145">
        <f t="shared" si="51"/>
        <v>71</v>
      </c>
      <c r="CF20" s="161" t="str">
        <f t="shared" si="52"/>
        <v>OK</v>
      </c>
      <c r="CG20" s="206">
        <f t="shared" si="4"/>
        <v>82</v>
      </c>
      <c r="CH20" s="108"/>
    </row>
    <row r="21" spans="1:132" x14ac:dyDescent="0.25">
      <c r="A21" s="127">
        <f>'12p'!E16</f>
        <v>44</v>
      </c>
      <c r="B21" s="142">
        <f t="shared" si="5"/>
        <v>3</v>
      </c>
      <c r="C21" s="197" cm="1">
        <f t="array" ref="C21">IF(OR(A21="DC",A21="",B21=0),0,IF(COUNTIF('12p'!$E16:$AB16,"DC")=1,IF(INDEX(Table_11p,IF(B21=12,1,IF(B21=10,2,14-B21)),3)="X",1,INDEX(Table_11p,IF(B21=12,1,IF(B21=10,2,14-B21)),3)),IF(COUNTIF('12p'!$E16:$AB16,"DC")=2,IF(INDEX(Table_10p,IF(B21=11,1,IF(B21=9,2,12-B21)),3)="X",1,INDEX(Table_10p,IF(B21=11,1,IF(B21=9,2,12-B21)),3)),IF(COUNTIF('12p'!$E16:$AB16,"DC")&gt;=3,IF(INDEX(Table_9p_or_less,10-B21,3)="X",1,INDEX(Table_9p_or_less,10-B21,3)),0))))</f>
        <v>0</v>
      </c>
      <c r="D21" s="143">
        <f>IF(A21&lt;&gt;"DC",0,IF(COUNTIF('12p'!$E16:$AB16,"DC")=1,INDEX(Table_11p,13,3),IF(COUNTIF('12p'!$E16:$AB16,"DC")=2,INDEX(Table_10p,13,3),IF(COUNTIF('12p'!$E16:$AB16,"DC")&gt;=3,INDEX(Table_9p_or_less,13,3),0))))</f>
        <v>0</v>
      </c>
      <c r="E21" s="189">
        <f t="shared" si="6"/>
        <v>3</v>
      </c>
      <c r="F21" s="145">
        <f t="shared" si="7"/>
        <v>93</v>
      </c>
      <c r="G21" s="161" t="str">
        <f t="shared" si="8"/>
        <v>OK</v>
      </c>
      <c r="H21" s="127">
        <f>'12p'!G16</f>
        <v>46</v>
      </c>
      <c r="I21" s="142">
        <f t="shared" si="9"/>
        <v>15</v>
      </c>
      <c r="J21" s="197" cm="1">
        <f t="array" ref="J21">IF(OR(H21="DC",H21="",I21=0),0,IF(COUNTIF('12p'!$E16:$AB16,"DC")=1,IF(INDEX(Table_11p,IF(I21=12,1,IF(I21=10,2,14-I21)),3)="X",1,INDEX(Table_11p,IF(I21=12,1,IF(I21=10,2,14-I21)),3)),IF(COUNTIF('12p'!$E16:$AB16,"DC")=2,IF(INDEX(Table_10p,IF(I21=11,1,IF(I21=9,2,12-I21)),3)="X",1,INDEX(Table_10p,IF(I21=11,1,IF(I21=9,2,12-I21)),3)),IF(COUNTIF('12p'!$E16:$AB16,"DC")&gt;=3,IF(INDEX(Table_9p_or_less,10-I21,3)="X",1,INDEX(Table_9p_or_less,10-I21,3)),0))))</f>
        <v>0</v>
      </c>
      <c r="K21" s="143">
        <f>IF(H21&lt;&gt;"DC",0,IF(COUNTIF('12p'!$E16:$AB16,"DC")=1,INDEX(Table_11p,13,3),IF(COUNTIF('12p'!$E16:$AB16,"DC")=2,INDEX(Table_10p,13,3),IF(COUNTIF('12p'!$E16:$AB16,"DC")&gt;=3,INDEX(Table_9p_or_less,13,3),0))))</f>
        <v>0</v>
      </c>
      <c r="L21" s="189">
        <f t="shared" si="10"/>
        <v>15</v>
      </c>
      <c r="M21" s="145">
        <f t="shared" si="11"/>
        <v>119</v>
      </c>
      <c r="N21" s="161" t="str">
        <f t="shared" si="12"/>
        <v>OK</v>
      </c>
      <c r="O21" s="127">
        <f>'12p'!I16</f>
        <v>34</v>
      </c>
      <c r="P21" s="142">
        <f t="shared" si="13"/>
        <v>5</v>
      </c>
      <c r="Q21" s="197" cm="1">
        <f t="array" ref="Q21">IF(OR(O21="DC",O21="",P21=0),0,IF(COUNTIF('12p'!$E16:$AB16,"DC")=1,IF(INDEX(Table_11p,IF(P21=12,1,IF(P21=10,2,14-P21)),3)="X",1,INDEX(Table_11p,IF(P21=12,1,IF(P21=10,2,14-P21)),3)),IF(COUNTIF('12p'!$E16:$AB16,"DC")=2,IF(INDEX(Table_10p,IF(P21=11,1,IF(P21=9,2,12-P21)),3)="X",1,INDEX(Table_10p,IF(P21=11,1,IF(P21=9,2,12-P21)),3)),IF(COUNTIF('12p'!$E16:$AB16,"DC")&gt;=3,IF(INDEX(Table_9p_or_less,10-P21,3)="X",1,INDEX(Table_9p_or_less,10-P21,3)),0))))</f>
        <v>0</v>
      </c>
      <c r="R21" s="143">
        <f>IF(O21&lt;&gt;"DC",0,IF(COUNTIF('12p'!$E16:$AB16,"DC")=1,INDEX(Table_11p,13,3),IF(COUNTIF('12p'!$E16:$AB16,"DC")=2,INDEX(Table_10p,13,3),IF(COUNTIF('12p'!$E16:$AB16,"DC")&gt;=3,INDEX(Table_9p_or_less,13,3),0))))</f>
        <v>0</v>
      </c>
      <c r="S21" s="189">
        <f t="shared" si="14"/>
        <v>5</v>
      </c>
      <c r="T21" s="145">
        <f t="shared" si="15"/>
        <v>93</v>
      </c>
      <c r="U21" s="161" t="str">
        <f t="shared" si="16"/>
        <v>OK</v>
      </c>
      <c r="V21" s="127">
        <f>'12p'!K16</f>
        <v>38</v>
      </c>
      <c r="W21" s="142">
        <f t="shared" si="17"/>
        <v>12</v>
      </c>
      <c r="X21" s="197" cm="1">
        <f t="array" ref="X21">IF(OR(V21="DC",V21="",W21=0),0,IF(COUNTIF('12p'!$E16:$AB16,"DC")=1,IF(INDEX(Table_11p,IF(W21=12,1,IF(W21=10,2,14-W21)),3)="X",1,INDEX(Table_11p,IF(W21=12,1,IF(W21=10,2,14-W21)),3)),IF(COUNTIF('12p'!$E16:$AB16,"DC")=2,IF(INDEX(Table_10p,IF(W21=11,1,IF(W21=9,2,12-W21)),3)="X",1,INDEX(Table_10p,IF(W21=11,1,IF(W21=9,2,12-W21)),3)),IF(COUNTIF('12p'!$E16:$AB16,"DC")&gt;=3,IF(INDEX(Table_9p_or_less,10-W21,3)="X",1,INDEX(Table_9p_or_less,10-W21,3)),0))))</f>
        <v>0</v>
      </c>
      <c r="Y21" s="143">
        <f>IF(V21&lt;&gt;"DC",0,IF(COUNTIF('12p'!$E16:$AB16,"DC")=1,INDEX(Table_11p,13,3),IF(COUNTIF('12p'!$E16:$AB16,"DC")=2,INDEX(Table_10p,13,3),IF(COUNTIF('12p'!$E16:$AB16,"DC")&gt;=3,INDEX(Table_9p_or_less,13,3),0))))</f>
        <v>0</v>
      </c>
      <c r="Z21" s="189">
        <f t="shared" si="18"/>
        <v>12</v>
      </c>
      <c r="AA21" s="145">
        <f t="shared" si="19"/>
        <v>91</v>
      </c>
      <c r="AB21" s="161" t="str">
        <f t="shared" si="20"/>
        <v>OK</v>
      </c>
      <c r="AC21" s="127">
        <f>'12p'!M16</f>
        <v>43</v>
      </c>
      <c r="AD21" s="142">
        <f t="shared" si="21"/>
        <v>9</v>
      </c>
      <c r="AE21" s="197" cm="1">
        <f t="array" ref="AE21">IF(OR(AC21="DC",AC21="",AD21=0),0,IF(COUNTIF('12p'!$E16:$AB16,"DC")=1,IF(INDEX(Table_11p,IF(AD21=12,1,IF(AD21=10,2,14-AD21)),3)="X",1,INDEX(Table_11p,IF(AD21=12,1,IF(AD21=10,2,14-AD21)),3)),IF(COUNTIF('12p'!$E16:$AB16,"DC")=2,IF(INDEX(Table_10p,IF(AD21=11,1,IF(AD21=9,2,12-AD21)),3)="X",1,INDEX(Table_10p,IF(AD21=11,1,IF(AD21=9,2,12-AD21)),3)),IF(COUNTIF('12p'!$E16:$AB16,"DC")&gt;=3,IF(INDEX(Table_9p_or_less,10-AD21,3)="X",1,INDEX(Table_9p_or_less,10-AD21,3)),0))))</f>
        <v>0</v>
      </c>
      <c r="AF21" s="143">
        <f>IF(AC21&lt;&gt;"DC",0,IF(COUNTIF('12p'!$E16:$AB16,"DC")=1,INDEX(Table_11p,13,3),IF(COUNTIF('12p'!$E16:$AB16,"DC")=2,INDEX(Table_10p,13,3),IF(COUNTIF('12p'!$E16:$AB16,"DC")&gt;=3,INDEX(Table_9p_or_less,13,3),0))))</f>
        <v>0</v>
      </c>
      <c r="AG21" s="189">
        <f t="shared" si="22"/>
        <v>9</v>
      </c>
      <c r="AH21" s="145">
        <f t="shared" si="23"/>
        <v>90</v>
      </c>
      <c r="AI21" s="161" t="str">
        <f t="shared" si="24"/>
        <v>OK</v>
      </c>
      <c r="AJ21" s="127">
        <f>'12p'!O16</f>
        <v>26</v>
      </c>
      <c r="AK21" s="142">
        <f t="shared" si="25"/>
        <v>10</v>
      </c>
      <c r="AL21" s="197" cm="1">
        <f t="array" ref="AL21">IF(OR(AJ21="DC",AJ21="",AK21=0),0,IF(COUNTIF('12p'!$E16:$AB16,"DC")=1,IF(INDEX(Table_11p,IF(AK21=12,1,IF(AK21=10,2,14-AK21)),3)="X",1,INDEX(Table_11p,IF(AK21=12,1,IF(AK21=10,2,14-AK21)),3)),IF(COUNTIF('12p'!$E16:$AB16,"DC")=2,IF(INDEX(Table_10p,IF(AK21=11,1,IF(AK21=9,2,12-AK21)),3)="X",1,INDEX(Table_10p,IF(AK21=11,1,IF(AK21=9,2,12-AK21)),3)),IF(COUNTIF('12p'!$E16:$AB16,"DC")&gt;=3,IF(INDEX(Table_9p_or_less,10-AK21,3)="X",1,INDEX(Table_9p_or_less,10-AK21,3)),0))))</f>
        <v>0</v>
      </c>
      <c r="AM21" s="143">
        <f>IF(AJ21&lt;&gt;"DC",0,IF(COUNTIF('12p'!$E16:$AB16,"DC")=1,INDEX(Table_11p,13,3),IF(COUNTIF('12p'!$E16:$AB16,"DC")=2,INDEX(Table_10p,13,3),IF(COUNTIF('12p'!$E16:$AB16,"DC")&gt;=3,INDEX(Table_9p_or_less,13,3),0))))</f>
        <v>0</v>
      </c>
      <c r="AN21" s="189">
        <f t="shared" si="26"/>
        <v>10</v>
      </c>
      <c r="AO21" s="145">
        <f t="shared" si="27"/>
        <v>66</v>
      </c>
      <c r="AP21" s="161" t="str">
        <f t="shared" si="28"/>
        <v>OK</v>
      </c>
      <c r="AQ21" s="127">
        <f>'12p'!Q16</f>
        <v>28</v>
      </c>
      <c r="AR21" s="142">
        <f t="shared" si="29"/>
        <v>6</v>
      </c>
      <c r="AS21" s="197" cm="1">
        <f t="array" ref="AS21">IF(OR(AQ21="DC",AQ21="",AR21=0),0,IF(COUNTIF('12p'!$E16:$AB16,"DC")=1,IF(INDEX(Table_11p,IF(AR21=12,1,IF(AR21=10,2,14-AR21)),3)="X",1,INDEX(Table_11p,IF(AR21=12,1,IF(AR21=10,2,14-AR21)),3)),IF(COUNTIF('12p'!$E16:$AB16,"DC")=2,IF(INDEX(Table_10p,IF(AR21=11,1,IF(AR21=9,2,12-AR21)),3)="X",1,INDEX(Table_10p,IF(AR21=11,1,IF(AR21=9,2,12-AR21)),3)),IF(COUNTIF('12p'!$E16:$AB16,"DC")&gt;=3,IF(INDEX(Table_9p_or_less,10-AR21,3)="X",1,INDEX(Table_9p_or_less,10-AR21,3)),0))))</f>
        <v>0</v>
      </c>
      <c r="AT21" s="143">
        <f>IF(AQ21&lt;&gt;"DC",0,IF(COUNTIF('12p'!$E16:$AB16,"DC")=1,INDEX(Table_11p,13,3),IF(COUNTIF('12p'!$E16:$AB16,"DC")=2,INDEX(Table_10p,13,3),IF(COUNTIF('12p'!$E16:$AB16,"DC")&gt;=3,INDEX(Table_9p_or_less,13,3),0))))</f>
        <v>0</v>
      </c>
      <c r="AU21" s="189">
        <f t="shared" si="30"/>
        <v>6</v>
      </c>
      <c r="AV21" s="145">
        <f t="shared" si="31"/>
        <v>75</v>
      </c>
      <c r="AW21" s="161" t="str">
        <f t="shared" si="32"/>
        <v>OK</v>
      </c>
      <c r="AX21" s="127">
        <f>'12p'!S16</f>
        <v>26</v>
      </c>
      <c r="AY21" s="142">
        <f t="shared" si="33"/>
        <v>8</v>
      </c>
      <c r="AZ21" s="197" cm="1">
        <f t="array" ref="AZ21">IF(OR(AX21="DC",AX21="",AY21=0),0,IF(COUNTIF('12p'!$E16:$AB16,"DC")=1,IF(INDEX(Table_11p,IF(AY21=12,1,IF(AY21=10,2,14-AY21)),3)="X",1,INDEX(Table_11p,IF(AY21=12,1,IF(AY21=10,2,14-AY21)),3)),IF(COUNTIF('12p'!$E16:$AB16,"DC")=2,IF(INDEX(Table_10p,IF(AY21=11,1,IF(AY21=9,2,12-AY21)),3)="X",1,INDEX(Table_10p,IF(AY21=11,1,IF(AY21=9,2,12-AY21)),3)),IF(COUNTIF('12p'!$E16:$AB16,"DC")&gt;=3,IF(INDEX(Table_9p_or_less,10-AY21,3)="X",1,INDEX(Table_9p_or_less,10-AY21,3)),0))))</f>
        <v>0</v>
      </c>
      <c r="BA21" s="143">
        <f>IF(AX21&lt;&gt;"DC",0,IF(COUNTIF('12p'!$E16:$AB16,"DC")=1,INDEX(Table_11p,13,3),IF(COUNTIF('12p'!$E16:$AB16,"DC")=2,INDEX(Table_10p,13,3),IF(COUNTIF('12p'!$E16:$AB16,"DC")&gt;=3,INDEX(Table_9p_or_less,13,3),0))))</f>
        <v>0</v>
      </c>
      <c r="BB21" s="189">
        <f t="shared" si="34"/>
        <v>8</v>
      </c>
      <c r="BC21" s="145">
        <f t="shared" si="35"/>
        <v>74</v>
      </c>
      <c r="BD21" s="161" t="str">
        <f t="shared" si="36"/>
        <v>OK</v>
      </c>
      <c r="BE21" s="127">
        <f>'12p'!U16</f>
        <v>12</v>
      </c>
      <c r="BF21" s="142">
        <f t="shared" si="37"/>
        <v>4</v>
      </c>
      <c r="BG21" s="197" cm="1">
        <f t="array" ref="BG21">IF(OR(BE21="DC",BE21="",BF21=0),0,IF(COUNTIF('12p'!$E16:$AB16,"DC")=1,IF(INDEX(Table_11p,IF(BF21=12,1,IF(BF21=10,2,14-BF21)),3)="X",1,INDEX(Table_11p,IF(BF21=12,1,IF(BF21=10,2,14-BF21)),3)),IF(COUNTIF('12p'!$E16:$AB16,"DC")=2,IF(INDEX(Table_10p,IF(BF21=11,1,IF(BF21=9,2,12-BF21)),3)="X",1,INDEX(Table_10p,IF(BF21=11,1,IF(BF21=9,2,12-BF21)),3)),IF(COUNTIF('12p'!$E16:$AB16,"DC")&gt;=3,IF(INDEX(Table_9p_or_less,10-BF21,3)="X",1,INDEX(Table_9p_or_less,10-BF21,3)),0))))</f>
        <v>0</v>
      </c>
      <c r="BH21" s="143">
        <f>IF(BE21&lt;&gt;"DC",0,IF(COUNTIF('12p'!$E16:$AB16,"DC")=1,INDEX(Table_11p,13,3),IF(COUNTIF('12p'!$E16:$AB16,"DC")=2,INDEX(Table_10p,13,3),IF(COUNTIF('12p'!$E16:$AB16,"DC")&gt;=3,INDEX(Table_9p_or_less,13,3),0))))</f>
        <v>0</v>
      </c>
      <c r="BI21" s="189">
        <f t="shared" si="38"/>
        <v>4</v>
      </c>
      <c r="BJ21" s="145">
        <f t="shared" si="39"/>
        <v>45</v>
      </c>
      <c r="BK21" s="161" t="str">
        <f t="shared" si="40"/>
        <v>OK</v>
      </c>
      <c r="BL21" s="127">
        <f>'12p'!W16</f>
        <v>3</v>
      </c>
      <c r="BM21" s="142">
        <f t="shared" si="41"/>
        <v>1</v>
      </c>
      <c r="BN21" s="197" cm="1">
        <f t="array" ref="BN21">IF(OR(BL21="DC",BL21="",BM21=0),0,IF(COUNTIF('12p'!$E16:$AB16,"DC")=1,IF(INDEX(Table_11p,IF(BM21=12,1,IF(BM21=10,2,14-BM21)),3)="X",1,INDEX(Table_11p,IF(BM21=12,1,IF(BM21=10,2,14-BM21)),3)),IF(COUNTIF('12p'!$E16:$AB16,"DC")=2,IF(INDEX(Table_10p,IF(BM21=11,1,IF(BM21=9,2,12-BM21)),3)="X",1,INDEX(Table_10p,IF(BM21=11,1,IF(BM21=9,2,12-BM21)),3)),IF(COUNTIF('12p'!$E16:$AB16,"DC")&gt;=3,IF(INDEX(Table_9p_or_less,10-BM21,3)="X",1,INDEX(Table_9p_or_less,10-BM21,3)),0))))</f>
        <v>0</v>
      </c>
      <c r="BO21" s="143">
        <f>IF(BL21&lt;&gt;"DC",0,IF(COUNTIF('12p'!$E16:$AB16,"DC")=1,INDEX(Table_11p,13,3),IF(COUNTIF('12p'!$E16:$AB16,"DC")=2,INDEX(Table_10p,13,3),IF(COUNTIF('12p'!$E16:$AB16,"DC")&gt;=3,INDEX(Table_9p_or_less,13,3),0))))</f>
        <v>0</v>
      </c>
      <c r="BP21" s="189">
        <f t="shared" si="42"/>
        <v>1</v>
      </c>
      <c r="BQ21" s="145">
        <f t="shared" si="43"/>
        <v>17</v>
      </c>
      <c r="BR21" s="161" t="str">
        <f t="shared" si="44"/>
        <v>OK</v>
      </c>
      <c r="BS21" s="127">
        <f>'12p'!Y16</f>
        <v>28</v>
      </c>
      <c r="BT21" s="142">
        <f t="shared" si="45"/>
        <v>2</v>
      </c>
      <c r="BU21" s="197" cm="1">
        <f t="array" ref="BU21">IF(OR(BS21="DC",BS21="",BT21=0),0,IF(COUNTIF('12p'!$E16:$AB16,"DC")=1,IF(INDEX(Table_11p,IF(BT21=12,1,IF(BT21=10,2,14-BT21)),3)="X",1,INDEX(Table_11p,IF(BT21=12,1,IF(BT21=10,2,14-BT21)),3)),IF(COUNTIF('12p'!$E16:$AB16,"DC")=2,IF(INDEX(Table_10p,IF(BT21=11,1,IF(BT21=9,2,12-BT21)),3)="X",1,INDEX(Table_10p,IF(BT21=11,1,IF(BT21=9,2,12-BT21)),3)),IF(COUNTIF('12p'!$E16:$AB16,"DC")&gt;=3,IF(INDEX(Table_9p_or_less,10-BT21,3)="X",1,INDEX(Table_9p_or_less,10-BT21,3)),0))))</f>
        <v>0</v>
      </c>
      <c r="BV21" s="143">
        <f>IF(BS21&lt;&gt;"DC",0,IF(COUNTIF('12p'!$E16:$AB16,"DC")=1,INDEX(Table_11p,13,3),IF(COUNTIF('12p'!$E16:$AB16,"DC")=2,INDEX(Table_10p,13,3),IF(COUNTIF('12p'!$E16:$AB16,"DC")&gt;=3,INDEX(Table_9p_or_less,13,3),0))))</f>
        <v>0</v>
      </c>
      <c r="BW21" s="189">
        <f t="shared" si="46"/>
        <v>2</v>
      </c>
      <c r="BX21" s="145">
        <f t="shared" si="47"/>
        <v>57</v>
      </c>
      <c r="BY21" s="161" t="str">
        <f t="shared" si="48"/>
        <v>OK</v>
      </c>
      <c r="BZ21" s="127">
        <f>'12p'!AA16</f>
        <v>37</v>
      </c>
      <c r="CA21" s="142">
        <f t="shared" si="49"/>
        <v>7</v>
      </c>
      <c r="CB21" s="197" cm="1">
        <f t="array" ref="CB21">IF(OR(BZ21="DC",BZ21="",CA21=0),0,IF(COUNTIF('12p'!$E16:$AB16,"DC")=1,IF(INDEX(Table_11p,IF(CA21=12,1,IF(CA21=10,2,14-CA21)),3)="X",1,INDEX(Table_11p,IF(CA21=12,1,IF(CA21=10,2,14-CA21)),3)),IF(COUNTIF('12p'!$E16:$AB16,"DC")=2,IF(INDEX(Table_10p,IF(CA21=11,1,IF(CA21=9,2,12-CA21)),3)="X",1,INDEX(Table_10p,IF(CA21=11,1,IF(CA21=9,2,12-CA21)),3)),IF(COUNTIF('12p'!$E16:$AB16,"DC")&gt;=3,IF(INDEX(Table_9p_or_less,10-CA21,3)="X",1,INDEX(Table_9p_or_less,10-CA21,3)),0))))</f>
        <v>0</v>
      </c>
      <c r="CC21" s="143">
        <f>IF(BZ21&lt;&gt;"DC",0,IF(COUNTIF('12p'!$E16:$AB16,"DC")=1,INDEX(Table_11p,13,3),IF(COUNTIF('12p'!$E16:$AB16,"DC")=2,INDEX(Table_10p,13,3),IF(COUNTIF('12p'!$E16:$AB16,"DC")&gt;=3,INDEX(Table_9p_or_less,13,3),0))))</f>
        <v>0</v>
      </c>
      <c r="CD21" s="189">
        <f t="shared" si="50"/>
        <v>7</v>
      </c>
      <c r="CE21" s="145">
        <f t="shared" si="51"/>
        <v>78</v>
      </c>
      <c r="CF21" s="161" t="str">
        <f t="shared" si="52"/>
        <v>OK</v>
      </c>
      <c r="CG21" s="206">
        <f t="shared" si="4"/>
        <v>82</v>
      </c>
      <c r="CH21" s="108"/>
    </row>
    <row r="22" spans="1:132" ht="15" customHeight="1" thickBot="1" x14ac:dyDescent="0.3">
      <c r="A22" s="127">
        <f>'12p'!E17</f>
        <v>49</v>
      </c>
      <c r="B22" s="142">
        <f t="shared" si="5"/>
        <v>5</v>
      </c>
      <c r="C22" s="197" cm="1">
        <f t="array" ref="C22">IF(OR(A22="DC",A22="",B22=0),0,IF(COUNTIF('12p'!$E17:$AB17,"DC")=1,IF(INDEX(Table_11p,IF(B22=12,1,IF(B22=10,2,14-B22)),3)="X",1,INDEX(Table_11p,IF(B22=12,1,IF(B22=10,2,14-B22)),3)),IF(COUNTIF('12p'!$E17:$AB17,"DC")=2,IF(INDEX(Table_10p,IF(B22=11,1,IF(B22=9,2,12-B22)),3)="X",1,INDEX(Table_10p,IF(B22=11,1,IF(B22=9,2,12-B22)),3)),IF(COUNTIF('12p'!$E17:$AB17,"DC")&gt;=3,IF(INDEX(Table_9p_or_less,10-B22,3)="X",1,INDEX(Table_9p_or_less,10-B22,3)),0))))</f>
        <v>0</v>
      </c>
      <c r="D22" s="143">
        <f>IF(A22&lt;&gt;"DC",0,IF(COUNTIF('12p'!$E17:$AB17,"DC")=1,INDEX(Table_11p,13,3),IF(COUNTIF('12p'!$E17:$AB17,"DC")=2,INDEX(Table_10p,13,3),IF(COUNTIF('12p'!$E17:$AB17,"DC")&gt;=3,INDEX(Table_9p_or_less,13,3),0))))</f>
        <v>0</v>
      </c>
      <c r="E22" s="189">
        <f t="shared" si="6"/>
        <v>5</v>
      </c>
      <c r="F22" s="145">
        <f t="shared" si="7"/>
        <v>98</v>
      </c>
      <c r="G22" s="161" t="str">
        <f t="shared" si="8"/>
        <v>OK</v>
      </c>
      <c r="H22" s="127">
        <f>'12p'!G17</f>
        <v>47</v>
      </c>
      <c r="I22" s="142">
        <f t="shared" si="9"/>
        <v>1</v>
      </c>
      <c r="J22" s="197" cm="1">
        <f t="array" ref="J22">IF(OR(H22="DC",H22="",I22=0),0,IF(COUNTIF('12p'!$E17:$AB17,"DC")=1,IF(INDEX(Table_11p,IF(I22=12,1,IF(I22=10,2,14-I22)),3)="X",1,INDEX(Table_11p,IF(I22=12,1,IF(I22=10,2,14-I22)),3)),IF(COUNTIF('12p'!$E17:$AB17,"DC")=2,IF(INDEX(Table_10p,IF(I22=11,1,IF(I22=9,2,12-I22)),3)="X",1,INDEX(Table_10p,IF(I22=11,1,IF(I22=9,2,12-I22)),3)),IF(COUNTIF('12p'!$E17:$AB17,"DC")&gt;=3,IF(INDEX(Table_9p_or_less,10-I22,3)="X",1,INDEX(Table_9p_or_less,10-I22,3)),0))))</f>
        <v>0</v>
      </c>
      <c r="K22" s="143">
        <f>IF(H22&lt;&gt;"DC",0,IF(COUNTIF('12p'!$E17:$AB17,"DC")=1,INDEX(Table_11p,13,3),IF(COUNTIF('12p'!$E17:$AB17,"DC")=2,INDEX(Table_10p,13,3),IF(COUNTIF('12p'!$E17:$AB17,"DC")&gt;=3,INDEX(Table_9p_or_less,13,3),0))))</f>
        <v>0</v>
      </c>
      <c r="L22" s="189">
        <f>SUM(I22,J22,K22)</f>
        <v>1</v>
      </c>
      <c r="M22" s="145">
        <f t="shared" si="11"/>
        <v>120</v>
      </c>
      <c r="N22" s="161" t="str">
        <f t="shared" si="12"/>
        <v>OK</v>
      </c>
      <c r="O22" s="127">
        <f>'12p'!I17</f>
        <v>46</v>
      </c>
      <c r="P22" s="142">
        <f t="shared" si="13"/>
        <v>12</v>
      </c>
      <c r="Q22" s="197" cm="1">
        <f t="array" ref="Q22">IF(OR(O22="DC",O22="",P22=0),0,IF(COUNTIF('12p'!$E17:$AB17,"DC")=1,IF(INDEX(Table_11p,IF(P22=12,1,IF(P22=10,2,14-P22)),3)="X",1,INDEX(Table_11p,IF(P22=12,1,IF(P22=10,2,14-P22)),3)),IF(COUNTIF('12p'!$E17:$AB17,"DC")=2,IF(INDEX(Table_10p,IF(P22=11,1,IF(P22=9,2,12-P22)),3)="X",1,INDEX(Table_10p,IF(P22=11,1,IF(P22=9,2,12-P22)),3)),IF(COUNTIF('12p'!$E17:$AB17,"DC")&gt;=3,IF(INDEX(Table_9p_or_less,10-P22,3)="X",1,INDEX(Table_9p_or_less,10-P22,3)),0))))</f>
        <v>0</v>
      </c>
      <c r="R22" s="143">
        <f>IF(O22&lt;&gt;"DC",0,IF(COUNTIF('12p'!$E17:$AB17,"DC")=1,INDEX(Table_11p,13,3),IF(COUNTIF('12p'!$E17:$AB17,"DC")=2,INDEX(Table_10p,13,3),IF(COUNTIF('12p'!$E17:$AB17,"DC")&gt;=3,INDEX(Table_9p_or_less,13,3),0))))</f>
        <v>0</v>
      </c>
      <c r="S22" s="189">
        <f t="shared" si="14"/>
        <v>12</v>
      </c>
      <c r="T22" s="145">
        <f t="shared" si="15"/>
        <v>105</v>
      </c>
      <c r="U22" s="161" t="str">
        <f t="shared" si="16"/>
        <v>OK</v>
      </c>
      <c r="V22" s="127">
        <f>'12p'!K17</f>
        <v>40</v>
      </c>
      <c r="W22" s="142">
        <f t="shared" si="17"/>
        <v>2</v>
      </c>
      <c r="X22" s="197" cm="1">
        <f t="array" ref="X22">IF(OR(V22="DC",V22="",W22=0),0,IF(COUNTIF('12p'!$E17:$AB17,"DC")=1,IF(INDEX(Table_11p,IF(W22=12,1,IF(W22=10,2,14-W22)),3)="X",1,INDEX(Table_11p,IF(W22=12,1,IF(W22=10,2,14-W22)),3)),IF(COUNTIF('12p'!$E17:$AB17,"DC")=2,IF(INDEX(Table_10p,IF(W22=11,1,IF(W22=9,2,12-W22)),3)="X",1,INDEX(Table_10p,IF(W22=11,1,IF(W22=9,2,12-W22)),3)),IF(COUNTIF('12p'!$E17:$AB17,"DC")&gt;=3,IF(INDEX(Table_9p_or_less,10-W22,3)="X",1,INDEX(Table_9p_or_less,10-W22,3)),0))))</f>
        <v>0</v>
      </c>
      <c r="Y22" s="143">
        <f>IF(V22&lt;&gt;"DC",0,IF(COUNTIF('12p'!$E17:$AB17,"DC")=1,INDEX(Table_11p,13,3),IF(COUNTIF('12p'!$E17:$AB17,"DC")=2,INDEX(Table_10p,13,3),IF(COUNTIF('12p'!$E17:$AB17,"DC")&gt;=3,INDEX(Table_9p_or_less,13,3),0))))</f>
        <v>0</v>
      </c>
      <c r="Z22" s="189">
        <f t="shared" si="18"/>
        <v>2</v>
      </c>
      <c r="AA22" s="145">
        <f t="shared" si="19"/>
        <v>93</v>
      </c>
      <c r="AB22" s="161" t="str">
        <f t="shared" si="20"/>
        <v>OK</v>
      </c>
      <c r="AC22" s="127">
        <f>'12p'!M17</f>
        <v>50</v>
      </c>
      <c r="AD22" s="142">
        <f t="shared" si="21"/>
        <v>7</v>
      </c>
      <c r="AE22" s="197" cm="1">
        <f t="array" ref="AE22">IF(OR(AC22="DC",AC22="",AD22=0),0,IF(COUNTIF('12p'!$E17:$AB17,"DC")=1,IF(INDEX(Table_11p,IF(AD22=12,1,IF(AD22=10,2,14-AD22)),3)="X",1,INDEX(Table_11p,IF(AD22=12,1,IF(AD22=10,2,14-AD22)),3)),IF(COUNTIF('12p'!$E17:$AB17,"DC")=2,IF(INDEX(Table_10p,IF(AD22=11,1,IF(AD22=9,2,12-AD22)),3)="X",1,INDEX(Table_10p,IF(AD22=11,1,IF(AD22=9,2,12-AD22)),3)),IF(COUNTIF('12p'!$E17:$AB17,"DC")&gt;=3,IF(INDEX(Table_9p_or_less,10-AD22,3)="X",1,INDEX(Table_9p_or_less,10-AD22,3)),0))))</f>
        <v>0</v>
      </c>
      <c r="AF22" s="143">
        <f>IF(AC22&lt;&gt;"DC",0,IF(COUNTIF('12p'!$E17:$AB17,"DC")=1,INDEX(Table_11p,13,3),IF(COUNTIF('12p'!$E17:$AB17,"DC")=2,INDEX(Table_10p,13,3),IF(COUNTIF('12p'!$E17:$AB17,"DC")&gt;=3,INDEX(Table_9p_or_less,13,3),0))))</f>
        <v>0</v>
      </c>
      <c r="AG22" s="189">
        <f t="shared" si="22"/>
        <v>7</v>
      </c>
      <c r="AH22" s="145">
        <f t="shared" si="23"/>
        <v>97</v>
      </c>
      <c r="AI22" s="161" t="str">
        <f t="shared" si="24"/>
        <v>OK</v>
      </c>
      <c r="AJ22" s="127">
        <f>'12p'!O17</f>
        <v>32</v>
      </c>
      <c r="AK22" s="142">
        <f t="shared" si="25"/>
        <v>6</v>
      </c>
      <c r="AL22" s="197" cm="1">
        <f t="array" ref="AL22">IF(OR(AJ22="DC",AJ22="",AK22=0),0,IF(COUNTIF('12p'!$E17:$AB17,"DC")=1,IF(INDEX(Table_11p,IF(AK22=12,1,IF(AK22=10,2,14-AK22)),3)="X",1,INDEX(Table_11p,IF(AK22=12,1,IF(AK22=10,2,14-AK22)),3)),IF(COUNTIF('12p'!$E17:$AB17,"DC")=2,IF(INDEX(Table_10p,IF(AK22=11,1,IF(AK22=9,2,12-AK22)),3)="X",1,INDEX(Table_10p,IF(AK22=11,1,IF(AK22=9,2,12-AK22)),3)),IF(COUNTIF('12p'!$E17:$AB17,"DC")&gt;=3,IF(INDEX(Table_9p_or_less,10-AK22,3)="X",1,INDEX(Table_9p_or_less,10-AK22,3)),0))))</f>
        <v>0</v>
      </c>
      <c r="AM22" s="143">
        <f>IF(AJ22&lt;&gt;"DC",0,IF(COUNTIF('12p'!$E17:$AB17,"DC")=1,INDEX(Table_11p,13,3),IF(COUNTIF('12p'!$E17:$AB17,"DC")=2,INDEX(Table_10p,13,3),IF(COUNTIF('12p'!$E17:$AB17,"DC")&gt;=3,INDEX(Table_9p_or_less,13,3),0))))</f>
        <v>0</v>
      </c>
      <c r="AN22" s="189">
        <f t="shared" si="26"/>
        <v>6</v>
      </c>
      <c r="AO22" s="145">
        <f t="shared" si="27"/>
        <v>72</v>
      </c>
      <c r="AP22" s="161" t="str">
        <f t="shared" si="28"/>
        <v>OK</v>
      </c>
      <c r="AQ22" s="127">
        <f>'12p'!Q17</f>
        <v>37</v>
      </c>
      <c r="AR22" s="142">
        <f t="shared" si="29"/>
        <v>9</v>
      </c>
      <c r="AS22" s="197" cm="1">
        <f t="array" ref="AS22">IF(OR(AQ22="DC",AQ22="",AR22=0),0,IF(COUNTIF('12p'!$E17:$AB17,"DC")=1,IF(INDEX(Table_11p,IF(AR22=12,1,IF(AR22=10,2,14-AR22)),3)="X",1,INDEX(Table_11p,IF(AR22=12,1,IF(AR22=10,2,14-AR22)),3)),IF(COUNTIF('12p'!$E17:$AB17,"DC")=2,IF(INDEX(Table_10p,IF(AR22=11,1,IF(AR22=9,2,12-AR22)),3)="X",1,INDEX(Table_10p,IF(AR22=11,1,IF(AR22=9,2,12-AR22)),3)),IF(COUNTIF('12p'!$E17:$AB17,"DC")&gt;=3,IF(INDEX(Table_9p_or_less,10-AR22,3)="X",1,INDEX(Table_9p_or_less,10-AR22,3)),0))))</f>
        <v>0</v>
      </c>
      <c r="AT22" s="143">
        <f>IF(AQ22&lt;&gt;"DC",0,IF(COUNTIF('12p'!$E17:$AB17,"DC")=1,INDEX(Table_11p,13,3),IF(COUNTIF('12p'!$E17:$AB17,"DC")=2,INDEX(Table_10p,13,3),IF(COUNTIF('12p'!$E17:$AB17,"DC")&gt;=3,INDEX(Table_9p_or_less,13,3),0))))</f>
        <v>0</v>
      </c>
      <c r="AU22" s="189">
        <f t="shared" si="30"/>
        <v>9</v>
      </c>
      <c r="AV22" s="145">
        <f t="shared" si="31"/>
        <v>84</v>
      </c>
      <c r="AW22" s="161" t="str">
        <f t="shared" si="32"/>
        <v>OK</v>
      </c>
      <c r="AX22" s="127">
        <f>'12p'!S17</f>
        <v>36</v>
      </c>
      <c r="AY22" s="142">
        <f t="shared" si="33"/>
        <v>10</v>
      </c>
      <c r="AZ22" s="197" cm="1">
        <f t="array" ref="AZ22">IF(OR(AX22="DC",AX22="",AY22=0),0,IF(COUNTIF('12p'!$E17:$AB17,"DC")=1,IF(INDEX(Table_11p,IF(AY22=12,1,IF(AY22=10,2,14-AY22)),3)="X",1,INDEX(Table_11p,IF(AY22=12,1,IF(AY22=10,2,14-AY22)),3)),IF(COUNTIF('12p'!$E17:$AB17,"DC")=2,IF(INDEX(Table_10p,IF(AY22=11,1,IF(AY22=9,2,12-AY22)),3)="X",1,INDEX(Table_10p,IF(AY22=11,1,IF(AY22=9,2,12-AY22)),3)),IF(COUNTIF('12p'!$E17:$AB17,"DC")&gt;=3,IF(INDEX(Table_9p_or_less,10-AY22,3)="X",1,INDEX(Table_9p_or_less,10-AY22,3)),0))))</f>
        <v>0</v>
      </c>
      <c r="BA22" s="143">
        <f>IF(AX22&lt;&gt;"DC",0,IF(COUNTIF('12p'!$E17:$AB17,"DC")=1,INDEX(Table_11p,13,3),IF(COUNTIF('12p'!$E17:$AB17,"DC")=2,INDEX(Table_10p,13,3),IF(COUNTIF('12p'!$E17:$AB17,"DC")&gt;=3,INDEX(Table_9p_or_less,13,3),0))))</f>
        <v>0</v>
      </c>
      <c r="BB22" s="189">
        <f t="shared" si="34"/>
        <v>10</v>
      </c>
      <c r="BC22" s="145">
        <f t="shared" si="35"/>
        <v>84</v>
      </c>
      <c r="BD22" s="161" t="str">
        <f t="shared" si="36"/>
        <v>OK</v>
      </c>
      <c r="BE22" s="127">
        <f>'12p'!U17</f>
        <v>16</v>
      </c>
      <c r="BF22" s="142">
        <f t="shared" si="37"/>
        <v>4</v>
      </c>
      <c r="BG22" s="197" cm="1">
        <f t="array" ref="BG22">IF(OR(BE22="DC",BE22="",BF22=0),0,IF(COUNTIF('12p'!$E17:$AB17,"DC")=1,IF(INDEX(Table_11p,IF(BF22=12,1,IF(BF22=10,2,14-BF22)),3)="X",1,INDEX(Table_11p,IF(BF22=12,1,IF(BF22=10,2,14-BF22)),3)),IF(COUNTIF('12p'!$E17:$AB17,"DC")=2,IF(INDEX(Table_10p,IF(BF22=11,1,IF(BF22=9,2,12-BF22)),3)="X",1,INDEX(Table_10p,IF(BF22=11,1,IF(BF22=9,2,12-BF22)),3)),IF(COUNTIF('12p'!$E17:$AB17,"DC")&gt;=3,IF(INDEX(Table_9p_or_less,10-BF22,3)="X",1,INDEX(Table_9p_or_less,10-BF22,3)),0))))</f>
        <v>0</v>
      </c>
      <c r="BH22" s="143">
        <f>IF(BE22&lt;&gt;"DC",0,IF(COUNTIF('12p'!$E17:$AB17,"DC")=1,INDEX(Table_11p,13,3),IF(COUNTIF('12p'!$E17:$AB17,"DC")=2,INDEX(Table_10p,13,3),IF(COUNTIF('12p'!$E17:$AB17,"DC")&gt;=3,INDEX(Table_9p_or_less,13,3),0))))</f>
        <v>0</v>
      </c>
      <c r="BI22" s="189">
        <f t="shared" si="38"/>
        <v>4</v>
      </c>
      <c r="BJ22" s="145">
        <f t="shared" si="39"/>
        <v>49</v>
      </c>
      <c r="BK22" s="161" t="str">
        <f t="shared" si="40"/>
        <v>OK</v>
      </c>
      <c r="BL22" s="146">
        <f>'12p'!W17</f>
        <v>11</v>
      </c>
      <c r="BM22" s="142">
        <f t="shared" si="41"/>
        <v>8</v>
      </c>
      <c r="BN22" s="197" cm="1">
        <f t="array" ref="BN22">IF(OR(BL22="DC",BL22="",BM22=0),0,IF(COUNTIF('12p'!$E17:$AB17,"DC")=1,IF(INDEX(Table_11p,IF(BM22=12,1,IF(BM22=10,2,14-BM22)),3)="X",1,INDEX(Table_11p,IF(BM22=12,1,IF(BM22=10,2,14-BM22)),3)),IF(COUNTIF('12p'!$E17:$AB17,"DC")=2,IF(INDEX(Table_10p,IF(BM22=11,1,IF(BM22=9,2,12-BM22)),3)="X",1,INDEX(Table_10p,IF(BM22=11,1,IF(BM22=9,2,12-BM22)),3)),IF(COUNTIF('12p'!$E17:$AB17,"DC")&gt;=3,IF(INDEX(Table_9p_or_less,10-BM22,3)="X",1,INDEX(Table_9p_or_less,10-BM22,3)),0))))</f>
        <v>0</v>
      </c>
      <c r="BO22" s="143">
        <f>IF(BL22&lt;&gt;"DC",0,IF(COUNTIF('12p'!$E17:$AB17,"DC")=1,INDEX(Table_11p,13,3),IF(COUNTIF('12p'!$E17:$AB17,"DC")=2,INDEX(Table_10p,13,3),IF(COUNTIF('12p'!$E17:$AB17,"DC")&gt;=3,INDEX(Table_9p_or_less,13,3),0))))</f>
        <v>0</v>
      </c>
      <c r="BP22" s="189">
        <f t="shared" si="42"/>
        <v>8</v>
      </c>
      <c r="BQ22" s="145">
        <f t="shared" si="43"/>
        <v>25</v>
      </c>
      <c r="BR22" s="161" t="str">
        <f t="shared" si="44"/>
        <v>OK</v>
      </c>
      <c r="BS22" s="146">
        <f>'12p'!Y17</f>
        <v>31</v>
      </c>
      <c r="BT22" s="142">
        <f t="shared" si="45"/>
        <v>3</v>
      </c>
      <c r="BU22" s="197" cm="1">
        <f t="array" ref="BU22">IF(OR(BS22="DC",BS22="",BT22=0),0,IF(COUNTIF('12p'!$E17:$AB17,"DC")=1,IF(INDEX(Table_11p,IF(BT22=12,1,IF(BT22=10,2,14-BT22)),3)="X",1,INDEX(Table_11p,IF(BT22=12,1,IF(BT22=10,2,14-BT22)),3)),IF(COUNTIF('12p'!$E17:$AB17,"DC")=2,IF(INDEX(Table_10p,IF(BT22=11,1,IF(BT22=9,2,12-BT22)),3)="X",1,INDEX(Table_10p,IF(BT22=11,1,IF(BT22=9,2,12-BT22)),3)),IF(COUNTIF('12p'!$E17:$AB17,"DC")&gt;=3,IF(INDEX(Table_9p_or_less,10-BT22,3)="X",1,INDEX(Table_9p_or_less,10-BT22,3)),0))))</f>
        <v>0</v>
      </c>
      <c r="BV22" s="143">
        <f>IF(BS22&lt;&gt;"DC",0,IF(COUNTIF('12p'!$E17:$AB17,"DC")=1,INDEX(Table_11p,13,3),IF(COUNTIF('12p'!$E17:$AB17,"DC")=2,INDEX(Table_10p,13,3),IF(COUNTIF('12p'!$E17:$AB17,"DC")&gt;=3,INDEX(Table_9p_or_less,13,3),0))))</f>
        <v>0</v>
      </c>
      <c r="BW22" s="189">
        <f t="shared" si="46"/>
        <v>3</v>
      </c>
      <c r="BX22" s="145">
        <f t="shared" si="47"/>
        <v>60</v>
      </c>
      <c r="BY22" s="161" t="str">
        <f t="shared" si="48"/>
        <v>OK</v>
      </c>
      <c r="BZ22" s="146">
        <f>'12p'!AA17</f>
        <v>52</v>
      </c>
      <c r="CA22" s="142">
        <f t="shared" si="49"/>
        <v>15</v>
      </c>
      <c r="CB22" s="197" cm="1">
        <f t="array" ref="CB22">IF(OR(BZ22="DC",BZ22="",CA22=0),0,IF(COUNTIF('12p'!$E17:$AB17,"DC")=1,IF(INDEX(Table_11p,IF(CA22=12,1,IF(CA22=10,2,14-CA22)),3)="X",1,INDEX(Table_11p,IF(CA22=12,1,IF(CA22=10,2,14-CA22)),3)),IF(COUNTIF('12p'!$E17:$AB17,"DC")=2,IF(INDEX(Table_10p,IF(CA22=11,1,IF(CA22=9,2,12-CA22)),3)="X",1,INDEX(Table_10p,IF(CA22=11,1,IF(CA22=9,2,12-CA22)),3)),IF(COUNTIF('12p'!$E17:$AB17,"DC")&gt;=3,IF(INDEX(Table_9p_or_less,10-CA22,3)="X",1,INDEX(Table_9p_or_less,10-CA22,3)),0))))</f>
        <v>0</v>
      </c>
      <c r="CC22" s="143">
        <f>IF(BZ22&lt;&gt;"DC",0,IF(COUNTIF('12p'!$E17:$AB17,"DC")=1,INDEX(Table_11p,13,3),IF(COUNTIF('12p'!$E17:$AB17,"DC")=2,INDEX(Table_10p,13,3),IF(COUNTIF('12p'!$E17:$AB17,"DC")&gt;=3,INDEX(Table_9p_or_less,13,3),0))))</f>
        <v>0</v>
      </c>
      <c r="CD22" s="189">
        <f t="shared" si="50"/>
        <v>15</v>
      </c>
      <c r="CE22" s="145">
        <f t="shared" si="51"/>
        <v>93</v>
      </c>
      <c r="CF22" s="161" t="str">
        <f t="shared" si="52"/>
        <v>OK</v>
      </c>
      <c r="CG22" s="207">
        <f t="shared" si="4"/>
        <v>82</v>
      </c>
      <c r="CH22" s="108"/>
    </row>
    <row r="23" spans="1:132" ht="15" customHeight="1" x14ac:dyDescent="0.25">
      <c r="A23" s="430" t="s">
        <v>34</v>
      </c>
      <c r="B23" s="431"/>
      <c r="C23" s="431"/>
      <c r="D23" s="431"/>
      <c r="E23" s="431"/>
      <c r="F23" s="431"/>
      <c r="G23" s="431"/>
      <c r="H23" s="431"/>
      <c r="I23" s="431"/>
      <c r="J23" s="431"/>
      <c r="K23" s="431"/>
      <c r="L23" s="431"/>
      <c r="M23" s="431"/>
      <c r="N23" s="431"/>
      <c r="O23" s="431"/>
      <c r="P23" s="431"/>
      <c r="Q23" s="431"/>
      <c r="R23" s="431"/>
      <c r="S23" s="431"/>
      <c r="T23" s="431"/>
      <c r="U23" s="431"/>
      <c r="V23" s="431"/>
      <c r="W23" s="431"/>
      <c r="X23" s="431"/>
      <c r="Y23" s="431"/>
      <c r="Z23" s="431"/>
      <c r="AA23" s="431"/>
      <c r="AB23" s="431"/>
      <c r="AC23" s="431"/>
      <c r="AD23" s="431"/>
      <c r="AE23" s="431"/>
      <c r="AF23" s="431"/>
      <c r="AG23" s="431"/>
      <c r="AH23" s="431"/>
      <c r="AI23" s="431"/>
      <c r="AJ23" s="431"/>
      <c r="AK23" s="431"/>
      <c r="AL23" s="431"/>
      <c r="AM23" s="431"/>
      <c r="AN23" s="431"/>
      <c r="AO23" s="431"/>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431"/>
      <c r="BM23" s="431"/>
      <c r="BN23" s="431"/>
      <c r="BO23" s="431"/>
      <c r="BP23" s="431"/>
      <c r="BQ23" s="431"/>
      <c r="BR23" s="431"/>
      <c r="BS23" s="431"/>
      <c r="BT23" s="431"/>
      <c r="BU23" s="431"/>
      <c r="BV23" s="431"/>
      <c r="BW23" s="431"/>
      <c r="BX23" s="431"/>
      <c r="BY23" s="431"/>
      <c r="BZ23" s="431"/>
      <c r="CA23" s="431"/>
      <c r="CB23" s="431"/>
      <c r="CC23" s="431"/>
      <c r="CD23" s="431"/>
      <c r="CE23" s="431"/>
      <c r="CF23" s="431"/>
      <c r="CG23" s="191"/>
      <c r="CH23" s="108"/>
    </row>
    <row r="24" spans="1:132" ht="18.75" customHeight="1" x14ac:dyDescent="0.25">
      <c r="A24" s="433"/>
      <c r="B24" s="434"/>
      <c r="C24" s="434"/>
      <c r="D24" s="434"/>
      <c r="E24" s="434"/>
      <c r="F24" s="434"/>
      <c r="G24" s="434"/>
      <c r="H24" s="434"/>
      <c r="I24" s="434"/>
      <c r="J24" s="434"/>
      <c r="K24" s="434"/>
      <c r="L24" s="434"/>
      <c r="M24" s="434"/>
      <c r="N24" s="434"/>
      <c r="O24" s="434"/>
      <c r="P24" s="434"/>
      <c r="Q24" s="434"/>
      <c r="R24" s="434"/>
      <c r="S24" s="434"/>
      <c r="T24" s="434"/>
      <c r="U24" s="434"/>
      <c r="V24" s="434"/>
      <c r="W24" s="434"/>
      <c r="X24" s="434"/>
      <c r="Y24" s="434"/>
      <c r="Z24" s="434"/>
      <c r="AA24" s="434"/>
      <c r="AB24" s="434"/>
      <c r="AC24" s="434"/>
      <c r="AD24" s="434"/>
      <c r="AE24" s="434"/>
      <c r="AF24" s="434"/>
      <c r="AG24" s="434"/>
      <c r="AH24" s="434"/>
      <c r="AI24" s="434"/>
      <c r="AJ24" s="434"/>
      <c r="AK24" s="434"/>
      <c r="AL24" s="434"/>
      <c r="AM24" s="434"/>
      <c r="AN24" s="434"/>
      <c r="AO24" s="434"/>
      <c r="AP24" s="434"/>
      <c r="AQ24" s="434"/>
      <c r="AR24" s="434"/>
      <c r="AS24" s="434"/>
      <c r="AT24" s="434"/>
      <c r="AU24" s="434"/>
      <c r="AV24" s="434"/>
      <c r="AW24" s="434"/>
      <c r="AX24" s="434"/>
      <c r="AY24" s="434"/>
      <c r="AZ24" s="434"/>
      <c r="BA24" s="434"/>
      <c r="BB24" s="434"/>
      <c r="BC24" s="434"/>
      <c r="BD24" s="434"/>
      <c r="BE24" s="434"/>
      <c r="BF24" s="434"/>
      <c r="BG24" s="434"/>
      <c r="BH24" s="434"/>
      <c r="BI24" s="434"/>
      <c r="BJ24" s="434"/>
      <c r="BK24" s="434"/>
      <c r="BL24" s="434"/>
      <c r="BM24" s="434"/>
      <c r="BN24" s="434"/>
      <c r="BO24" s="434"/>
      <c r="BP24" s="434"/>
      <c r="BQ24" s="434"/>
      <c r="BR24" s="434"/>
      <c r="BS24" s="434"/>
      <c r="BT24" s="434"/>
      <c r="BU24" s="434"/>
      <c r="BV24" s="434"/>
      <c r="BW24" s="434"/>
      <c r="BX24" s="434"/>
      <c r="BY24" s="434"/>
      <c r="BZ24" s="434"/>
      <c r="CA24" s="434"/>
      <c r="CB24" s="434"/>
      <c r="CC24" s="434"/>
      <c r="CD24" s="434"/>
      <c r="CE24" s="434"/>
      <c r="CF24" s="434"/>
      <c r="CG24" s="191"/>
      <c r="CH24" s="108"/>
    </row>
    <row r="25" spans="1:132" ht="21" customHeight="1" x14ac:dyDescent="0.25">
      <c r="A25" s="412"/>
      <c r="B25" s="413"/>
      <c r="C25" s="413"/>
      <c r="D25" s="413"/>
      <c r="E25" s="413"/>
      <c r="F25" s="413"/>
      <c r="G25" s="414"/>
      <c r="H25" s="412"/>
      <c r="I25" s="413"/>
      <c r="J25" s="413"/>
      <c r="K25" s="413"/>
      <c r="L25" s="413"/>
      <c r="M25" s="413"/>
      <c r="N25" s="414"/>
      <c r="O25" s="412"/>
      <c r="P25" s="413"/>
      <c r="Q25" s="413"/>
      <c r="R25" s="413"/>
      <c r="S25" s="413"/>
      <c r="T25" s="413"/>
      <c r="U25" s="414"/>
      <c r="V25" s="412"/>
      <c r="W25" s="413"/>
      <c r="X25" s="413"/>
      <c r="Y25" s="413"/>
      <c r="Z25" s="413"/>
      <c r="AA25" s="413"/>
      <c r="AB25" s="414"/>
      <c r="AC25" s="412"/>
      <c r="AD25" s="413"/>
      <c r="AE25" s="413"/>
      <c r="AF25" s="413"/>
      <c r="AG25" s="413"/>
      <c r="AH25" s="413"/>
      <c r="AI25" s="414"/>
      <c r="AJ25" s="412"/>
      <c r="AK25" s="413"/>
      <c r="AL25" s="413"/>
      <c r="AM25" s="413"/>
      <c r="AN25" s="413"/>
      <c r="AO25" s="413"/>
      <c r="AP25" s="414"/>
      <c r="AQ25" s="412"/>
      <c r="AR25" s="413"/>
      <c r="AS25" s="413"/>
      <c r="AT25" s="413"/>
      <c r="AU25" s="413"/>
      <c r="AV25" s="413"/>
      <c r="AW25" s="414"/>
      <c r="AX25" s="412"/>
      <c r="AY25" s="413"/>
      <c r="AZ25" s="413"/>
      <c r="BA25" s="413"/>
      <c r="BB25" s="413"/>
      <c r="BC25" s="413"/>
      <c r="BD25" s="414"/>
      <c r="BE25" s="412"/>
      <c r="BF25" s="413"/>
      <c r="BG25" s="413"/>
      <c r="BH25" s="413"/>
      <c r="BI25" s="413"/>
      <c r="BJ25" s="413"/>
      <c r="BK25" s="414"/>
      <c r="BL25" s="412"/>
      <c r="BM25" s="413"/>
      <c r="BN25" s="413"/>
      <c r="BO25" s="413"/>
      <c r="BP25" s="413"/>
      <c r="BQ25" s="413"/>
      <c r="BR25" s="414"/>
      <c r="BS25" s="412"/>
      <c r="BT25" s="413"/>
      <c r="BU25" s="413"/>
      <c r="BV25" s="413"/>
      <c r="BW25" s="413"/>
      <c r="BX25" s="413"/>
      <c r="BY25" s="414"/>
      <c r="BZ25" s="412"/>
      <c r="CA25" s="413"/>
      <c r="CB25" s="413"/>
      <c r="CC25" s="413"/>
      <c r="CD25" s="413"/>
      <c r="CE25" s="413"/>
      <c r="CF25" s="413"/>
      <c r="CG25" s="191"/>
      <c r="CH25" s="108"/>
    </row>
    <row r="26" spans="1:132" ht="20.25" customHeight="1" x14ac:dyDescent="0.25">
      <c r="A26" s="415"/>
      <c r="B26" s="416"/>
      <c r="C26" s="416"/>
      <c r="D26" s="416"/>
      <c r="E26" s="416"/>
      <c r="F26" s="416"/>
      <c r="G26" s="417"/>
      <c r="H26" s="415"/>
      <c r="I26" s="416"/>
      <c r="J26" s="416"/>
      <c r="K26" s="416"/>
      <c r="L26" s="416"/>
      <c r="M26" s="416"/>
      <c r="N26" s="417"/>
      <c r="O26" s="415"/>
      <c r="P26" s="416"/>
      <c r="Q26" s="416"/>
      <c r="R26" s="416"/>
      <c r="S26" s="416"/>
      <c r="T26" s="416"/>
      <c r="U26" s="417"/>
      <c r="V26" s="415"/>
      <c r="W26" s="416"/>
      <c r="X26" s="416"/>
      <c r="Y26" s="416"/>
      <c r="Z26" s="416"/>
      <c r="AA26" s="416"/>
      <c r="AB26" s="417"/>
      <c r="AC26" s="415"/>
      <c r="AD26" s="416"/>
      <c r="AE26" s="416"/>
      <c r="AF26" s="416"/>
      <c r="AG26" s="416"/>
      <c r="AH26" s="416"/>
      <c r="AI26" s="417"/>
      <c r="AJ26" s="415"/>
      <c r="AK26" s="416"/>
      <c r="AL26" s="416"/>
      <c r="AM26" s="416"/>
      <c r="AN26" s="416"/>
      <c r="AO26" s="416"/>
      <c r="AP26" s="417"/>
      <c r="AQ26" s="415"/>
      <c r="AR26" s="416"/>
      <c r="AS26" s="416"/>
      <c r="AT26" s="416"/>
      <c r="AU26" s="416"/>
      <c r="AV26" s="416"/>
      <c r="AW26" s="417"/>
      <c r="AX26" s="415"/>
      <c r="AY26" s="416"/>
      <c r="AZ26" s="416"/>
      <c r="BA26" s="416"/>
      <c r="BB26" s="416"/>
      <c r="BC26" s="416"/>
      <c r="BD26" s="417"/>
      <c r="BE26" s="415"/>
      <c r="BF26" s="416"/>
      <c r="BG26" s="416"/>
      <c r="BH26" s="416"/>
      <c r="BI26" s="416"/>
      <c r="BJ26" s="416"/>
      <c r="BK26" s="417"/>
      <c r="BL26" s="415"/>
      <c r="BM26" s="416"/>
      <c r="BN26" s="416"/>
      <c r="BO26" s="416"/>
      <c r="BP26" s="416"/>
      <c r="BQ26" s="416"/>
      <c r="BR26" s="417"/>
      <c r="BS26" s="415"/>
      <c r="BT26" s="416"/>
      <c r="BU26" s="416"/>
      <c r="BV26" s="416"/>
      <c r="BW26" s="416"/>
      <c r="BX26" s="416"/>
      <c r="BY26" s="417"/>
      <c r="BZ26" s="415"/>
      <c r="CA26" s="416"/>
      <c r="CB26" s="416"/>
      <c r="CC26" s="416"/>
      <c r="CD26" s="416"/>
      <c r="CE26" s="416"/>
      <c r="CF26" s="416"/>
      <c r="CG26" s="191"/>
      <c r="CH26" s="108"/>
    </row>
    <row r="27" spans="1:132" ht="12.75" customHeight="1" x14ac:dyDescent="0.25">
      <c r="A27" s="418"/>
      <c r="B27" s="419"/>
      <c r="C27" s="419"/>
      <c r="D27" s="419"/>
      <c r="E27" s="419"/>
      <c r="F27" s="419"/>
      <c r="G27" s="420"/>
      <c r="H27" s="418"/>
      <c r="I27" s="419"/>
      <c r="J27" s="419"/>
      <c r="K27" s="419"/>
      <c r="L27" s="419"/>
      <c r="M27" s="419"/>
      <c r="N27" s="420"/>
      <c r="O27" s="418"/>
      <c r="P27" s="419"/>
      <c r="Q27" s="419"/>
      <c r="R27" s="419"/>
      <c r="S27" s="419"/>
      <c r="T27" s="419"/>
      <c r="U27" s="420"/>
      <c r="V27" s="418"/>
      <c r="W27" s="419"/>
      <c r="X27" s="419"/>
      <c r="Y27" s="419"/>
      <c r="Z27" s="419"/>
      <c r="AA27" s="419"/>
      <c r="AB27" s="420"/>
      <c r="AC27" s="418"/>
      <c r="AD27" s="419"/>
      <c r="AE27" s="419"/>
      <c r="AF27" s="419"/>
      <c r="AG27" s="419"/>
      <c r="AH27" s="419"/>
      <c r="AI27" s="420"/>
      <c r="AJ27" s="418"/>
      <c r="AK27" s="419"/>
      <c r="AL27" s="419"/>
      <c r="AM27" s="419"/>
      <c r="AN27" s="419"/>
      <c r="AO27" s="419"/>
      <c r="AP27" s="420"/>
      <c r="AQ27" s="418"/>
      <c r="AR27" s="419"/>
      <c r="AS27" s="419"/>
      <c r="AT27" s="419"/>
      <c r="AU27" s="419"/>
      <c r="AV27" s="419"/>
      <c r="AW27" s="420"/>
      <c r="AX27" s="418"/>
      <c r="AY27" s="419"/>
      <c r="AZ27" s="419"/>
      <c r="BA27" s="419"/>
      <c r="BB27" s="419"/>
      <c r="BC27" s="419"/>
      <c r="BD27" s="420"/>
      <c r="BE27" s="418"/>
      <c r="BF27" s="419"/>
      <c r="BG27" s="419"/>
      <c r="BH27" s="419"/>
      <c r="BI27" s="419"/>
      <c r="BJ27" s="419"/>
      <c r="BK27" s="420"/>
      <c r="BL27" s="418"/>
      <c r="BM27" s="419"/>
      <c r="BN27" s="419"/>
      <c r="BO27" s="419"/>
      <c r="BP27" s="419"/>
      <c r="BQ27" s="419"/>
      <c r="BR27" s="420"/>
      <c r="BS27" s="418"/>
      <c r="BT27" s="419"/>
      <c r="BU27" s="419"/>
      <c r="BV27" s="419"/>
      <c r="BW27" s="419"/>
      <c r="BX27" s="419"/>
      <c r="BY27" s="420"/>
      <c r="BZ27" s="418"/>
      <c r="CA27" s="419"/>
      <c r="CB27" s="419"/>
      <c r="CC27" s="419"/>
      <c r="CD27" s="419"/>
      <c r="CE27" s="419"/>
      <c r="CF27" s="419"/>
      <c r="CG27" s="192"/>
      <c r="CH27" s="108"/>
    </row>
    <row r="28" spans="1:132" ht="18" customHeight="1" x14ac:dyDescent="0.25">
      <c r="A28" s="151"/>
      <c r="B28" s="152"/>
      <c r="C28" s="151"/>
      <c r="D28" s="151"/>
      <c r="E28" s="151"/>
      <c r="F28" s="151"/>
      <c r="G28" s="151"/>
      <c r="H28" s="151"/>
      <c r="I28" s="152"/>
      <c r="J28" s="151"/>
      <c r="K28" s="151"/>
      <c r="L28" s="151"/>
      <c r="M28" s="151"/>
      <c r="N28" s="151"/>
      <c r="O28" s="152"/>
      <c r="P28" s="151"/>
      <c r="Q28" s="151"/>
      <c r="R28" s="151"/>
      <c r="S28" s="151"/>
      <c r="T28" s="151"/>
      <c r="U28" s="152"/>
      <c r="V28" s="151"/>
      <c r="W28" s="151"/>
      <c r="X28" s="151"/>
      <c r="Y28" s="151"/>
      <c r="Z28" s="151"/>
      <c r="AA28" s="152"/>
      <c r="AB28" s="151"/>
      <c r="AC28" s="151"/>
      <c r="AD28" s="151"/>
      <c r="AE28" s="151"/>
      <c r="AF28" s="151"/>
      <c r="AG28" s="152"/>
      <c r="AH28" s="151"/>
      <c r="AI28" s="151"/>
      <c r="AJ28" s="151"/>
      <c r="AK28" s="151"/>
      <c r="AL28" s="151"/>
      <c r="AM28" s="152"/>
      <c r="AN28" s="151"/>
      <c r="AO28" s="151"/>
      <c r="AP28" s="151"/>
      <c r="AQ28" s="151"/>
      <c r="AR28" s="151"/>
      <c r="AS28" s="152"/>
      <c r="AT28" s="151"/>
      <c r="AU28" s="151"/>
      <c r="AV28" s="151"/>
      <c r="AW28" s="151"/>
      <c r="AX28" s="151"/>
      <c r="AY28" s="152"/>
      <c r="AZ28" s="151"/>
      <c r="BA28" s="151"/>
      <c r="BB28" s="151"/>
      <c r="BC28" s="151"/>
      <c r="BD28" s="151"/>
      <c r="BE28" s="152"/>
      <c r="BF28" s="151"/>
      <c r="BG28" s="151"/>
      <c r="BH28" s="151"/>
      <c r="BI28" s="151"/>
      <c r="BJ28" s="151"/>
      <c r="BK28" s="152"/>
      <c r="BL28" s="151"/>
      <c r="BM28" s="151"/>
      <c r="BN28" s="151"/>
      <c r="BO28" s="151"/>
      <c r="BP28" s="108"/>
      <c r="BQ28" s="108"/>
      <c r="BR28" s="108"/>
      <c r="BS28" s="108"/>
      <c r="BT28" s="108"/>
      <c r="BU28" s="108"/>
      <c r="BV28" s="108"/>
      <c r="BW28" s="108"/>
      <c r="BX28" s="108"/>
      <c r="BY28" s="108"/>
      <c r="BZ28" s="108"/>
      <c r="CA28" s="108"/>
      <c r="CB28" s="108"/>
      <c r="CC28" s="108"/>
      <c r="CD28" s="108"/>
      <c r="CE28" s="108"/>
      <c r="CF28" s="108"/>
      <c r="CG28" s="108"/>
      <c r="CH28" s="108"/>
    </row>
    <row r="29" spans="1:132" ht="16.5" customHeight="1" x14ac:dyDescent="0.25">
      <c r="A29" s="151"/>
      <c r="B29" s="152"/>
      <c r="C29" s="151"/>
      <c r="D29" s="151"/>
      <c r="E29" s="151"/>
      <c r="F29" s="151"/>
      <c r="G29" s="151"/>
      <c r="H29" s="151"/>
      <c r="I29" s="152"/>
      <c r="J29" s="151"/>
      <c r="K29" s="151"/>
      <c r="L29" s="151"/>
      <c r="M29" s="151"/>
      <c r="N29" s="151"/>
      <c r="O29" s="152"/>
      <c r="P29" s="151"/>
      <c r="Q29" s="151"/>
      <c r="R29" s="151"/>
      <c r="S29" s="151"/>
      <c r="T29" s="151"/>
      <c r="U29" s="152"/>
      <c r="V29" s="151"/>
      <c r="W29" s="151"/>
      <c r="X29" s="151"/>
      <c r="Y29" s="151"/>
      <c r="Z29" s="151"/>
      <c r="AA29" s="152"/>
      <c r="AB29" s="151"/>
      <c r="AC29" s="151"/>
      <c r="AD29" s="151"/>
      <c r="AE29" s="151"/>
      <c r="AF29" s="151"/>
      <c r="AG29" s="152"/>
      <c r="AH29" s="151"/>
      <c r="AI29" s="151"/>
      <c r="AJ29" s="151"/>
      <c r="AK29" s="151"/>
      <c r="AL29" s="151"/>
      <c r="AM29" s="152"/>
      <c r="AN29" s="151"/>
      <c r="AO29" s="151"/>
      <c r="AP29" s="151"/>
      <c r="AQ29" s="151"/>
      <c r="AR29" s="151"/>
      <c r="AS29" s="152"/>
      <c r="AT29" s="151"/>
      <c r="AU29" s="151"/>
      <c r="AV29" s="151"/>
      <c r="AW29" s="151"/>
      <c r="AX29" s="151"/>
      <c r="AY29" s="152"/>
      <c r="AZ29" s="151"/>
      <c r="BA29" s="151"/>
      <c r="BB29" s="151"/>
      <c r="BC29" s="151"/>
      <c r="BD29" s="151"/>
      <c r="BE29" s="152"/>
      <c r="BF29" s="151"/>
      <c r="BG29" s="151"/>
      <c r="BH29" s="151"/>
      <c r="BI29" s="151"/>
      <c r="BJ29" s="151"/>
      <c r="BK29" s="152"/>
      <c r="BL29" s="151"/>
      <c r="BM29" s="151"/>
      <c r="BN29" s="151"/>
      <c r="BO29" s="151"/>
      <c r="BP29" s="108"/>
      <c r="BQ29" s="108"/>
      <c r="BR29" s="108"/>
      <c r="BS29" s="108"/>
      <c r="BT29" s="108"/>
      <c r="BU29" s="108"/>
      <c r="BV29" s="108"/>
      <c r="BW29" s="108"/>
      <c r="BX29" s="108"/>
      <c r="BY29" s="108"/>
      <c r="BZ29" s="108"/>
      <c r="CA29" s="108"/>
      <c r="CB29" s="108"/>
      <c r="CC29" s="108"/>
      <c r="CD29" s="108"/>
      <c r="CE29" s="108"/>
      <c r="CF29" s="108"/>
      <c r="CG29" s="108"/>
      <c r="CH29" s="108"/>
    </row>
    <row r="30" spans="1:132" ht="19.5" customHeight="1" x14ac:dyDescent="0.25">
      <c r="A30" s="151"/>
      <c r="B30" s="152"/>
      <c r="C30" s="151"/>
      <c r="D30" s="151"/>
      <c r="E30" s="151"/>
      <c r="F30" s="151"/>
      <c r="G30" s="151"/>
      <c r="H30" s="151"/>
      <c r="I30" s="152"/>
      <c r="J30" s="151"/>
      <c r="K30" s="151"/>
      <c r="L30" s="151"/>
      <c r="M30" s="151"/>
      <c r="N30" s="151"/>
      <c r="O30" s="152"/>
      <c r="P30" s="151"/>
      <c r="Q30" s="151"/>
      <c r="R30" s="151"/>
      <c r="S30" s="151"/>
      <c r="T30" s="151"/>
      <c r="U30" s="152"/>
      <c r="V30" s="151"/>
      <c r="W30" s="151"/>
      <c r="X30" s="151"/>
      <c r="Y30" s="151"/>
      <c r="Z30" s="151"/>
      <c r="AA30" s="152"/>
      <c r="AB30" s="151"/>
      <c r="AC30" s="151"/>
      <c r="AD30" s="151"/>
      <c r="AE30" s="151"/>
      <c r="AF30" s="151"/>
      <c r="AG30" s="152"/>
      <c r="AH30" s="151"/>
      <c r="AI30" s="151"/>
      <c r="AJ30" s="151"/>
      <c r="AK30" s="151"/>
      <c r="AL30" s="151"/>
      <c r="AM30" s="152"/>
      <c r="AN30" s="151"/>
      <c r="AO30" s="151"/>
      <c r="AP30" s="151"/>
      <c r="AQ30" s="151"/>
      <c r="AR30" s="151"/>
      <c r="AS30" s="152"/>
      <c r="AT30" s="151"/>
      <c r="AU30" s="151"/>
      <c r="AV30" s="151"/>
      <c r="AW30" s="151"/>
      <c r="AX30" s="151"/>
      <c r="AY30" s="152"/>
      <c r="AZ30" s="151"/>
      <c r="BA30" s="151"/>
      <c r="BB30" s="151"/>
      <c r="BC30" s="151"/>
      <c r="BD30" s="151"/>
      <c r="BE30" s="152"/>
      <c r="BF30" s="151"/>
      <c r="BG30" s="151"/>
      <c r="BH30" s="151"/>
      <c r="BI30" s="151"/>
      <c r="BJ30" s="151"/>
      <c r="BK30" s="152"/>
      <c r="BL30" s="151"/>
      <c r="BM30" s="151"/>
      <c r="BN30" s="151"/>
      <c r="BO30" s="151"/>
      <c r="BP30" s="108"/>
      <c r="BQ30" s="108"/>
      <c r="BR30" s="108"/>
      <c r="BS30" s="108"/>
      <c r="BT30" s="108"/>
      <c r="BU30" s="108"/>
      <c r="BV30" s="108"/>
      <c r="BW30" s="108"/>
      <c r="BX30" s="108"/>
      <c r="BY30" s="108"/>
      <c r="BZ30" s="108"/>
      <c r="CA30" s="108"/>
      <c r="CB30" s="108"/>
      <c r="CC30" s="108"/>
      <c r="CD30" s="108"/>
      <c r="CE30" s="108"/>
      <c r="CF30" s="108"/>
      <c r="CG30" s="108"/>
      <c r="CH30" s="108"/>
    </row>
    <row r="31" spans="1:132" ht="18" customHeight="1" x14ac:dyDescent="0.25">
      <c r="A31" s="151"/>
      <c r="B31" s="152"/>
      <c r="C31" s="151"/>
      <c r="D31" s="151"/>
      <c r="E31" s="151"/>
      <c r="F31" s="151"/>
      <c r="G31" s="151"/>
      <c r="H31" s="151"/>
      <c r="I31" s="152"/>
      <c r="J31" s="151"/>
      <c r="K31" s="151"/>
      <c r="L31" s="151"/>
      <c r="M31" s="151"/>
      <c r="N31" s="151"/>
      <c r="O31" s="152"/>
      <c r="P31" s="151"/>
      <c r="Q31" s="151"/>
      <c r="R31" s="151"/>
      <c r="S31" s="151"/>
      <c r="T31" s="151"/>
      <c r="U31" s="152"/>
      <c r="V31" s="151"/>
      <c r="W31" s="151"/>
      <c r="X31" s="151"/>
      <c r="Y31" s="151"/>
      <c r="Z31" s="151"/>
      <c r="AA31" s="152"/>
      <c r="AB31" s="151"/>
      <c r="AC31" s="151"/>
      <c r="AD31" s="151"/>
      <c r="AE31" s="151"/>
      <c r="AF31" s="151"/>
      <c r="AG31" s="152"/>
      <c r="AH31" s="151"/>
      <c r="AI31" s="151"/>
      <c r="AJ31" s="151"/>
      <c r="AK31" s="151"/>
      <c r="AL31" s="151"/>
      <c r="AM31" s="152"/>
      <c r="AN31" s="151"/>
      <c r="AO31" s="151"/>
      <c r="AP31" s="151"/>
      <c r="AQ31" s="151"/>
      <c r="AR31" s="151"/>
      <c r="AS31" s="152"/>
      <c r="AT31" s="151"/>
      <c r="AU31" s="151"/>
      <c r="AV31" s="151"/>
      <c r="AW31" s="151"/>
      <c r="AX31" s="151"/>
      <c r="AY31" s="152"/>
      <c r="AZ31" s="151"/>
      <c r="BA31" s="151"/>
      <c r="BB31" s="151"/>
      <c r="BC31" s="151"/>
      <c r="BD31" s="151"/>
      <c r="BE31" s="152"/>
      <c r="BF31" s="151"/>
      <c r="BG31" s="151"/>
      <c r="BH31" s="151"/>
      <c r="BI31" s="151"/>
      <c r="BJ31" s="151"/>
      <c r="BK31" s="152"/>
      <c r="BL31" s="151"/>
      <c r="BM31" s="151"/>
      <c r="BN31" s="151"/>
      <c r="BO31" s="151"/>
      <c r="BP31" s="108"/>
      <c r="BQ31" s="108"/>
      <c r="BR31" s="108"/>
      <c r="BS31" s="108"/>
      <c r="BT31" s="153"/>
      <c r="BU31" s="153"/>
      <c r="BV31" s="153"/>
      <c r="BW31" s="153"/>
      <c r="BX31" s="153"/>
      <c r="BY31" s="153"/>
      <c r="BZ31" s="153"/>
      <c r="CA31" s="153"/>
      <c r="CB31" s="153"/>
      <c r="CC31" s="153"/>
      <c r="CD31" s="153"/>
      <c r="CE31" s="153"/>
      <c r="CF31" s="153"/>
      <c r="CG31" s="153"/>
      <c r="CH31" s="108"/>
      <c r="CI31" s="107"/>
      <c r="CJ31" s="107"/>
      <c r="CK31" s="107"/>
      <c r="CL31" s="107"/>
      <c r="CM31" s="107"/>
      <c r="CN31" s="107"/>
      <c r="CO31" s="107"/>
      <c r="CP31" s="107"/>
      <c r="CQ31" s="107"/>
      <c r="CR31" s="107"/>
      <c r="CS31" s="107"/>
      <c r="CT31" s="107"/>
      <c r="CU31" s="107"/>
      <c r="CV31" s="107"/>
      <c r="CW31" s="107"/>
      <c r="CX31" s="107"/>
      <c r="CY31" s="107"/>
      <c r="CZ31" s="107"/>
      <c r="DA31" s="107"/>
      <c r="DB31" s="107"/>
      <c r="DC31" s="107"/>
      <c r="DD31" s="107"/>
      <c r="DE31" s="107"/>
      <c r="DF31" s="107"/>
      <c r="DG31" s="107"/>
      <c r="DH31" s="107"/>
      <c r="DI31" s="107"/>
      <c r="DJ31" s="107"/>
      <c r="DK31" s="107"/>
      <c r="DL31" s="107"/>
      <c r="DM31" s="107"/>
      <c r="DN31" s="107"/>
      <c r="DO31" s="107"/>
      <c r="DP31" s="107"/>
      <c r="DQ31" s="107"/>
      <c r="DR31" s="107"/>
      <c r="DS31" s="107"/>
      <c r="DT31" s="107"/>
      <c r="DU31" s="107"/>
      <c r="DV31" s="107"/>
      <c r="DW31" s="107"/>
      <c r="DX31" s="107"/>
      <c r="DY31" s="107"/>
      <c r="DZ31" s="107"/>
      <c r="EA31" s="107"/>
      <c r="EB31" s="107"/>
    </row>
    <row r="32" spans="1:132" ht="16.5" customHeight="1" thickBot="1" x14ac:dyDescent="0.3">
      <c r="A32" s="151"/>
      <c r="B32" s="152"/>
      <c r="C32" s="151"/>
      <c r="D32" s="151"/>
      <c r="E32" s="151"/>
      <c r="F32" s="151"/>
      <c r="G32" s="151"/>
      <c r="H32" s="151"/>
      <c r="I32" s="152"/>
      <c r="J32" s="151"/>
      <c r="K32" s="151"/>
      <c r="L32" s="151"/>
      <c r="M32" s="151"/>
      <c r="N32" s="151"/>
      <c r="O32" s="152"/>
      <c r="P32" s="151"/>
      <c r="Q32" s="151"/>
      <c r="R32" s="151"/>
      <c r="S32" s="151"/>
      <c r="T32" s="151"/>
      <c r="U32" s="152"/>
      <c r="V32" s="151"/>
      <c r="W32" s="151"/>
      <c r="X32" s="151"/>
      <c r="Y32" s="151"/>
      <c r="Z32" s="151"/>
      <c r="AA32" s="152"/>
      <c r="AB32" s="151"/>
      <c r="AC32" s="151"/>
      <c r="AD32" s="151"/>
      <c r="AE32" s="151"/>
      <c r="AF32" s="151"/>
      <c r="AG32" s="152"/>
      <c r="AH32" s="151"/>
      <c r="AI32" s="151"/>
      <c r="AJ32" s="151"/>
      <c r="AK32" s="151"/>
      <c r="AL32" s="151"/>
      <c r="AM32" s="152"/>
      <c r="AN32" s="151"/>
      <c r="AO32" s="151"/>
      <c r="AP32" s="151"/>
      <c r="AQ32" s="151"/>
      <c r="AR32" s="151"/>
      <c r="AS32" s="152"/>
      <c r="AT32" s="151"/>
      <c r="AU32" s="151"/>
      <c r="AV32" s="151"/>
      <c r="AW32" s="151"/>
      <c r="AX32" s="151"/>
      <c r="AY32" s="152"/>
      <c r="AZ32" s="151"/>
      <c r="BA32" s="151"/>
      <c r="BB32" s="151"/>
      <c r="BC32" s="151"/>
      <c r="BD32" s="151"/>
      <c r="BE32" s="152"/>
      <c r="BF32" s="151"/>
      <c r="BG32" s="151"/>
      <c r="BH32" s="151"/>
      <c r="BI32" s="151"/>
      <c r="BJ32" s="151"/>
      <c r="BK32" s="152"/>
      <c r="BL32" s="151"/>
      <c r="BM32" s="151"/>
      <c r="BN32" s="151"/>
      <c r="BO32" s="151"/>
      <c r="BP32" s="108"/>
      <c r="BQ32" s="108"/>
      <c r="BR32" s="108"/>
      <c r="BS32" s="108"/>
      <c r="BT32" s="155"/>
      <c r="BU32" s="155"/>
      <c r="BV32" s="155"/>
      <c r="BW32" s="155"/>
      <c r="BX32" s="155"/>
      <c r="BY32" s="155"/>
      <c r="BZ32" s="155"/>
      <c r="CA32" s="155"/>
      <c r="CB32" s="155"/>
      <c r="CC32" s="155"/>
      <c r="CD32" s="155"/>
      <c r="CE32" s="155"/>
      <c r="CF32" s="155"/>
      <c r="CG32" s="155"/>
      <c r="CH32" s="108"/>
      <c r="CI32" s="107"/>
      <c r="CJ32" s="107"/>
      <c r="CK32" s="107"/>
      <c r="CL32" s="107"/>
      <c r="CM32" s="107"/>
      <c r="CN32" s="107"/>
      <c r="CO32" s="107"/>
      <c r="CP32" s="107"/>
      <c r="CQ32" s="107"/>
      <c r="CR32" s="107"/>
      <c r="CS32" s="107"/>
      <c r="CT32" s="107"/>
      <c r="CU32" s="107"/>
      <c r="CV32" s="107"/>
      <c r="CW32" s="107"/>
      <c r="CX32" s="107"/>
      <c r="CY32" s="107"/>
      <c r="CZ32" s="107"/>
      <c r="DA32" s="107"/>
      <c r="DB32" s="107"/>
      <c r="DC32" s="107"/>
      <c r="DD32" s="107"/>
      <c r="DE32" s="107"/>
      <c r="DF32" s="107"/>
      <c r="DG32" s="107"/>
      <c r="DH32" s="107"/>
      <c r="DI32" s="107"/>
      <c r="DJ32" s="107"/>
      <c r="DK32" s="107"/>
      <c r="DL32" s="107"/>
      <c r="DM32" s="107"/>
      <c r="DN32" s="107"/>
      <c r="DO32" s="107"/>
      <c r="DP32" s="107"/>
      <c r="DQ32" s="107"/>
      <c r="DR32" s="107"/>
      <c r="DS32" s="107"/>
      <c r="DT32" s="107"/>
      <c r="DU32" s="107"/>
      <c r="DV32" s="107"/>
      <c r="DW32" s="107"/>
      <c r="DX32" s="107"/>
      <c r="DY32" s="107"/>
      <c r="DZ32" s="107"/>
      <c r="EA32" s="107"/>
      <c r="EB32" s="107"/>
    </row>
    <row r="33" spans="1:137" ht="21.75" customHeight="1" x14ac:dyDescent="0.25">
      <c r="A33" s="421" t="s">
        <v>179</v>
      </c>
      <c r="B33" s="422"/>
      <c r="C33" s="422"/>
      <c r="D33" s="422"/>
      <c r="E33" s="422"/>
      <c r="F33" s="422"/>
      <c r="G33" s="422"/>
      <c r="H33" s="422"/>
      <c r="I33" s="422"/>
      <c r="J33" s="422"/>
      <c r="K33" s="422"/>
      <c r="L33" s="422"/>
      <c r="M33" s="422"/>
      <c r="N33" s="422"/>
      <c r="O33" s="422"/>
      <c r="P33" s="422"/>
      <c r="Q33" s="422"/>
      <c r="R33" s="422"/>
      <c r="S33" s="422"/>
      <c r="T33" s="422"/>
      <c r="U33" s="422"/>
      <c r="V33" s="422"/>
      <c r="W33" s="422"/>
      <c r="X33" s="422"/>
      <c r="Y33" s="422"/>
      <c r="Z33" s="422"/>
      <c r="AA33" s="422"/>
      <c r="AB33" s="422"/>
      <c r="AC33" s="422"/>
      <c r="AD33" s="422"/>
      <c r="AE33" s="422"/>
      <c r="AF33" s="422"/>
      <c r="AG33" s="422"/>
      <c r="AH33" s="422"/>
      <c r="AI33" s="422"/>
      <c r="AJ33" s="422"/>
      <c r="AK33" s="422"/>
      <c r="AL33" s="422"/>
      <c r="AM33" s="422"/>
      <c r="AN33" s="422"/>
      <c r="AO33" s="422"/>
      <c r="AP33" s="422"/>
      <c r="AQ33" s="422"/>
      <c r="AR33" s="422"/>
      <c r="AS33" s="422"/>
      <c r="AT33" s="422"/>
      <c r="AU33" s="422"/>
      <c r="AV33" s="422"/>
      <c r="AW33" s="422"/>
      <c r="AX33" s="422"/>
      <c r="AY33" s="422"/>
      <c r="AZ33" s="422"/>
      <c r="BA33" s="422"/>
      <c r="BB33" s="422"/>
      <c r="BC33" s="422"/>
      <c r="BD33" s="422"/>
      <c r="BE33" s="422"/>
      <c r="BF33" s="422"/>
      <c r="BG33" s="422"/>
      <c r="BH33" s="422"/>
      <c r="BI33" s="422"/>
      <c r="BJ33" s="422"/>
      <c r="BK33" s="422"/>
      <c r="BL33" s="422"/>
      <c r="BM33" s="422"/>
      <c r="BN33" s="422"/>
      <c r="BO33" s="422"/>
      <c r="BP33" s="422"/>
      <c r="BQ33" s="422"/>
      <c r="BR33" s="422"/>
      <c r="BS33" s="422"/>
      <c r="BT33" s="422"/>
      <c r="BU33" s="422"/>
      <c r="BV33" s="422"/>
      <c r="BW33" s="422"/>
      <c r="BX33" s="422"/>
      <c r="BY33" s="422"/>
      <c r="BZ33" s="422"/>
      <c r="CA33" s="422"/>
      <c r="CB33" s="422"/>
      <c r="CC33" s="422"/>
      <c r="CD33" s="422"/>
      <c r="CE33" s="422"/>
      <c r="CF33" s="423"/>
      <c r="CG33" s="108"/>
      <c r="CH33" s="108"/>
      <c r="CI33" s="107"/>
      <c r="CJ33" s="107"/>
      <c r="CK33" s="107"/>
      <c r="CL33" s="107"/>
      <c r="CM33" s="107"/>
      <c r="CN33" s="107"/>
      <c r="CO33" s="107"/>
      <c r="CP33" s="107"/>
      <c r="CQ33" s="107"/>
      <c r="CR33" s="107"/>
      <c r="CS33" s="107"/>
      <c r="CT33" s="107"/>
      <c r="CU33" s="107"/>
      <c r="CV33" s="107"/>
      <c r="CW33" s="107"/>
      <c r="CX33" s="107"/>
      <c r="CY33" s="107"/>
      <c r="CZ33" s="107"/>
      <c r="DA33" s="107"/>
      <c r="DB33" s="107"/>
      <c r="DC33" s="107"/>
      <c r="DD33" s="107"/>
      <c r="DE33" s="107"/>
      <c r="DF33" s="107"/>
      <c r="DG33" s="107"/>
      <c r="DH33" s="107"/>
      <c r="DI33" s="107"/>
      <c r="DJ33" s="107"/>
      <c r="DK33" s="107"/>
      <c r="DL33" s="107"/>
      <c r="DM33" s="107"/>
      <c r="DN33" s="107"/>
      <c r="DO33" s="107"/>
      <c r="DP33" s="107"/>
      <c r="DQ33" s="107"/>
      <c r="DR33" s="107"/>
      <c r="DS33" s="107"/>
      <c r="DT33" s="107"/>
      <c r="DU33" s="107"/>
      <c r="DV33" s="107"/>
      <c r="DW33" s="107"/>
      <c r="DX33" s="107"/>
      <c r="DY33" s="107"/>
      <c r="DZ33" s="107"/>
      <c r="EA33" s="107"/>
      <c r="EB33" s="107"/>
    </row>
    <row r="34" spans="1:137" ht="19.5" customHeight="1" x14ac:dyDescent="0.25">
      <c r="A34" s="424"/>
      <c r="B34" s="425"/>
      <c r="C34" s="425"/>
      <c r="D34" s="425"/>
      <c r="E34" s="425"/>
      <c r="F34" s="425"/>
      <c r="G34" s="425"/>
      <c r="H34" s="425"/>
      <c r="I34" s="425"/>
      <c r="J34" s="425"/>
      <c r="K34" s="425"/>
      <c r="L34" s="425"/>
      <c r="M34" s="425"/>
      <c r="N34" s="425"/>
      <c r="O34" s="425"/>
      <c r="P34" s="425"/>
      <c r="Q34" s="425"/>
      <c r="R34" s="425"/>
      <c r="S34" s="425"/>
      <c r="T34" s="425"/>
      <c r="U34" s="425"/>
      <c r="V34" s="425"/>
      <c r="W34" s="425"/>
      <c r="X34" s="425"/>
      <c r="Y34" s="425"/>
      <c r="Z34" s="425"/>
      <c r="AA34" s="425"/>
      <c r="AB34" s="425"/>
      <c r="AC34" s="425"/>
      <c r="AD34" s="425"/>
      <c r="AE34" s="425"/>
      <c r="AF34" s="425"/>
      <c r="AG34" s="425"/>
      <c r="AH34" s="425"/>
      <c r="AI34" s="425"/>
      <c r="AJ34" s="425"/>
      <c r="AK34" s="425"/>
      <c r="AL34" s="425"/>
      <c r="AM34" s="425"/>
      <c r="AN34" s="425"/>
      <c r="AO34" s="425"/>
      <c r="AP34" s="425"/>
      <c r="AQ34" s="425"/>
      <c r="AR34" s="425"/>
      <c r="AS34" s="425"/>
      <c r="AT34" s="425"/>
      <c r="AU34" s="425"/>
      <c r="AV34" s="425"/>
      <c r="AW34" s="425"/>
      <c r="AX34" s="425"/>
      <c r="AY34" s="425"/>
      <c r="AZ34" s="425"/>
      <c r="BA34" s="425"/>
      <c r="BB34" s="425"/>
      <c r="BC34" s="425"/>
      <c r="BD34" s="425"/>
      <c r="BE34" s="425"/>
      <c r="BF34" s="425"/>
      <c r="BG34" s="425"/>
      <c r="BH34" s="425"/>
      <c r="BI34" s="425"/>
      <c r="BJ34" s="425"/>
      <c r="BK34" s="425"/>
      <c r="BL34" s="425"/>
      <c r="BM34" s="425"/>
      <c r="BN34" s="425"/>
      <c r="BO34" s="425"/>
      <c r="BP34" s="425"/>
      <c r="BQ34" s="425"/>
      <c r="BR34" s="425"/>
      <c r="BS34" s="425"/>
      <c r="BT34" s="425"/>
      <c r="BU34" s="425"/>
      <c r="BV34" s="425"/>
      <c r="BW34" s="425"/>
      <c r="BX34" s="425"/>
      <c r="BY34" s="425"/>
      <c r="BZ34" s="425"/>
      <c r="CA34" s="425"/>
      <c r="CB34" s="425"/>
      <c r="CC34" s="425"/>
      <c r="CD34" s="425"/>
      <c r="CE34" s="425"/>
      <c r="CF34" s="426"/>
      <c r="CG34" s="108"/>
      <c r="CH34" s="108"/>
    </row>
    <row r="35" spans="1:137" ht="20.25" customHeight="1" x14ac:dyDescent="0.25">
      <c r="A35" s="424"/>
      <c r="B35" s="425"/>
      <c r="C35" s="425"/>
      <c r="D35" s="425"/>
      <c r="E35" s="425"/>
      <c r="F35" s="425"/>
      <c r="G35" s="425"/>
      <c r="H35" s="425"/>
      <c r="I35" s="425"/>
      <c r="J35" s="425"/>
      <c r="K35" s="425"/>
      <c r="L35" s="425"/>
      <c r="M35" s="425"/>
      <c r="N35" s="425"/>
      <c r="O35" s="425"/>
      <c r="P35" s="425"/>
      <c r="Q35" s="425"/>
      <c r="R35" s="425"/>
      <c r="S35" s="425"/>
      <c r="T35" s="425"/>
      <c r="U35" s="425"/>
      <c r="V35" s="425"/>
      <c r="W35" s="425"/>
      <c r="X35" s="425"/>
      <c r="Y35" s="425"/>
      <c r="Z35" s="425"/>
      <c r="AA35" s="425"/>
      <c r="AB35" s="425"/>
      <c r="AC35" s="425"/>
      <c r="AD35" s="425"/>
      <c r="AE35" s="425"/>
      <c r="AF35" s="425"/>
      <c r="AG35" s="425"/>
      <c r="AH35" s="425"/>
      <c r="AI35" s="425"/>
      <c r="AJ35" s="425"/>
      <c r="AK35" s="425"/>
      <c r="AL35" s="425"/>
      <c r="AM35" s="425"/>
      <c r="AN35" s="425"/>
      <c r="AO35" s="425"/>
      <c r="AP35" s="425"/>
      <c r="AQ35" s="425"/>
      <c r="AR35" s="425"/>
      <c r="AS35" s="425"/>
      <c r="AT35" s="425"/>
      <c r="AU35" s="425"/>
      <c r="AV35" s="425"/>
      <c r="AW35" s="425"/>
      <c r="AX35" s="425"/>
      <c r="AY35" s="425"/>
      <c r="AZ35" s="425"/>
      <c r="BA35" s="425"/>
      <c r="BB35" s="425"/>
      <c r="BC35" s="425"/>
      <c r="BD35" s="425"/>
      <c r="BE35" s="425"/>
      <c r="BF35" s="425"/>
      <c r="BG35" s="425"/>
      <c r="BH35" s="425"/>
      <c r="BI35" s="425"/>
      <c r="BJ35" s="425"/>
      <c r="BK35" s="425"/>
      <c r="BL35" s="425"/>
      <c r="BM35" s="425"/>
      <c r="BN35" s="425"/>
      <c r="BO35" s="425"/>
      <c r="BP35" s="425"/>
      <c r="BQ35" s="425"/>
      <c r="BR35" s="425"/>
      <c r="BS35" s="425"/>
      <c r="BT35" s="425"/>
      <c r="BU35" s="425"/>
      <c r="BV35" s="425"/>
      <c r="BW35" s="425"/>
      <c r="BX35" s="425"/>
      <c r="BY35" s="425"/>
      <c r="BZ35" s="425"/>
      <c r="CA35" s="425"/>
      <c r="CB35" s="425"/>
      <c r="CC35" s="425"/>
      <c r="CD35" s="425"/>
      <c r="CE35" s="425"/>
      <c r="CF35" s="426"/>
      <c r="CG35" s="108"/>
      <c r="CH35" s="108"/>
    </row>
    <row r="36" spans="1:137" ht="17.25" customHeight="1" x14ac:dyDescent="0.25">
      <c r="A36" s="424"/>
      <c r="B36" s="425"/>
      <c r="C36" s="425"/>
      <c r="D36" s="425"/>
      <c r="E36" s="425"/>
      <c r="F36" s="425"/>
      <c r="G36" s="425"/>
      <c r="H36" s="425"/>
      <c r="I36" s="425"/>
      <c r="J36" s="425"/>
      <c r="K36" s="425"/>
      <c r="L36" s="425"/>
      <c r="M36" s="425"/>
      <c r="N36" s="425"/>
      <c r="O36" s="425"/>
      <c r="P36" s="425"/>
      <c r="Q36" s="425"/>
      <c r="R36" s="425"/>
      <c r="S36" s="425"/>
      <c r="T36" s="425"/>
      <c r="U36" s="425"/>
      <c r="V36" s="425"/>
      <c r="W36" s="425"/>
      <c r="X36" s="425"/>
      <c r="Y36" s="425"/>
      <c r="Z36" s="425"/>
      <c r="AA36" s="425"/>
      <c r="AB36" s="425"/>
      <c r="AC36" s="425"/>
      <c r="AD36" s="425"/>
      <c r="AE36" s="425"/>
      <c r="AF36" s="425"/>
      <c r="AG36" s="425"/>
      <c r="AH36" s="425"/>
      <c r="AI36" s="425"/>
      <c r="AJ36" s="425"/>
      <c r="AK36" s="425"/>
      <c r="AL36" s="425"/>
      <c r="AM36" s="425"/>
      <c r="AN36" s="425"/>
      <c r="AO36" s="425"/>
      <c r="AP36" s="425"/>
      <c r="AQ36" s="425"/>
      <c r="AR36" s="425"/>
      <c r="AS36" s="425"/>
      <c r="AT36" s="425"/>
      <c r="AU36" s="425"/>
      <c r="AV36" s="425"/>
      <c r="AW36" s="425"/>
      <c r="AX36" s="425"/>
      <c r="AY36" s="425"/>
      <c r="AZ36" s="425"/>
      <c r="BA36" s="425"/>
      <c r="BB36" s="425"/>
      <c r="BC36" s="425"/>
      <c r="BD36" s="425"/>
      <c r="BE36" s="425"/>
      <c r="BF36" s="425"/>
      <c r="BG36" s="425"/>
      <c r="BH36" s="425"/>
      <c r="BI36" s="425"/>
      <c r="BJ36" s="425"/>
      <c r="BK36" s="425"/>
      <c r="BL36" s="425"/>
      <c r="BM36" s="425"/>
      <c r="BN36" s="425"/>
      <c r="BO36" s="425"/>
      <c r="BP36" s="425"/>
      <c r="BQ36" s="425"/>
      <c r="BR36" s="425"/>
      <c r="BS36" s="425"/>
      <c r="BT36" s="425"/>
      <c r="BU36" s="425"/>
      <c r="BV36" s="425"/>
      <c r="BW36" s="425"/>
      <c r="BX36" s="425"/>
      <c r="BY36" s="425"/>
      <c r="BZ36" s="425"/>
      <c r="CA36" s="425"/>
      <c r="CB36" s="425"/>
      <c r="CC36" s="425"/>
      <c r="CD36" s="425"/>
      <c r="CE36" s="425"/>
      <c r="CF36" s="426"/>
      <c r="CG36" s="108"/>
      <c r="CH36" s="108"/>
      <c r="CI36" s="199"/>
      <c r="CJ36" s="199"/>
      <c r="CK36" s="199"/>
      <c r="CL36" s="199"/>
      <c r="CM36" s="136"/>
      <c r="CN36" s="199"/>
      <c r="CO36" s="199"/>
      <c r="CP36" s="199"/>
      <c r="CQ36" s="199"/>
      <c r="CR36" s="199"/>
      <c r="CS36" s="136"/>
      <c r="CT36" s="199"/>
      <c r="CU36" s="199"/>
      <c r="CV36" s="199"/>
      <c r="CW36" s="199"/>
      <c r="CX36" s="199"/>
      <c r="CY36" s="136"/>
      <c r="CZ36" s="199"/>
      <c r="DA36" s="199"/>
      <c r="DB36" s="199"/>
      <c r="DC36" s="199"/>
      <c r="DD36" s="199"/>
      <c r="DE36" s="136"/>
      <c r="DF36" s="199"/>
      <c r="DG36" s="199"/>
      <c r="DH36" s="199"/>
      <c r="DI36" s="199"/>
      <c r="DJ36" s="199"/>
      <c r="DK36" s="136"/>
      <c r="DL36" s="199"/>
      <c r="DM36" s="199"/>
      <c r="DN36" s="199"/>
      <c r="DO36" s="199"/>
      <c r="DP36" s="199"/>
      <c r="DQ36" s="136"/>
      <c r="DR36" s="199"/>
      <c r="DS36" s="199"/>
      <c r="DT36" s="199"/>
      <c r="DU36" s="199"/>
      <c r="DV36" s="199"/>
      <c r="DW36" s="136"/>
      <c r="DX36" s="199"/>
      <c r="DY36" s="199"/>
      <c r="DZ36" s="199"/>
      <c r="EA36" s="199"/>
      <c r="EB36" s="199"/>
      <c r="EC36" s="136"/>
      <c r="ED36" s="199"/>
      <c r="EE36" s="199"/>
      <c r="EF36" s="199"/>
      <c r="EG36" s="199"/>
    </row>
    <row r="37" spans="1:137" ht="15" customHeight="1" thickBot="1" x14ac:dyDescent="0.3">
      <c r="A37" s="427"/>
      <c r="B37" s="428"/>
      <c r="C37" s="428"/>
      <c r="D37" s="428"/>
      <c r="E37" s="428"/>
      <c r="F37" s="428"/>
      <c r="G37" s="428"/>
      <c r="H37" s="428"/>
      <c r="I37" s="428"/>
      <c r="J37" s="428"/>
      <c r="K37" s="428"/>
      <c r="L37" s="428"/>
      <c r="M37" s="428"/>
      <c r="N37" s="428"/>
      <c r="O37" s="428"/>
      <c r="P37" s="428"/>
      <c r="Q37" s="428"/>
      <c r="R37" s="428"/>
      <c r="S37" s="428"/>
      <c r="T37" s="428"/>
      <c r="U37" s="428"/>
      <c r="V37" s="428"/>
      <c r="W37" s="428"/>
      <c r="X37" s="428"/>
      <c r="Y37" s="428"/>
      <c r="Z37" s="428"/>
      <c r="AA37" s="428"/>
      <c r="AB37" s="428"/>
      <c r="AC37" s="428"/>
      <c r="AD37" s="428"/>
      <c r="AE37" s="428"/>
      <c r="AF37" s="428"/>
      <c r="AG37" s="428"/>
      <c r="AH37" s="428"/>
      <c r="AI37" s="428"/>
      <c r="AJ37" s="428"/>
      <c r="AK37" s="428"/>
      <c r="AL37" s="428"/>
      <c r="AM37" s="428"/>
      <c r="AN37" s="428"/>
      <c r="AO37" s="428"/>
      <c r="AP37" s="428"/>
      <c r="AQ37" s="428"/>
      <c r="AR37" s="428"/>
      <c r="AS37" s="428"/>
      <c r="AT37" s="428"/>
      <c r="AU37" s="428"/>
      <c r="AV37" s="428"/>
      <c r="AW37" s="428"/>
      <c r="AX37" s="428"/>
      <c r="AY37" s="428"/>
      <c r="AZ37" s="428"/>
      <c r="BA37" s="428"/>
      <c r="BB37" s="428"/>
      <c r="BC37" s="428"/>
      <c r="BD37" s="428"/>
      <c r="BE37" s="428"/>
      <c r="BF37" s="428"/>
      <c r="BG37" s="428"/>
      <c r="BH37" s="428"/>
      <c r="BI37" s="428"/>
      <c r="BJ37" s="428"/>
      <c r="BK37" s="428"/>
      <c r="BL37" s="428"/>
      <c r="BM37" s="428"/>
      <c r="BN37" s="428"/>
      <c r="BO37" s="428"/>
      <c r="BP37" s="428"/>
      <c r="BQ37" s="428"/>
      <c r="BR37" s="428"/>
      <c r="BS37" s="428"/>
      <c r="BT37" s="428"/>
      <c r="BU37" s="428"/>
      <c r="BV37" s="428"/>
      <c r="BW37" s="428"/>
      <c r="BX37" s="428"/>
      <c r="BY37" s="428"/>
      <c r="BZ37" s="428"/>
      <c r="CA37" s="428"/>
      <c r="CB37" s="428"/>
      <c r="CC37" s="428"/>
      <c r="CD37" s="428"/>
      <c r="CE37" s="428"/>
      <c r="CF37" s="429"/>
      <c r="CG37" s="108"/>
      <c r="CH37" s="108"/>
      <c r="CI37" s="199"/>
      <c r="CJ37" s="199"/>
      <c r="CK37" s="199"/>
      <c r="CL37" s="199"/>
      <c r="CM37" s="136"/>
      <c r="CN37" s="199"/>
      <c r="CO37" s="199"/>
      <c r="CP37" s="199"/>
      <c r="CQ37" s="199"/>
      <c r="CR37" s="199"/>
      <c r="CS37" s="136"/>
      <c r="CT37" s="199"/>
      <c r="CU37" s="199"/>
      <c r="CV37" s="199"/>
      <c r="CW37" s="199"/>
      <c r="CX37" s="199"/>
      <c r="CY37" s="136"/>
      <c r="CZ37" s="199"/>
      <c r="DA37" s="199"/>
      <c r="DB37" s="199"/>
      <c r="DC37" s="199"/>
      <c r="DD37" s="199"/>
      <c r="DE37" s="136"/>
      <c r="DF37" s="199"/>
      <c r="DG37" s="199"/>
      <c r="DH37" s="199"/>
      <c r="DI37" s="199"/>
      <c r="DJ37" s="199"/>
      <c r="DK37" s="136"/>
      <c r="DL37" s="199"/>
      <c r="DM37" s="199"/>
      <c r="DN37" s="199"/>
      <c r="DO37" s="199"/>
      <c r="DP37" s="199"/>
      <c r="DQ37" s="136"/>
      <c r="DR37" s="199"/>
      <c r="DS37" s="199"/>
      <c r="DT37" s="199"/>
      <c r="DU37" s="199"/>
      <c r="DV37" s="199"/>
      <c r="DW37" s="136"/>
      <c r="DX37" s="199"/>
      <c r="DY37" s="199"/>
      <c r="DZ37" s="199"/>
      <c r="EA37" s="199"/>
      <c r="EB37" s="199"/>
      <c r="EC37" s="136"/>
      <c r="ED37" s="199"/>
      <c r="EE37" s="199"/>
      <c r="EF37" s="199"/>
      <c r="EG37" s="199"/>
    </row>
    <row r="38" spans="1:137" ht="15" customHeight="1" x14ac:dyDescent="0.25">
      <c r="A38" s="421">
        <v>1</v>
      </c>
      <c r="B38" s="422"/>
      <c r="C38" s="422"/>
      <c r="D38" s="422"/>
      <c r="E38" s="422"/>
      <c r="F38" s="422"/>
      <c r="G38" s="423"/>
      <c r="H38" s="421">
        <v>2</v>
      </c>
      <c r="I38" s="422"/>
      <c r="J38" s="422"/>
      <c r="K38" s="422"/>
      <c r="L38" s="422"/>
      <c r="M38" s="422"/>
      <c r="N38" s="423"/>
      <c r="O38" s="421">
        <v>3</v>
      </c>
      <c r="P38" s="422"/>
      <c r="Q38" s="422"/>
      <c r="R38" s="422"/>
      <c r="S38" s="422"/>
      <c r="T38" s="422"/>
      <c r="U38" s="423"/>
      <c r="V38" s="421">
        <v>4</v>
      </c>
      <c r="W38" s="422"/>
      <c r="X38" s="422"/>
      <c r="Y38" s="422"/>
      <c r="Z38" s="422"/>
      <c r="AA38" s="422"/>
      <c r="AB38" s="423"/>
      <c r="AC38" s="167"/>
      <c r="AD38" s="167"/>
      <c r="AE38" s="167"/>
      <c r="AF38" s="167"/>
      <c r="AG38" s="167"/>
      <c r="AH38" s="167"/>
      <c r="AI38" s="167"/>
      <c r="AJ38" s="167"/>
      <c r="AK38" s="167"/>
      <c r="AL38" s="167"/>
      <c r="AM38" s="167"/>
      <c r="AN38" s="167"/>
      <c r="AO38" s="167"/>
      <c r="AP38" s="167"/>
      <c r="AQ38" s="167"/>
      <c r="AR38" s="167"/>
      <c r="AS38" s="167"/>
      <c r="AT38" s="167"/>
      <c r="AU38" s="167"/>
      <c r="AV38" s="167"/>
      <c r="AW38" s="167"/>
      <c r="AX38" s="167"/>
      <c r="AY38" s="167"/>
      <c r="AZ38" s="167"/>
      <c r="BA38" s="167"/>
      <c r="BB38" s="167"/>
      <c r="BC38" s="167"/>
      <c r="BD38" s="167"/>
      <c r="BE38" s="167"/>
      <c r="BF38" s="167"/>
      <c r="BG38" s="167"/>
      <c r="BH38" s="167"/>
      <c r="BI38" s="167"/>
      <c r="BJ38" s="167"/>
      <c r="BK38" s="167"/>
      <c r="BL38" s="167"/>
      <c r="BM38" s="167"/>
      <c r="BN38" s="167"/>
      <c r="BO38" s="167"/>
      <c r="BP38" s="167"/>
      <c r="BQ38" s="167"/>
      <c r="BR38" s="167"/>
      <c r="BS38" s="167"/>
      <c r="BT38" s="167"/>
      <c r="BU38" s="167"/>
      <c r="BV38" s="167"/>
      <c r="BW38" s="167"/>
      <c r="BX38" s="167"/>
      <c r="BY38" s="167"/>
      <c r="BZ38" s="167"/>
      <c r="CA38" s="167"/>
      <c r="CB38" s="167"/>
      <c r="CC38" s="167"/>
      <c r="CD38" s="167"/>
      <c r="CE38" s="167"/>
      <c r="CF38" s="168"/>
      <c r="CG38" s="108"/>
      <c r="CH38" s="108"/>
      <c r="CI38" s="199"/>
      <c r="CJ38" s="199"/>
      <c r="CK38" s="199"/>
      <c r="CL38" s="199"/>
      <c r="CM38" s="136"/>
      <c r="CN38" s="199"/>
      <c r="CO38" s="199"/>
      <c r="CP38" s="199"/>
      <c r="CQ38" s="199"/>
      <c r="CR38" s="199"/>
      <c r="CS38" s="136"/>
      <c r="CT38" s="199"/>
      <c r="CU38" s="199"/>
      <c r="CV38" s="199"/>
      <c r="CW38" s="199"/>
      <c r="CX38" s="199"/>
      <c r="CY38" s="136"/>
      <c r="CZ38" s="199"/>
      <c r="DA38" s="199"/>
      <c r="DB38" s="199"/>
      <c r="DC38" s="199"/>
      <c r="DD38" s="199"/>
      <c r="DE38" s="136"/>
      <c r="DF38" s="199"/>
      <c r="DG38" s="199"/>
      <c r="DH38" s="199"/>
      <c r="DI38" s="199"/>
      <c r="DJ38" s="199"/>
      <c r="DK38" s="136"/>
      <c r="DL38" s="199"/>
      <c r="DM38" s="199"/>
      <c r="DN38" s="199"/>
      <c r="DO38" s="199"/>
      <c r="DP38" s="199"/>
      <c r="DQ38" s="136"/>
      <c r="DR38" s="199"/>
      <c r="DS38" s="199"/>
      <c r="DT38" s="199"/>
      <c r="DU38" s="199"/>
      <c r="DV38" s="199"/>
      <c r="DW38" s="136"/>
      <c r="DX38" s="199"/>
      <c r="DY38" s="199"/>
      <c r="DZ38" s="199"/>
      <c r="EA38" s="199"/>
      <c r="EB38" s="199"/>
      <c r="EC38" s="136"/>
      <c r="ED38" s="199"/>
      <c r="EE38" s="199"/>
      <c r="EF38" s="199"/>
      <c r="EG38" s="199"/>
    </row>
    <row r="39" spans="1:137" ht="15.75" customHeight="1" thickBot="1" x14ac:dyDescent="0.3">
      <c r="A39" s="427"/>
      <c r="B39" s="428"/>
      <c r="C39" s="428"/>
      <c r="D39" s="428"/>
      <c r="E39" s="428"/>
      <c r="F39" s="428"/>
      <c r="G39" s="429"/>
      <c r="H39" s="427"/>
      <c r="I39" s="428"/>
      <c r="J39" s="428"/>
      <c r="K39" s="428"/>
      <c r="L39" s="428"/>
      <c r="M39" s="428"/>
      <c r="N39" s="429"/>
      <c r="O39" s="427"/>
      <c r="P39" s="428"/>
      <c r="Q39" s="428"/>
      <c r="R39" s="428"/>
      <c r="S39" s="428"/>
      <c r="T39" s="428"/>
      <c r="U39" s="429"/>
      <c r="V39" s="427"/>
      <c r="W39" s="428"/>
      <c r="X39" s="428"/>
      <c r="Y39" s="428"/>
      <c r="Z39" s="428"/>
      <c r="AA39" s="428"/>
      <c r="AB39" s="429"/>
      <c r="AC39" s="170"/>
      <c r="AD39" s="170"/>
      <c r="AE39" s="170"/>
      <c r="AF39" s="170"/>
      <c r="AG39" s="170"/>
      <c r="AH39" s="170"/>
      <c r="AI39" s="170"/>
      <c r="AJ39" s="170"/>
      <c r="AK39" s="170"/>
      <c r="AL39" s="170"/>
      <c r="AM39" s="170"/>
      <c r="AN39" s="170"/>
      <c r="AO39" s="170"/>
      <c r="AP39" s="170"/>
      <c r="AQ39" s="170"/>
      <c r="AR39" s="170"/>
      <c r="AS39" s="170"/>
      <c r="AT39" s="170"/>
      <c r="AU39" s="170"/>
      <c r="AV39" s="170"/>
      <c r="AW39" s="170"/>
      <c r="AX39" s="170"/>
      <c r="AY39" s="170"/>
      <c r="AZ39" s="170"/>
      <c r="BA39" s="170"/>
      <c r="BB39" s="170"/>
      <c r="BC39" s="170"/>
      <c r="BD39" s="170"/>
      <c r="BE39" s="170"/>
      <c r="BF39" s="170"/>
      <c r="BG39" s="170"/>
      <c r="BH39" s="170"/>
      <c r="BI39" s="170"/>
      <c r="BJ39" s="170"/>
      <c r="BK39" s="170"/>
      <c r="BL39" s="170"/>
      <c r="BM39" s="170"/>
      <c r="BN39" s="170"/>
      <c r="BO39" s="170"/>
      <c r="BP39" s="170"/>
      <c r="BQ39" s="170"/>
      <c r="BR39" s="170"/>
      <c r="BS39" s="170"/>
      <c r="BT39" s="170"/>
      <c r="BU39" s="170"/>
      <c r="BV39" s="170"/>
      <c r="BW39" s="170"/>
      <c r="BX39" s="170"/>
      <c r="BY39" s="170"/>
      <c r="BZ39" s="170"/>
      <c r="CA39" s="170"/>
      <c r="CB39" s="170"/>
      <c r="CC39" s="170"/>
      <c r="CD39" s="170"/>
      <c r="CE39" s="170"/>
      <c r="CF39" s="171"/>
      <c r="CG39" s="108"/>
      <c r="CH39" s="108"/>
      <c r="CI39" s="199"/>
      <c r="CJ39" s="199"/>
      <c r="CK39" s="199"/>
      <c r="CL39" s="199"/>
      <c r="CM39" s="136"/>
      <c r="CN39" s="199"/>
      <c r="CO39" s="199"/>
      <c r="CP39" s="199"/>
      <c r="CQ39" s="199"/>
      <c r="CR39" s="199"/>
      <c r="CS39" s="136"/>
      <c r="CT39" s="199"/>
      <c r="CU39" s="199"/>
      <c r="CV39" s="199"/>
      <c r="CW39" s="199"/>
      <c r="CX39" s="199"/>
      <c r="CY39" s="136"/>
      <c r="CZ39" s="199"/>
      <c r="DA39" s="199"/>
      <c r="DB39" s="199"/>
      <c r="DC39" s="199"/>
      <c r="DD39" s="199"/>
      <c r="DE39" s="136"/>
      <c r="DF39" s="199"/>
      <c r="DG39" s="199"/>
      <c r="DH39" s="199"/>
      <c r="DI39" s="199"/>
      <c r="DJ39" s="199"/>
      <c r="DK39" s="136"/>
      <c r="DL39" s="199"/>
      <c r="DM39" s="199"/>
      <c r="DN39" s="199"/>
      <c r="DO39" s="199"/>
      <c r="DP39" s="199"/>
      <c r="DQ39" s="136"/>
      <c r="DR39" s="199"/>
      <c r="DS39" s="199"/>
      <c r="DT39" s="199"/>
      <c r="DU39" s="199"/>
      <c r="DV39" s="199"/>
      <c r="DW39" s="136"/>
      <c r="DX39" s="199"/>
      <c r="DY39" s="199"/>
      <c r="DZ39" s="199"/>
      <c r="EA39" s="199"/>
      <c r="EB39" s="199"/>
      <c r="EC39" s="136"/>
      <c r="ED39" s="199"/>
      <c r="EE39" s="199"/>
      <c r="EF39" s="199"/>
      <c r="EG39" s="199"/>
    </row>
    <row r="40" spans="1:137" ht="15.75" thickBot="1" x14ac:dyDescent="0.3">
      <c r="A40" s="163" t="s">
        <v>63</v>
      </c>
      <c r="B40" s="164" t="s">
        <v>56</v>
      </c>
      <c r="C40" s="164" t="s">
        <v>174</v>
      </c>
      <c r="D40" s="164" t="s">
        <v>175</v>
      </c>
      <c r="E40" s="164" t="s">
        <v>176</v>
      </c>
      <c r="F40" s="164" t="s">
        <v>177</v>
      </c>
      <c r="G40" s="165" t="s">
        <v>178</v>
      </c>
      <c r="H40" s="163" t="s">
        <v>63</v>
      </c>
      <c r="I40" s="164" t="s">
        <v>56</v>
      </c>
      <c r="J40" s="164" t="s">
        <v>174</v>
      </c>
      <c r="K40" s="164" t="s">
        <v>175</v>
      </c>
      <c r="L40" s="164" t="s">
        <v>176</v>
      </c>
      <c r="M40" s="164" t="s">
        <v>177</v>
      </c>
      <c r="N40" s="165" t="s">
        <v>178</v>
      </c>
      <c r="O40" s="163" t="s">
        <v>63</v>
      </c>
      <c r="P40" s="164" t="s">
        <v>56</v>
      </c>
      <c r="Q40" s="164" t="s">
        <v>174</v>
      </c>
      <c r="R40" s="164" t="s">
        <v>175</v>
      </c>
      <c r="S40" s="164" t="s">
        <v>176</v>
      </c>
      <c r="T40" s="164" t="s">
        <v>177</v>
      </c>
      <c r="U40" s="165" t="s">
        <v>178</v>
      </c>
      <c r="V40" s="163" t="s">
        <v>63</v>
      </c>
      <c r="W40" s="164" t="s">
        <v>56</v>
      </c>
      <c r="X40" s="164" t="s">
        <v>174</v>
      </c>
      <c r="Y40" s="164" t="s">
        <v>175</v>
      </c>
      <c r="Z40" s="164" t="s">
        <v>176</v>
      </c>
      <c r="AA40" s="164" t="s">
        <v>177</v>
      </c>
      <c r="AB40" s="165" t="s">
        <v>178</v>
      </c>
      <c r="AC40" s="163" t="s">
        <v>63</v>
      </c>
      <c r="AD40" s="164" t="s">
        <v>56</v>
      </c>
      <c r="AE40" s="164" t="s">
        <v>174</v>
      </c>
      <c r="AF40" s="164" t="s">
        <v>175</v>
      </c>
      <c r="AG40" s="164" t="s">
        <v>176</v>
      </c>
      <c r="AH40" s="164" t="s">
        <v>177</v>
      </c>
      <c r="AI40" s="165" t="s">
        <v>178</v>
      </c>
      <c r="AJ40" s="163" t="s">
        <v>63</v>
      </c>
      <c r="AK40" s="164" t="s">
        <v>56</v>
      </c>
      <c r="AL40" s="164" t="s">
        <v>174</v>
      </c>
      <c r="AM40" s="164" t="s">
        <v>175</v>
      </c>
      <c r="AN40" s="164" t="s">
        <v>176</v>
      </c>
      <c r="AO40" s="164" t="s">
        <v>177</v>
      </c>
      <c r="AP40" s="165" t="s">
        <v>178</v>
      </c>
      <c r="AQ40" s="163" t="s">
        <v>63</v>
      </c>
      <c r="AR40" s="164" t="s">
        <v>56</v>
      </c>
      <c r="AS40" s="164" t="s">
        <v>174</v>
      </c>
      <c r="AT40" s="164" t="s">
        <v>175</v>
      </c>
      <c r="AU40" s="164" t="s">
        <v>176</v>
      </c>
      <c r="AV40" s="164" t="s">
        <v>177</v>
      </c>
      <c r="AW40" s="165" t="s">
        <v>178</v>
      </c>
      <c r="AX40" s="163" t="s">
        <v>63</v>
      </c>
      <c r="AY40" s="164" t="s">
        <v>56</v>
      </c>
      <c r="AZ40" s="164" t="s">
        <v>174</v>
      </c>
      <c r="BA40" s="164" t="s">
        <v>175</v>
      </c>
      <c r="BB40" s="164" t="s">
        <v>176</v>
      </c>
      <c r="BC40" s="164" t="s">
        <v>177</v>
      </c>
      <c r="BD40" s="165" t="s">
        <v>178</v>
      </c>
      <c r="BE40" s="163" t="s">
        <v>63</v>
      </c>
      <c r="BF40" s="164" t="s">
        <v>56</v>
      </c>
      <c r="BG40" s="164" t="s">
        <v>174</v>
      </c>
      <c r="BH40" s="164" t="s">
        <v>175</v>
      </c>
      <c r="BI40" s="164" t="s">
        <v>176</v>
      </c>
      <c r="BJ40" s="164" t="s">
        <v>177</v>
      </c>
      <c r="BK40" s="165" t="s">
        <v>178</v>
      </c>
      <c r="BL40" s="70" t="s">
        <v>63</v>
      </c>
      <c r="BM40" s="96" t="s">
        <v>56</v>
      </c>
      <c r="BN40" s="96" t="s">
        <v>174</v>
      </c>
      <c r="BO40" s="96" t="s">
        <v>175</v>
      </c>
      <c r="BP40" s="96" t="s">
        <v>176</v>
      </c>
      <c r="BQ40" s="96" t="s">
        <v>177</v>
      </c>
      <c r="BR40" s="71" t="s">
        <v>178</v>
      </c>
      <c r="BS40" s="70" t="s">
        <v>63</v>
      </c>
      <c r="BT40" s="96" t="s">
        <v>56</v>
      </c>
      <c r="BU40" s="96" t="s">
        <v>174</v>
      </c>
      <c r="BV40" s="96" t="s">
        <v>175</v>
      </c>
      <c r="BW40" s="96" t="s">
        <v>176</v>
      </c>
      <c r="BX40" s="96" t="s">
        <v>177</v>
      </c>
      <c r="BY40" s="71" t="s">
        <v>178</v>
      </c>
      <c r="BZ40" s="70" t="s">
        <v>63</v>
      </c>
      <c r="CA40" s="96" t="s">
        <v>56</v>
      </c>
      <c r="CB40" s="96" t="s">
        <v>174</v>
      </c>
      <c r="CC40" s="96" t="s">
        <v>175</v>
      </c>
      <c r="CD40" s="96" t="s">
        <v>176</v>
      </c>
      <c r="CE40" s="96" t="s">
        <v>177</v>
      </c>
      <c r="CF40" s="71" t="s">
        <v>178</v>
      </c>
      <c r="CG40" s="108"/>
      <c r="CH40" s="108"/>
      <c r="CI40" s="199"/>
      <c r="CJ40" s="199"/>
      <c r="CK40" s="199"/>
      <c r="CL40" s="199"/>
      <c r="CM40" s="136"/>
      <c r="CN40" s="199"/>
      <c r="CO40" s="199"/>
      <c r="CP40" s="199"/>
      <c r="CQ40" s="199"/>
      <c r="CR40" s="199"/>
      <c r="CS40" s="136"/>
      <c r="CT40" s="199"/>
      <c r="CU40" s="199"/>
      <c r="CV40" s="199"/>
      <c r="CW40" s="199"/>
      <c r="CX40" s="199"/>
      <c r="CY40" s="136"/>
      <c r="CZ40" s="199"/>
      <c r="DA40" s="199"/>
      <c r="DB40" s="199"/>
      <c r="DC40" s="199"/>
      <c r="DD40" s="199"/>
      <c r="DE40" s="136"/>
      <c r="DF40" s="199"/>
      <c r="DG40" s="199"/>
      <c r="DH40" s="199"/>
      <c r="DI40" s="199"/>
      <c r="DJ40" s="199"/>
      <c r="DK40" s="136"/>
      <c r="DL40" s="199"/>
      <c r="DM40" s="199"/>
      <c r="DN40" s="199"/>
      <c r="DO40" s="199"/>
      <c r="DP40" s="199"/>
      <c r="DQ40" s="136"/>
      <c r="DR40" s="199"/>
      <c r="DS40" s="199"/>
      <c r="DT40" s="199"/>
      <c r="DU40" s="199"/>
      <c r="DV40" s="199"/>
      <c r="DW40" s="136"/>
      <c r="DX40" s="199"/>
      <c r="DY40" s="199"/>
      <c r="DZ40" s="199"/>
      <c r="EA40" s="199"/>
      <c r="EB40" s="199"/>
      <c r="EC40" s="136"/>
      <c r="ED40" s="199"/>
      <c r="EE40" s="199"/>
      <c r="EF40" s="199"/>
      <c r="EG40" s="199"/>
    </row>
    <row r="41" spans="1:137" x14ac:dyDescent="0.25">
      <c r="A41" s="127">
        <f>'12p'!E36</f>
        <v>51</v>
      </c>
      <c r="B41" s="142">
        <f>A41</f>
        <v>51</v>
      </c>
      <c r="C41" s="197" t="e" cm="1">
        <f t="array" ref="C41">IF(OR(A41="DC",A41="",B41=0),0,IF(COUNTIF('12p'!$E36:$AB36,"DC")=1,INDEX(Table_11p,IF(B41=12,1,IF(B41=10,2,14-B41)),3),IF(COUNTIF('12p'!$E36:$AB36,"DC")=2,INDEX(Table_10p,IF(B41=11,1,IF(B41=9,2,12-B41)),3),IF(COUNTIF('12p'!$E36:$AB36,"DC")&gt;=3,INDEX(Table_9p_or_less,10-B41,3),0))))</f>
        <v>#VALUE!</v>
      </c>
      <c r="D41" s="143">
        <f>IF(A41="DC",1,0)</f>
        <v>0</v>
      </c>
      <c r="E41" s="144" t="e">
        <f>SUM(B41,C41,D41)</f>
        <v>#VALUE!</v>
      </c>
      <c r="F41" s="145">
        <f>IF(A41="DC",D41,IF(A41="",0,A41))</f>
        <v>51</v>
      </c>
      <c r="G41" s="161" t="str">
        <f>IF('12p'!E36="", "", IF('12p'!E36="DC", "OK", IF('12p'!E36&lt;0, "[ALERTE] Score négatif !", "OK")))</f>
        <v>OK</v>
      </c>
      <c r="H41" s="127">
        <f>'12p'!G36</f>
        <v>63</v>
      </c>
      <c r="I41" s="142">
        <f>H41</f>
        <v>63</v>
      </c>
      <c r="J41" s="197" t="e" cm="1">
        <f t="array" ref="J41">IF(OR(H41="DC",H41="",I41=0),0,IF(COUNTIF('12p'!$E36:$AB36,"DC")=1,INDEX(Table_11p,IF(I41=12,1,IF(I41=10,2,14-I41)),3),IF(COUNTIF('12p'!$E36:$AB36,"DC")=2,INDEX(Table_10p,IF(I41=11,1,IF(I41=9,2,12-I41)),3),IF(COUNTIF('12p'!$E36:$AB36,"DC")&gt;=3,INDEX(Table_9p_or_less,10-I41,3),0))))</f>
        <v>#VALUE!</v>
      </c>
      <c r="K41" s="143">
        <f>IF(H41="DC",1,0)</f>
        <v>0</v>
      </c>
      <c r="L41" s="189" t="e">
        <f>SUM(I41,J41,K41)</f>
        <v>#VALUE!</v>
      </c>
      <c r="M41" s="145">
        <f>IF(H41="DC",K41,IF(H41="",0,H41))</f>
        <v>63</v>
      </c>
      <c r="N41" s="161" t="str">
        <f>IF('12p'!L36="", "", IF('12p'!L36="DC", "OK", IF('12p'!L36&lt;0, "[ALERTE] Score négatif !", "OK")))</f>
        <v>OK</v>
      </c>
      <c r="O41" s="127">
        <f>'12p'!I36</f>
        <v>71</v>
      </c>
      <c r="P41" s="142">
        <f>O41</f>
        <v>71</v>
      </c>
      <c r="Q41" s="197" t="e" cm="1">
        <f t="array" ref="Q41">IF(OR(O41="DC",O41="",P41=0),0,IF(COUNTIF('12p'!$E36:$AB36,"DC")=1,INDEX(Table_11p,IF(P41=12,1,IF(P41=10,2,14-P41)),3),IF(COUNTIF('12p'!$E36:$AB36,"DC")=2,INDEX(Table_10p,IF(P41=11,1,IF(P41=9,2,12-P41)),3),IF(COUNTIF('12p'!$E36:$AB36,"DC")&gt;=3,INDEX(Table_9p_or_less,10-P41,3),0))))</f>
        <v>#VALUE!</v>
      </c>
      <c r="R41" s="143">
        <f>IF(O41="DC",1,0)</f>
        <v>0</v>
      </c>
      <c r="S41" s="189" t="e">
        <f>SUM(P41,Q41,R41)</f>
        <v>#VALUE!</v>
      </c>
      <c r="T41" s="145">
        <f>IF(O41="DC",R41,IF(O41="",0,O41))</f>
        <v>71</v>
      </c>
      <c r="U41" s="161" t="str">
        <f>IF('12p'!S36="", "", IF('12p'!S36="DC", "OK", IF('12p'!S36&lt;0, "[ALERTE] Score négatif !", "OK")))</f>
        <v>OK</v>
      </c>
      <c r="V41" s="127">
        <f>'12p'!K36</f>
        <v>41</v>
      </c>
      <c r="W41" s="142">
        <f>V41</f>
        <v>41</v>
      </c>
      <c r="X41" s="197" t="e" cm="1">
        <f t="array" ref="X41">IF(OR(V41="DC",V41="",W41=0),0,IF(COUNTIF('12p'!$E36:$AB36,"DC")=1,INDEX(Table_11p,IF(W41=12,1,IF(W41=10,2,14-W41)),3),IF(COUNTIF('12p'!$E36:$AB36,"DC")=2,INDEX(Table_10p,IF(W41=11,1,IF(W41=9,2,12-W41)),3),IF(COUNTIF('12p'!$E36:$AB36,"DC")&gt;=3,INDEX(Table_9p_or_less,10-W41,3),0))))</f>
        <v>#VALUE!</v>
      </c>
      <c r="Y41" s="143">
        <f>IF(V41="DC",1,0)</f>
        <v>0</v>
      </c>
      <c r="Z41" s="189" t="e">
        <f>SUM(W41,X41,Y41)</f>
        <v>#VALUE!</v>
      </c>
      <c r="AA41" s="145">
        <f>IF(V41="DC",Y41,IF(V41="",0,V41))</f>
        <v>41</v>
      </c>
      <c r="AB41" s="161" t="str">
        <f>IF('12p'!Z36="", "", IF('12p'!Z36="DC", "OK", IF('12p'!Z36&lt;0, "[ALERTE] Score négatif !", "OK")))</f>
        <v>OK</v>
      </c>
      <c r="AC41" s="127">
        <f>'12p'!M36</f>
        <v>59</v>
      </c>
      <c r="AD41" s="142">
        <f t="shared" ref="AD41" si="53">AC41</f>
        <v>59</v>
      </c>
      <c r="AE41" s="197">
        <f>IF(OR('12p'!AG36="X", '12p'!AG36="DC", '12p'!AG36="", COUNTIF('12p'!$E36:$AB36,"DC")&gt;=6), 0, IFERROR(VLOOKUP('12p'!AG36, Bareme, IF(COUNTIF('12p'!$E36:$AB36,"DC")=2, 4, IF(COUNTIF('12p'!$E36:$AB36,"DC")=4, 6, 0)), FALSE), 0))</f>
        <v>0</v>
      </c>
      <c r="AF41" s="143">
        <f>IF(AND('12p'!AG36="DC", COUNTIF('12p'!$E36:$AB36,"DC")&lt;6), IFERROR(VLOOKUP("DC", Bareme, IF(COUNTIF('12p'!$E36:$AB36,"DC")=2, 4, IF(COUNTIF('12p'!$E36:$AB36,"DC")=4, 6, 0)), FALSE), 0), 0)</f>
        <v>0</v>
      </c>
      <c r="AG41" s="144">
        <f>SUM('12p'!AG36, AE41, AF41)</f>
        <v>0</v>
      </c>
      <c r="AH41" s="145">
        <f t="shared" ref="AH41" si="54">AG41</f>
        <v>0</v>
      </c>
      <c r="AI41" s="161" t="str">
        <f>IF('12p'!AG36="", "", IF('12p'!AG36="DC", "OK", IF('12p'!AG36&lt;0, "[ALERTE] Score négatif !", "OK")))</f>
        <v/>
      </c>
      <c r="AJ41" s="127">
        <f>'12p'!O36</f>
        <v>43</v>
      </c>
      <c r="AK41" s="142">
        <f t="shared" ref="AK41" si="55">AJ41</f>
        <v>43</v>
      </c>
      <c r="AL41" s="197">
        <f>IF(OR('12p'!AN36="X", '12p'!AN36="DC", '12p'!AN36="", COUNTIF('12p'!$E36:$AB36,"DC")&gt;=6), 0, IFERROR(VLOOKUP('12p'!AN36, Bareme, IF(COUNTIF('12p'!$E36:$AB36,"DC")=2, 4, IF(COUNTIF('12p'!$E36:$AB36,"DC")=4, 6, 0)), FALSE), 0))</f>
        <v>0</v>
      </c>
      <c r="AM41" s="143">
        <f>IF(AND('12p'!AN36="DC", COUNTIF('12p'!$E36:$AB36,"DC")&lt;6), IFERROR(VLOOKUP("DC", Bareme, IF(COUNTIF('12p'!$E36:$AB36,"DC")=2, 4, IF(COUNTIF('12p'!$E36:$AB36,"DC")=4, 6, 0)), FALSE), 0), 0)</f>
        <v>0</v>
      </c>
      <c r="AN41" s="144">
        <f>SUM('12p'!AN36, AL41, AM41)</f>
        <v>0</v>
      </c>
      <c r="AO41" s="145">
        <f t="shared" ref="AO41" si="56">AN41</f>
        <v>0</v>
      </c>
      <c r="AP41" s="161" t="str">
        <f>IF('12p'!AN36="", "", IF('12p'!AN36="DC", "OK", IF('12p'!AN36&lt;0, "[ALERTE] Score négatif !", "OK")))</f>
        <v/>
      </c>
      <c r="AQ41" s="127">
        <f>'12p'!Q36</f>
        <v>60</v>
      </c>
      <c r="AR41" s="142">
        <f t="shared" ref="AR41" si="57">AQ41</f>
        <v>60</v>
      </c>
      <c r="AS41" s="197">
        <f>IF(OR('12p'!AU36="X", '12p'!AU36="DC", '12p'!AU36="", COUNTIF('12p'!$E36:$AB36,"DC")&gt;=6), 0, IFERROR(VLOOKUP('12p'!AU36, Bareme, IF(COUNTIF('12p'!$E36:$AB36,"DC")=2, 4, IF(COUNTIF('12p'!$E36:$AB36,"DC")=4, 6, 0)), FALSE), 0))</f>
        <v>0</v>
      </c>
      <c r="AT41" s="143">
        <f>IF(AND('12p'!AU36="DC", COUNTIF('12p'!$E36:$AB36,"DC")&lt;6), IFERROR(VLOOKUP("DC", Bareme, IF(COUNTIF('12p'!$E36:$AB36,"DC")=2, 4, IF(COUNTIF('12p'!$E36:$AB36,"DC")=4, 6, 0)), FALSE), 0), 0)</f>
        <v>0</v>
      </c>
      <c r="AU41" s="144">
        <f>SUM('12p'!AU36, AS41, AT41)</f>
        <v>0</v>
      </c>
      <c r="AV41" s="145">
        <f t="shared" ref="AV41" si="58">AU41</f>
        <v>0</v>
      </c>
      <c r="AW41" s="161" t="str">
        <f>IF('12p'!AU36="", "", IF('12p'!AU36="DC", "OK", IF('12p'!AU36&lt;0, "[ALERTE] Score négatif !", "OK")))</f>
        <v/>
      </c>
      <c r="AX41" s="127" t="str">
        <f>'12p'!S36</f>
        <v>DC</v>
      </c>
      <c r="AY41" s="142" t="str">
        <f t="shared" ref="AY41" si="59">AX41</f>
        <v>DC</v>
      </c>
      <c r="AZ41" s="197">
        <f>IF(OR('12p'!BB36="X", '12p'!BB36="DC", '12p'!BB36="", COUNTIF('12p'!$E36:$AB36,"DC")&gt;=6), 0, IFERROR(VLOOKUP('12p'!BB36, Bareme, IF(COUNTIF('12p'!$E36:$AB36,"DC")=2, 4, IF(COUNTIF('12p'!$E36:$AB36,"DC")=4, 6, 0)), FALSE), 0))</f>
        <v>0</v>
      </c>
      <c r="BA41" s="143">
        <f>IF(AND('12p'!BB36="DC", COUNTIF('12p'!$E36:$AB36,"DC")&lt;6), IFERROR(VLOOKUP("DC", Bareme, IF(COUNTIF('12p'!$E36:$AB36,"DC")=2, 4, IF(COUNTIF('12p'!$E36:$AB36,"DC")=4, 6, 0)), FALSE), 0), 0)</f>
        <v>0</v>
      </c>
      <c r="BB41" s="144">
        <f>SUM('12p'!BB36, AZ41, BA41)</f>
        <v>0</v>
      </c>
      <c r="BC41" s="145">
        <f t="shared" ref="BC41" si="60">BB41</f>
        <v>0</v>
      </c>
      <c r="BD41" s="161" t="str">
        <f>IF('12p'!BB36="", "", IF('12p'!BB36="DC", "OK", IF('12p'!BB36&lt;0, "[ALERTE] Score négatif !", "OK")))</f>
        <v/>
      </c>
      <c r="BE41" s="127">
        <f>'12p'!W36</f>
        <v>47</v>
      </c>
      <c r="BF41" s="142">
        <f t="shared" ref="BF41" si="61">BE41</f>
        <v>47</v>
      </c>
      <c r="BG41" s="197">
        <f>IF(OR('12p'!BI36="X", '12p'!BI36="DC", '12p'!BI36="", COUNTIF('12p'!$E36:$AB36,"DC")&gt;=6), 0, IFERROR(VLOOKUP('12p'!BI36, Bareme, IF(COUNTIF('12p'!$E36:$AB36,"DC")=2, 4, IF(COUNTIF('12p'!$E36:$AB36,"DC")=4, 6, 0)), FALSE), 0))</f>
        <v>0</v>
      </c>
      <c r="BH41" s="143">
        <f>IF(AND('12p'!BI36="DC", COUNTIF('12p'!$E36:$AB36,"DC")&lt;6), IFERROR(VLOOKUP("DC", Bareme, IF(COUNTIF('12p'!$E36:$AB36,"DC")=2, 4, IF(COUNTIF('12p'!$E36:$AB36,"DC")=4, 6, 0)), FALSE), 0), 0)</f>
        <v>0</v>
      </c>
      <c r="BI41" s="144">
        <f>SUM('12p'!BI36, BG41, BH41)</f>
        <v>0</v>
      </c>
      <c r="BJ41" s="145">
        <f t="shared" ref="BJ41" si="62">BI41</f>
        <v>0</v>
      </c>
      <c r="BK41" s="161" t="str">
        <f>IF('12p'!BI36="", "", IF('12p'!BI36="DC", "OK", IF('12p'!BI36&lt;0, "[ALERTE] Score négatif !", "OK")))</f>
        <v/>
      </c>
      <c r="BL41" s="127">
        <f>'12p'!W36</f>
        <v>47</v>
      </c>
      <c r="BM41" s="142">
        <f t="shared" ref="BM41" si="63">BL41</f>
        <v>47</v>
      </c>
      <c r="BN41" s="197">
        <f>IF(OR('12p'!BP36="X", '12p'!BP36="DC", '12p'!BP36="", COUNTIF('12p'!$E36:$AB36,"DC")&gt;=6), 0, IFERROR(VLOOKUP('12p'!BP36, Bareme, IF(COUNTIF('12p'!$E36:$AB36,"DC")=2, 4, IF(COUNTIF('12p'!$E36:$AB36,"DC")=4, 6, 0)), FALSE), 0))</f>
        <v>0</v>
      </c>
      <c r="BO41" s="143">
        <f>IF(AND('12p'!BP36="DC", COUNTIF('12p'!$E36:$AB36,"DC")&lt;6), IFERROR(VLOOKUP("DC", Bareme, IF(COUNTIF('12p'!$E36:$AB36,"DC")=2, 4, IF(COUNTIF('12p'!$E36:$AB36,"DC")=4, 6, 0)), FALSE), 0), 0)</f>
        <v>0</v>
      </c>
      <c r="BP41" s="144">
        <f>SUM('12p'!BP36, BN41, BO41)</f>
        <v>0</v>
      </c>
      <c r="BQ41" s="145">
        <f t="shared" ref="BQ41" si="64">BP41</f>
        <v>0</v>
      </c>
      <c r="BR41" s="161" t="str">
        <f>IF('12p'!BP36="", "", IF('12p'!BP36="DC", "OK", IF('12p'!BP36&lt;0, "[ALERTE] Score négatif !", "OK")))</f>
        <v/>
      </c>
      <c r="BS41" s="137">
        <f>'12p'!Y36</f>
        <v>51</v>
      </c>
      <c r="BT41" s="142">
        <f t="shared" ref="BT41" si="65">BS41</f>
        <v>51</v>
      </c>
      <c r="BU41" s="197">
        <f>IF(OR('12p'!BW36="X", '12p'!BW36="DC", '12p'!BW36="", COUNTIF('12p'!$E36:$AB36,"DC")&gt;=6), 0, IFERROR(VLOOKUP('12p'!BW36, Bareme, IF(COUNTIF('12p'!$E36:$AB36,"DC")=2, 4, IF(COUNTIF('12p'!$E36:$AB36,"DC")=4, 6, 0)), FALSE), 0))</f>
        <v>0</v>
      </c>
      <c r="BV41" s="143">
        <f>IF(AND('12p'!BW36="DC", COUNTIF('12p'!$E36:$AB36,"DC")&lt;6), IFERROR(VLOOKUP("DC", Bareme, IF(COUNTIF('12p'!$E36:$AB36,"DC")=2, 4, IF(COUNTIF('12p'!$E36:$AB36,"DC")=4, 6, 0)), FALSE), 0), 0)</f>
        <v>0</v>
      </c>
      <c r="BW41" s="144">
        <f>SUM('12p'!BW36, BU41, BV41)</f>
        <v>0</v>
      </c>
      <c r="BX41" s="145">
        <f t="shared" ref="BX41" si="66">BW41</f>
        <v>0</v>
      </c>
      <c r="BY41" s="161" t="str">
        <f>IF('12p'!BW36="", "", IF('12p'!BW36="DC", "OK", IF('12p'!BW36&lt;0, "[ALERTE] Score négatif !", "OK")))</f>
        <v/>
      </c>
      <c r="BZ41" s="137">
        <f>'12p'!AA36</f>
        <v>54</v>
      </c>
      <c r="CA41" s="142">
        <f t="shared" ref="CA41" si="67">BZ41</f>
        <v>54</v>
      </c>
      <c r="CB41" s="197">
        <f>IF(OR('12p'!CD36="X", '12p'!CD36="DC", '12p'!CD36="", COUNTIF('12p'!$E36:$AB36,"DC")&gt;=6), 0, IFERROR(VLOOKUP('12p'!CD36, Bareme, IF(COUNTIF('12p'!$E36:$AB36,"DC")=2, 4, IF(COUNTIF('12p'!$E36:$AB36,"DC")=4, 6, 0)), FALSE), 0))</f>
        <v>0</v>
      </c>
      <c r="CC41" s="143">
        <f>IF(AND('12p'!CD36="DC", COUNTIF('12p'!$E36:$AB36,"DC")&lt;6), IFERROR(VLOOKUP("DC", Bareme, IF(COUNTIF('12p'!$E36:$AB36,"DC")=2, 4, IF(COUNTIF('12p'!$E36:$AB36,"DC")=4, 6, 0)), FALSE), 0), 0)</f>
        <v>0</v>
      </c>
      <c r="CD41" s="144">
        <f>SUM('12p'!CD36, CB41, CC41)</f>
        <v>0</v>
      </c>
      <c r="CE41" s="145">
        <f t="shared" ref="CE41" si="68">CD41</f>
        <v>0</v>
      </c>
      <c r="CF41" s="161" t="str">
        <f>IF('12p'!CD36="", "", IF('12p'!CD36="DC", "OK", IF('12p'!CD36&lt;0, "[ALERTE] Score négatif !", "OK")))</f>
        <v/>
      </c>
      <c r="CG41" s="108"/>
      <c r="CH41" s="108"/>
      <c r="CI41" s="199"/>
      <c r="CJ41" s="199"/>
      <c r="CK41" s="199"/>
      <c r="CL41" s="199"/>
      <c r="CM41" s="136"/>
      <c r="CN41" s="199"/>
      <c r="CO41" s="199"/>
      <c r="CP41" s="199"/>
      <c r="CQ41" s="199"/>
      <c r="CR41" s="199"/>
      <c r="CS41" s="136"/>
      <c r="CT41" s="199"/>
      <c r="CU41" s="199"/>
      <c r="CV41" s="199"/>
      <c r="CW41" s="199"/>
      <c r="CX41" s="199"/>
      <c r="CY41" s="136"/>
      <c r="CZ41" s="199"/>
      <c r="DA41" s="199"/>
      <c r="DB41" s="199"/>
      <c r="DC41" s="199"/>
      <c r="DD41" s="199"/>
      <c r="DE41" s="136"/>
      <c r="DF41" s="199"/>
      <c r="DG41" s="199"/>
      <c r="DH41" s="199"/>
      <c r="DI41" s="199"/>
      <c r="DJ41" s="199"/>
      <c r="DK41" s="136"/>
      <c r="DL41" s="199"/>
      <c r="DM41" s="199"/>
      <c r="DN41" s="199"/>
      <c r="DO41" s="199"/>
      <c r="DP41" s="199"/>
      <c r="DQ41" s="136"/>
      <c r="DR41" s="199"/>
      <c r="DS41" s="199"/>
      <c r="DT41" s="199"/>
      <c r="DU41" s="199"/>
      <c r="DV41" s="199"/>
      <c r="DW41" s="136"/>
      <c r="DX41" s="199"/>
      <c r="DY41" s="199"/>
      <c r="DZ41" s="199"/>
      <c r="EA41" s="199"/>
      <c r="EB41" s="199"/>
      <c r="EC41" s="136"/>
      <c r="ED41" s="199"/>
      <c r="EE41" s="199"/>
      <c r="EF41" s="199"/>
      <c r="EG41" s="199"/>
    </row>
    <row r="42" spans="1:137" ht="15" customHeight="1" x14ac:dyDescent="0.25">
      <c r="A42" s="127">
        <f>'12p'!E37</f>
        <v>52</v>
      </c>
      <c r="B42" s="142">
        <f>IF(A42="DC",0,A42-A41)</f>
        <v>1</v>
      </c>
      <c r="C42" s="197" cm="1">
        <f t="array" ref="C42">IF(OR(A42="DC",A42="",B42=0),0,IF(COUNTIF('12p'!$E37:$AB37,"DC")=1,INDEX(Table_11p,IF(B42=12,1,IF(B42=10,2,14-B42)),3),IF(COUNTIF('12p'!$E37:$AB37,"DC")=2,INDEX(Table_10p,IF(B42=11,1,IF(B42=9,2,12-B42)),3),IF(COUNTIF('12p'!$E37:$AB37,"DC")&gt;=3,INDEX(Table_9p_or_less,10-B42,3),0))))</f>
        <v>1</v>
      </c>
      <c r="D42" s="143">
        <f>IF(A42="DC",1,0)</f>
        <v>0</v>
      </c>
      <c r="E42" s="189">
        <f>SUM(B42,C42,D42)</f>
        <v>2</v>
      </c>
      <c r="F42" s="145">
        <f>IF(A42="DC",F41+D42,IF(A42="",F41,A42))</f>
        <v>52</v>
      </c>
      <c r="G42" s="161" t="str">
        <f>IF(COUNTIF('12p'!$E37:$AB37,"DC")&gt;=6, "[CRITIQUE] Trop de DC !", IF('12p'!E37="", "", IF('12p'!E37="DC", "OK", IF(AND('12p'!E36&lt;&gt;"", '12p'!E36&lt;&gt;"DC", '12p'!E37='12p'!E36, '12p'!E37&lt;&gt;0), "[ALERTE] Score FIGÉ ?", IF(AND('12p'!E36&lt;&gt;"", '12p'!E36&lt;&gt;"DC", '12p'!E37&lt;'12p'!E36), "[ALERTE] Baisse anormale !", "OK")))))</f>
        <v>OK</v>
      </c>
      <c r="H42" s="127">
        <f>'12p'!G37</f>
        <v>67</v>
      </c>
      <c r="I42" s="142">
        <f>IF(H42="DC",0,H42-H41)</f>
        <v>4</v>
      </c>
      <c r="J42" s="197" cm="1">
        <f t="array" ref="J42">IF(OR(H42="DC",H42="",I42=0),0,IF(COUNTIF('12p'!$E37:$AB37,"DC")=1,INDEX(Table_11p,IF(I42=12,1,IF(I42=10,2,14-I42)),3),IF(COUNTIF('12p'!$E37:$AB37,"DC")=2,INDEX(Table_10p,IF(I42=11,1,IF(I42=9,2,12-I42)),3),IF(COUNTIF('12p'!$E37:$AB37,"DC")&gt;=3,INDEX(Table_9p_or_less,10-I42,3),0))))</f>
        <v>1</v>
      </c>
      <c r="K42" s="143">
        <f>IF(H42="DC",1,0)</f>
        <v>0</v>
      </c>
      <c r="L42" s="189">
        <f>SUM(I42,J42,K42)</f>
        <v>5</v>
      </c>
      <c r="M42" s="145">
        <f>IF(H42="DC",M41+K42,IF(H42="",M41,H42))</f>
        <v>67</v>
      </c>
      <c r="N42" s="161" t="str">
        <f>IF(COUNTIF('12p'!$E37:$AB37,"DC")&gt;=6, "[CRITIQUE] Trop de DC !", IF('12p'!L37="", "", IF('12p'!L37="DC", "OK", IF(AND('12p'!L36&lt;&gt;"", '12p'!L36&lt;&gt;"DC", '12p'!L37='12p'!L36, '12p'!L37&lt;&gt;0), "[ALERTE] Score FIGÉ ?", IF(AND('12p'!L36&lt;&gt;"", '12p'!L36&lt;&gt;"DC", '12p'!L37&lt;'12p'!L36), "[ALERTE] Baisse anormale !", "OK")))))</f>
        <v>[ALERTE] Baisse anormale !</v>
      </c>
      <c r="O42" s="127">
        <f>'12p'!I37</f>
        <v>77</v>
      </c>
      <c r="P42" s="142">
        <f>IF(O42="DC",0,O42-O41)</f>
        <v>6</v>
      </c>
      <c r="Q42" s="197" cm="1">
        <f t="array" ref="Q42">IF(OR(O42="DC",O42="",P42=0),0,IF(COUNTIF('12p'!$E37:$AB37,"DC")=1,INDEX(Table_11p,IF(P42=12,1,IF(P42=10,2,14-P42)),3),IF(COUNTIF('12p'!$E37:$AB37,"DC")=2,INDEX(Table_10p,IF(P42=11,1,IF(P42=9,2,12-P42)),3),IF(COUNTIF('12p'!$E37:$AB37,"DC")&gt;=3,INDEX(Table_9p_or_less,10-P42,3),0))))</f>
        <v>1</v>
      </c>
      <c r="R42" s="143">
        <f>IF(O42="DC",1,0)</f>
        <v>0</v>
      </c>
      <c r="S42" s="189">
        <f>SUM(P42,Q42,R42)</f>
        <v>7</v>
      </c>
      <c r="T42" s="145">
        <f>IF(O42="DC",T41+R42,IF(O42="",T41,O42))</f>
        <v>77</v>
      </c>
      <c r="U42" s="161" t="str">
        <f>IF(COUNTIF('12p'!$E37:$AB37,"DC")&gt;=6, "[CRITIQUE] Trop de DC !", IF('12p'!S37="", "", IF('12p'!S37="DC", "OK", IF(AND('12p'!S36&lt;&gt;"", '12p'!S36&lt;&gt;"DC", '12p'!S37='12p'!S36, '12p'!S37&lt;&gt;0), "[ALERTE] Score FIGÉ ?", IF(AND('12p'!S36&lt;&gt;"", '12p'!S36&lt;&gt;"DC", '12p'!S37&lt;'12p'!S36), "[ALERTE] Baisse anormale !", "OK")))))</f>
        <v>OK</v>
      </c>
      <c r="V42" s="127">
        <f>'12p'!K37</f>
        <v>48</v>
      </c>
      <c r="W42" s="142">
        <f>IF(V42="DC",0,V42-V41)</f>
        <v>7</v>
      </c>
      <c r="X42" s="197" cm="1">
        <f t="array" ref="X42">IF(OR(V42="DC",V42="",W42=0),0,IF(COUNTIF('12p'!$E37:$AB37,"DC")=1,INDEX(Table_11p,IF(W42=12,1,IF(W42=10,2,14-W42)),3),IF(COUNTIF('12p'!$E37:$AB37,"DC")=2,INDEX(Table_10p,IF(W42=11,1,IF(W42=9,2,12-W42)),3),IF(COUNTIF('12p'!$E37:$AB37,"DC")&gt;=3,INDEX(Table_9p_or_less,10-W42,3),0))))</f>
        <v>1</v>
      </c>
      <c r="Y42" s="143">
        <f>IF(V42="DC",1,0)</f>
        <v>0</v>
      </c>
      <c r="Z42" s="189">
        <f>SUM(W42,X42,Y42)</f>
        <v>8</v>
      </c>
      <c r="AA42" s="145">
        <f>IF(V42="DC",AA41+Y42,IF(V42="",AA41,V42))</f>
        <v>48</v>
      </c>
      <c r="AB42" s="161" t="str">
        <f>IF(COUNTIF('12p'!$E37:$AB37,"DC")&gt;=6, "[CRITIQUE] Trop de DC !", IF('12p'!Z37="", "", IF('12p'!Z37="DC", "OK", IF(AND('12p'!Z36&lt;&gt;"", '12p'!Z36&lt;&gt;"DC", '12p'!Z37='12p'!Z36, '12p'!Z37&lt;&gt;0), "[ALERTE] Score FIGÉ ?", IF(AND('12p'!Z36&lt;&gt;"", '12p'!Z36&lt;&gt;"DC", '12p'!Z37&lt;'12p'!Z36), "[ALERTE] Baisse anormale !", "OK")))))</f>
        <v>OK</v>
      </c>
      <c r="AC42" s="127">
        <f>'12p'!M37</f>
        <v>61</v>
      </c>
      <c r="AD42" s="142" cm="1">
        <f t="array" ref="AD42">IF(OR(AC42="",AC42="DC"), 0, AC42 - IFERROR(VLOOKUP("???",IF({1;0},"",INDEX(AC$11:AC41,MAX(IF(AC$11:AC41&lt;&gt;"",IF(AC$11:AC41&lt;&gt;"DC",ROW(AC$11:AC41)-MIN(ROW(AC$11:AC41))+1))))),1,FALSE),0))</f>
        <v>61</v>
      </c>
      <c r="AE42" s="197">
        <f>IF(OR('12p'!AG37="X", '12p'!AG37="DC", '12p'!AG37="", COUNTIF('12p'!$E37:$AB37,"DC")&gt;=6), 0, IFERROR(VLOOKUP('12p'!AG37, Bareme, IF(COUNTIF('12p'!$E37:$AB37,"DC")=2, 4, IF(COUNTIF('12p'!$E37:$AB37,"DC")=4, 6, 0)), FALSE), 0))</f>
        <v>0</v>
      </c>
      <c r="AF42" s="143">
        <f>IF(AND(AC42="DC", COUNTIF('12p'!$E37:$AB37,"DC")&lt;6), 1, 0)</f>
        <v>0</v>
      </c>
      <c r="AG42" s="144">
        <f>SUM('12p'!AG37, AE42, AF42)</f>
        <v>0</v>
      </c>
      <c r="AH42" s="145">
        <f>IF(AC42="DC", AH41+AF42, SUMIF(AC$11:AC42, "&gt;0") + SUM(AF$11:AF42))</f>
        <v>471</v>
      </c>
      <c r="AI42" s="161" t="str">
        <f>IF(COUNTIF('12p'!$E37:$AB37,"DC")&gt;=6, "[CRITIQUE] Trop de DC !", IF('12p'!AG37="", "", IF('12p'!AG37="DC", "OK", IF(AND('12p'!AG36&lt;&gt;"", '12p'!AG36&lt;&gt;"DC", '12p'!AG37='12p'!AG36, '12p'!AG37&lt;&gt;0), "[ALERTE] Score FIGÉ ?", IF(AND('12p'!AG36&lt;&gt;"", '12p'!AG36&lt;&gt;"DC", '12p'!AG37&lt;'12p'!AG36), "[ALERTE] Baisse anormale !", "OK")))))</f>
        <v/>
      </c>
      <c r="AJ42" s="127">
        <f>'12p'!O37</f>
        <v>46</v>
      </c>
      <c r="AK42" s="142" cm="1">
        <f t="array" ref="AK42">IF(OR(AJ42="",AJ42="DC"), 0, AJ42 - IFERROR(VLOOKUP("???",IF({1;0},"",INDEX(AJ$11:AJ41,MAX(IF(AJ$11:AJ41&lt;&gt;"",IF(AJ$11:AJ41&lt;&gt;"DC",ROW(AJ$11:AJ41)-MIN(ROW(AJ$11:AJ41))+1))))),1,FALSE),0))</f>
        <v>46</v>
      </c>
      <c r="AL42" s="197">
        <f>IF(OR('12p'!AN37="X", '12p'!AN37="DC", '12p'!AN37="", COUNTIF('12p'!$E37:$AB37,"DC")&gt;=6), 0, IFERROR(VLOOKUP('12p'!AN37, Bareme, IF(COUNTIF('12p'!$E37:$AB37,"DC")=2, 4, IF(COUNTIF('12p'!$E37:$AB37,"DC")=4, 6, 0)), FALSE), 0))</f>
        <v>0</v>
      </c>
      <c r="AM42" s="143">
        <f>IF(AND(AJ42="DC", COUNTIF('12p'!$E37:$AB37,"DC")&lt;6), 1, 0)</f>
        <v>0</v>
      </c>
      <c r="AN42" s="144">
        <f>SUM('12p'!AN37, AL42, AM42)</f>
        <v>0</v>
      </c>
      <c r="AO42" s="145">
        <f>IF(AJ42="DC", AO41+AM42, SUMIF(AJ$11:AJ42, "&gt;0") + SUM(AM$11:AM42))</f>
        <v>296</v>
      </c>
      <c r="AP42" s="161" t="str">
        <f>IF(COUNTIF('12p'!$E37:$AB37,"DC")&gt;=6, "[CRITIQUE] Trop de DC !", IF('12p'!AN37="", "", IF('12p'!AN37="DC", "OK", IF(AND('12p'!AN36&lt;&gt;"", '12p'!AN36&lt;&gt;"DC", '12p'!AN37='12p'!AN36, '12p'!AN37&lt;&gt;0), "[ALERTE] Score FIGÉ ?", IF(AND('12p'!AN36&lt;&gt;"", '12p'!AN36&lt;&gt;"DC", '12p'!AN37&lt;'12p'!AN36), "[ALERTE] Baisse anormale !", "OK")))))</f>
        <v/>
      </c>
      <c r="AQ42" s="127">
        <f>'12p'!Q37</f>
        <v>69</v>
      </c>
      <c r="AR42" s="142" cm="1">
        <f t="array" ref="AR42">IF(OR(AQ42="",AQ42="DC"), 0, AQ42 - IFERROR(VLOOKUP("???",IF({1;0},"",INDEX(AQ$11:AQ41,MAX(IF(AQ$11:AQ41&lt;&gt;"",IF(AQ$11:AQ41&lt;&gt;"DC",ROW(AQ$11:AQ41)-MIN(ROW(AQ$11:AQ41))+1))))),1,FALSE),0))</f>
        <v>69</v>
      </c>
      <c r="AS42" s="197">
        <f>IF(OR('12p'!AU37="X", '12p'!AU37="DC", '12p'!AU37="", COUNTIF('12p'!$E37:$AB37,"DC")&gt;=6), 0, IFERROR(VLOOKUP('12p'!AU37, Bareme, IF(COUNTIF('12p'!$E37:$AB37,"DC")=2, 4, IF(COUNTIF('12p'!$E37:$AB37,"DC")=4, 6, 0)), FALSE), 0))</f>
        <v>0</v>
      </c>
      <c r="AT42" s="143">
        <f>IF(AND(AQ42="DC", COUNTIF('12p'!$E37:$AB37,"DC")&lt;6), 1, 0)</f>
        <v>0</v>
      </c>
      <c r="AU42" s="144">
        <f>SUM('12p'!AU37, AS42, AT42)</f>
        <v>0</v>
      </c>
      <c r="AV42" s="145">
        <f>IF(AQ42="DC", AV41+AT42, SUMIF(AQ$11:AQ42, "&gt;0") + SUM(AT$11:AT42))</f>
        <v>394</v>
      </c>
      <c r="AW42" s="161" t="str">
        <f>IF(COUNTIF('12p'!$E37:$AB37,"DC")&gt;=6, "[CRITIQUE] Trop de DC !", IF('12p'!AU37="", "", IF('12p'!AU37="DC", "OK", IF(AND('12p'!AU36&lt;&gt;"", '12p'!AU36&lt;&gt;"DC", '12p'!AU37='12p'!AU36, '12p'!AU37&lt;&gt;0), "[ALERTE] Score FIGÉ ?", IF(AND('12p'!AU36&lt;&gt;"", '12p'!AU36&lt;&gt;"DC", '12p'!AU37&lt;'12p'!AU36), "[ALERTE] Baisse anormale !", "OK")))))</f>
        <v/>
      </c>
      <c r="AX42" s="127" t="str">
        <f>'12p'!S37</f>
        <v>DC</v>
      </c>
      <c r="AY42" s="142" cm="1">
        <f t="array" ref="AY42">IF(OR(AX42="",AX42="DC"), 0, AX42 - IFERROR(VLOOKUP("???",IF({1;0},"",INDEX(AX$11:AX41,MAX(IF(AX$11:AX41&lt;&gt;"",IF(AX$11:AX41&lt;&gt;"DC",ROW(AX$11:AX41)-MIN(ROW(AX$11:AX41))+1))))),1,FALSE),0))</f>
        <v>0</v>
      </c>
      <c r="AZ42" s="197">
        <f>IF(OR('12p'!BB37="X", '12p'!BB37="DC", '12p'!BB37="", COUNTIF('12p'!$E37:$AB37,"DC")&gt;=6), 0, IFERROR(VLOOKUP('12p'!BB37, Bareme, IF(COUNTIF('12p'!$E37:$AB37,"DC")=2, 4, IF(COUNTIF('12p'!$E37:$AB37,"DC")=4, 6, 0)), FALSE), 0))</f>
        <v>0</v>
      </c>
      <c r="BA42" s="143">
        <f>IF(AND(AX42="DC", COUNTIF('12p'!$E37:$AB37,"DC")&lt;6), 1, 0)</f>
        <v>1</v>
      </c>
      <c r="BB42" s="144">
        <f>SUM('12p'!BB37, AZ42, BA42)</f>
        <v>1</v>
      </c>
      <c r="BC42" s="145">
        <f>IF(AX42="DC", BC41+BA42, SUMIF(AX$11:AX42, "&gt;0") + SUM(BA$11:BA42))</f>
        <v>1</v>
      </c>
      <c r="BD42" s="161" t="str">
        <f>IF(COUNTIF('12p'!$E37:$AB37,"DC")&gt;=6, "[CRITIQUE] Trop de DC !", IF('12p'!BB37="", "", IF('12p'!BB37="DC", "OK", IF(AND('12p'!BB36&lt;&gt;"", '12p'!BB36&lt;&gt;"DC", '12p'!BB37='12p'!BB36, '12p'!BB37&lt;&gt;0), "[ALERTE] Score FIGÉ ?", IF(AND('12p'!BB36&lt;&gt;"", '12p'!BB36&lt;&gt;"DC", '12p'!BB37&lt;'12p'!BB36), "[ALERTE] Baisse anormale !", "OK")))))</f>
        <v/>
      </c>
      <c r="BE42" s="127">
        <f>'12p'!U37</f>
        <v>56</v>
      </c>
      <c r="BF42" s="142" cm="1">
        <f t="array" ref="BF42">IF(OR(BE42="",BE42="DC"), 0, BE42 - IFERROR(VLOOKUP("???",IF({1;0},"",INDEX(BE$11:BE41,MAX(IF(BE$11:BE41&lt;&gt;"",IF(BE$11:BE41&lt;&gt;"DC",ROW(BE$11:BE41)-MIN(ROW(BE$11:BE41))+1))))),1,FALSE),0))</f>
        <v>56</v>
      </c>
      <c r="BG42" s="197">
        <f>IF(OR('12p'!BI37="X", '12p'!BI37="DC", '12p'!BI37="", COUNTIF('12p'!$E37:$AB37,"DC")&gt;=6), 0, IFERROR(VLOOKUP('12p'!BI37, Bareme, IF(COUNTIF('12p'!$E37:$AB37,"DC")=2, 4, IF(COUNTIF('12p'!$E37:$AB37,"DC")=4, 6, 0)), FALSE), 0))</f>
        <v>0</v>
      </c>
      <c r="BH42" s="143">
        <f>IF(AND(BE42="DC", COUNTIF('12p'!$E37:$AB37,"DC")&lt;6), 1, 0)</f>
        <v>0</v>
      </c>
      <c r="BI42" s="144">
        <f>SUM('12p'!BI37, BG42, BH42)</f>
        <v>0</v>
      </c>
      <c r="BJ42" s="145">
        <f>IF(BE42="DC", BJ41+BH42, SUMIF(BE$11:BE42, "&gt;0") + SUM(BH$11:BH42))</f>
        <v>237</v>
      </c>
      <c r="BK42" s="161" t="str">
        <f>IF(COUNTIF('12p'!$E37:$AB37,"DC")&gt;=6, "[CRITIQUE] Trop de DC !", IF('12p'!BI37="", "", IF('12p'!BI37="DC", "OK", IF(AND('12p'!BI36&lt;&gt;"", '12p'!BI36&lt;&gt;"DC", '12p'!BI37='12p'!BI36, '12p'!BI37&lt;&gt;0), "[ALERTE] Score FIGÉ ?", IF(AND('12p'!BI36&lt;&gt;"", '12p'!BI36&lt;&gt;"DC", '12p'!BI37&lt;'12p'!BI36), "[ALERTE] Baisse anormale !", "OK")))))</f>
        <v/>
      </c>
      <c r="BL42" s="127">
        <f>'12p'!W37</f>
        <v>59</v>
      </c>
      <c r="BM42" s="142" cm="1">
        <f t="array" ref="BM42">IF(OR(BL42="",BL42="DC"), 0, BL42 - IFERROR(VLOOKUP("???",IF({1;0},"",INDEX(BL$11:BL41,MAX(IF(BL$11:BL41&lt;&gt;"",IF(BL$11:BL41&lt;&gt;"DC",ROW(BL$11:BL41)-MIN(ROW(BL$11:BL41))+1))))),1,FALSE),0))</f>
        <v>59</v>
      </c>
      <c r="BN42" s="197">
        <f>IF(OR('12p'!BP37="X", '12p'!BP37="DC", '12p'!BP37="", COUNTIF('12p'!$E37:$AB37,"DC")&gt;=6), 0, IFERROR(VLOOKUP('12p'!BP37, Bareme, IF(COUNTIF('12p'!$E37:$AB37,"DC")=2, 4, IF(COUNTIF('12p'!$E37:$AB37,"DC")=4, 6, 0)), FALSE), 0))</f>
        <v>0</v>
      </c>
      <c r="BO42" s="143">
        <f>IF(AND(BL42="DC", COUNTIF('12p'!$E37:$AB37,"DC")&lt;6), 1, 0)</f>
        <v>0</v>
      </c>
      <c r="BP42" s="144">
        <f>SUM('12p'!BP37, BN42, BO42)</f>
        <v>0</v>
      </c>
      <c r="BQ42" s="145">
        <f>IF(BL42="DC", BQ41+BO42, SUMIF(BL$11:BL42, "&gt;0") + SUM(BO$11:BO42))</f>
        <v>145</v>
      </c>
      <c r="BR42" s="161" t="str">
        <f>IF(COUNTIF('12p'!$E37:$AB37,"DC")&gt;=6, "[CRITIQUE] Trop de DC !", IF('12p'!BP37="", "", IF('12p'!BP37="DC", "OK", IF(AND('12p'!BP36&lt;&gt;"", '12p'!BP36&lt;&gt;"DC", '12p'!BP37='12p'!BP36, '12p'!BP37&lt;&gt;0), "[ALERTE] Score FIGÉ ?", IF(AND('12p'!BP36&lt;&gt;"", '12p'!BP36&lt;&gt;"DC", '12p'!BP37&lt;'12p'!BP36), "[ALERTE] Baisse anormale !", "OK")))))</f>
        <v/>
      </c>
      <c r="BS42" s="127">
        <f>'12p'!Y37</f>
        <v>59</v>
      </c>
      <c r="BT42" s="142" cm="1">
        <f t="array" ref="BT42">IF(OR(BS42="",BS42="DC"), 0, BS42 - IFERROR(VLOOKUP("???",IF({1;0},"",INDEX(BS$11:BS41,MAX(IF(BS$11:BS41&lt;&gt;"",IF(BS$11:BS41&lt;&gt;"DC",ROW(BS$11:BS41)-MIN(ROW(BS$11:BS41))+1))))),1,FALSE),0))</f>
        <v>59</v>
      </c>
      <c r="BU42" s="197">
        <f>IF(OR('12p'!BW37="X", '12p'!BW37="DC", '12p'!BW37="", COUNTIF('12p'!$E37:$AB37,"DC")&gt;=6), 0, IFERROR(VLOOKUP('12p'!BW37, Bareme, IF(COUNTIF('12p'!$E37:$AB37,"DC")=2, 4, IF(COUNTIF('12p'!$E37:$AB37,"DC")=4, 6, 0)), FALSE), 0))</f>
        <v>0</v>
      </c>
      <c r="BV42" s="143">
        <f>IF(AND(BS42="DC", COUNTIF('12p'!$E37:$AB37,"DC")&lt;6), 1, 0)</f>
        <v>0</v>
      </c>
      <c r="BW42" s="144">
        <f>SUM('12p'!BW37, BU42, BV42)</f>
        <v>0</v>
      </c>
      <c r="BX42" s="145">
        <f>IF(BS42="DC", BX41+BV42, SUMIF(BS$11:BS42, "&gt;0") + SUM(BV$11:BV42))</f>
        <v>275</v>
      </c>
      <c r="BY42" s="161" t="str">
        <f>IF(COUNTIF('12p'!$E37:$AB37,"DC")&gt;=6, "[CRITIQUE] Trop de DC !", IF('12p'!BW37="", "", IF('12p'!BW37="DC", "OK", IF(AND('12p'!BW36&lt;&gt;"", '12p'!BW36&lt;&gt;"DC", '12p'!BW37='12p'!BW36, '12p'!BW37&lt;&gt;0), "[ALERTE] Score FIGÉ ?", IF(AND('12p'!BW36&lt;&gt;"", '12p'!BW36&lt;&gt;"DC", '12p'!BW37&lt;'12p'!BW36), "[ALERTE] Baisse anormale !", "OK")))))</f>
        <v/>
      </c>
      <c r="BZ42" s="127">
        <f>'12p'!AA37</f>
        <v>59</v>
      </c>
      <c r="CA42" s="142" cm="1">
        <f t="array" ref="CA42">IF(OR(BZ42="",BZ42="DC"), 0, BZ42 - IFERROR(VLOOKUP("???",IF({1;0},"",INDEX(BZ$11:BZ41,MAX(IF(BZ$11:BZ41&lt;&gt;"",IF(BZ$11:BZ41&lt;&gt;"DC",ROW(BZ$11:BZ41)-MIN(ROW(BZ$11:BZ41))+1))))),1,FALSE),0))</f>
        <v>59</v>
      </c>
      <c r="CB42" s="197">
        <f>IF(OR('12p'!CD37="X", '12p'!CD37="DC", '12p'!CD37="", COUNTIF('12p'!$E37:$AB37,"DC")&gt;=6), 0, IFERROR(VLOOKUP('12p'!CD37, Bareme, IF(COUNTIF('12p'!$E37:$AB37,"DC")=2, 4, IF(COUNTIF('12p'!$E37:$AB37,"DC")=4, 6, 0)), FALSE), 0))</f>
        <v>0</v>
      </c>
      <c r="CC42" s="143">
        <f>IF(AND(BZ42="DC", COUNTIF('12p'!$E37:$AB37,"DC")&lt;6), 1, 0)</f>
        <v>0</v>
      </c>
      <c r="CD42" s="144">
        <f>SUM('12p'!CD37, CB42, CC42)</f>
        <v>0</v>
      </c>
      <c r="CE42" s="145">
        <f>IF(BZ42="DC", CE41+CC42, SUMIF(BZ$11:BZ42, "&gt;0") + SUM(CC$11:CC42))</f>
        <v>395</v>
      </c>
      <c r="CF42" s="161" t="str">
        <f>IF(COUNTIF('12p'!$E37:$AB37,"DC")&gt;=6, "[CRITIQUE] Trop de DC !", IF('12p'!CD37="", "", IF('12p'!CD37="DC", "OK", IF(AND('12p'!CD36&lt;&gt;"", '12p'!CD36&lt;&gt;"DC", '12p'!CD37='12p'!CD36, '12p'!CD37&lt;&gt;0), "[ALERTE] Score FIGÉ ?", IF(AND('12p'!CD36&lt;&gt;"", '12p'!CD36&lt;&gt;"DC", '12p'!CD37&lt;'12p'!CD36), "[ALERTE] Baisse anormale !", "OK")))))</f>
        <v/>
      </c>
      <c r="CG42" s="108"/>
      <c r="CH42" s="108"/>
      <c r="CI42" s="199"/>
      <c r="CJ42" s="199"/>
      <c r="CK42" s="199"/>
      <c r="CL42" s="199"/>
      <c r="CM42" s="136"/>
      <c r="CN42" s="199"/>
      <c r="CO42" s="199"/>
      <c r="CP42" s="199"/>
      <c r="CQ42" s="199"/>
      <c r="CR42" s="199"/>
      <c r="CS42" s="136"/>
      <c r="CT42" s="199"/>
      <c r="CU42" s="199"/>
      <c r="CV42" s="199"/>
      <c r="CW42" s="199"/>
      <c r="CX42" s="199"/>
      <c r="CY42" s="136"/>
      <c r="CZ42" s="199"/>
      <c r="DA42" s="199"/>
      <c r="DB42" s="199"/>
      <c r="DC42" s="199"/>
      <c r="DD42" s="199"/>
      <c r="DE42" s="136"/>
      <c r="DF42" s="199"/>
      <c r="DG42" s="199"/>
      <c r="DH42" s="199"/>
      <c r="DI42" s="199"/>
      <c r="DJ42" s="199"/>
      <c r="DK42" s="136"/>
      <c r="DL42" s="199"/>
      <c r="DM42" s="199"/>
      <c r="DN42" s="199"/>
      <c r="DO42" s="199"/>
      <c r="DP42" s="199"/>
      <c r="DQ42" s="136"/>
      <c r="DR42" s="199"/>
      <c r="DS42" s="199"/>
      <c r="DT42" s="199"/>
      <c r="DU42" s="199"/>
      <c r="DV42" s="199"/>
      <c r="DW42" s="136"/>
      <c r="DX42" s="199"/>
      <c r="DY42" s="199"/>
      <c r="DZ42" s="199"/>
      <c r="EA42" s="199"/>
      <c r="EB42" s="199"/>
      <c r="EC42" s="136"/>
      <c r="ED42" s="199"/>
      <c r="EE42" s="199"/>
      <c r="EF42" s="199"/>
      <c r="EG42" s="199"/>
    </row>
    <row r="43" spans="1:137" x14ac:dyDescent="0.25">
      <c r="A43" s="127">
        <f>'12p'!E38</f>
        <v>53</v>
      </c>
      <c r="B43" s="142">
        <f t="shared" ref="B43:B52" si="69">IF(A43="DC",0,A43-A42)</f>
        <v>1</v>
      </c>
      <c r="C43" s="197" cm="1">
        <f t="array" ref="C43">IF(OR(A43="DC",A43="",B43=0),0,IF(COUNTIF('12p'!$E38:$AB38,"DC")=1,INDEX(Table_11p,IF(B43=12,1,IF(B43=10,2,14-B43)),3),IF(COUNTIF('12p'!$E38:$AB38,"DC")=2,INDEX(Table_10p,IF(B43=11,1,IF(B43=9,2,12-B43)),3),IF(COUNTIF('12p'!$E38:$AB38,"DC")&gt;=3,INDEX(Table_9p_or_less,10-B43,3),0))))</f>
        <v>1</v>
      </c>
      <c r="D43" s="143">
        <f t="shared" ref="D43:D51" si="70">IF(A43="DC",1,0)</f>
        <v>0</v>
      </c>
      <c r="E43" s="189">
        <f t="shared" ref="E43:E52" si="71">SUM(B43,C43,D43)</f>
        <v>2</v>
      </c>
      <c r="F43" s="145">
        <f t="shared" ref="F43:F52" si="72">IF(A43="DC",F42+D43,IF(A43="",F42,A43))</f>
        <v>53</v>
      </c>
      <c r="G43" s="161" t="str">
        <f>IF(COUNTIF('12p'!$E38:$AB38,"DC")&gt;=6, "[CRITIQUE] Trop de DC !", IF('12p'!E38="", "", IF('12p'!E38="DC", "OK", IF(AND('12p'!E37&lt;&gt;"", '12p'!E37&lt;&gt;"DC", '12p'!E38='12p'!E37, '12p'!E38&lt;&gt;0), "[ALERTE] Score FIGÉ ?", IF(AND('12p'!E37&lt;&gt;"", '12p'!E37&lt;&gt;"DC", '12p'!E38&lt;'12p'!E37), "[ALERTE] Baisse anormale !", "OK")))))</f>
        <v>OK</v>
      </c>
      <c r="H43" s="127">
        <f>'12p'!G38</f>
        <v>74</v>
      </c>
      <c r="I43" s="142">
        <f t="shared" ref="I43:I52" si="73">IF(H43="DC",0,H43-H42)</f>
        <v>7</v>
      </c>
      <c r="J43" s="197" cm="1">
        <f t="array" ref="J43">IF(OR(H43="DC",H43="",I43=0),0,IF(COUNTIF('12p'!$E38:$AB38,"DC")=1,INDEX(Table_11p,IF(I43=12,1,IF(I43=10,2,14-I43)),3),IF(COUNTIF('12p'!$E38:$AB38,"DC")=2,INDEX(Table_10p,IF(I43=11,1,IF(I43=9,2,12-I43)),3),IF(COUNTIF('12p'!$E38:$AB38,"DC")&gt;=3,INDEX(Table_9p_or_less,10-I43,3),0))))</f>
        <v>1</v>
      </c>
      <c r="K43" s="143">
        <f t="shared" ref="K43:K52" si="74">IF(H43="DC",1,0)</f>
        <v>0</v>
      </c>
      <c r="L43" s="189">
        <f t="shared" ref="L43:L52" si="75">SUM(I43,J43,K43)</f>
        <v>8</v>
      </c>
      <c r="M43" s="145">
        <f t="shared" ref="M43:M52" si="76">IF(H43="DC",M42+K43,IF(H43="",M42,H43))</f>
        <v>74</v>
      </c>
      <c r="N43" s="161" t="str">
        <f>IF(COUNTIF('12p'!$E38:$AB38,"DC")&gt;=6, "[CRITIQUE] Trop de DC !", IF('12p'!L38="", "", IF('12p'!L38="DC", "OK", IF(AND('12p'!L37&lt;&gt;"", '12p'!L37&lt;&gt;"DC", '12p'!L38='12p'!L37, '12p'!L38&lt;&gt;0), "[ALERTE] Score FIGÉ ?", IF(AND('12p'!L37&lt;&gt;"", '12p'!L37&lt;&gt;"DC", '12p'!L38&lt;'12p'!L37), "[ALERTE] Baisse anormale !", "OK")))))</f>
        <v>[ALERTE] Baisse anormale !</v>
      </c>
      <c r="O43" s="127">
        <f>'12p'!I38</f>
        <v>81</v>
      </c>
      <c r="P43" s="142">
        <f t="shared" ref="P43:P52" si="77">IF(O43="DC",0,O43-O42)</f>
        <v>4</v>
      </c>
      <c r="Q43" s="197" cm="1">
        <f t="array" ref="Q43">IF(OR(O43="DC",O43="",P43=0),0,IF(COUNTIF('12p'!$E38:$AB38,"DC")=1,INDEX(Table_11p,IF(P43=12,1,IF(P43=10,2,14-P43)),3),IF(COUNTIF('12p'!$E38:$AB38,"DC")=2,INDEX(Table_10p,IF(P43=11,1,IF(P43=9,2,12-P43)),3),IF(COUNTIF('12p'!$E38:$AB38,"DC")&gt;=3,INDEX(Table_9p_or_less,10-P43,3),0))))</f>
        <v>1</v>
      </c>
      <c r="R43" s="143">
        <f t="shared" ref="R43:R52" si="78">IF(O43="DC",1,0)</f>
        <v>0</v>
      </c>
      <c r="S43" s="189">
        <f t="shared" ref="S43:S52" si="79">SUM(P43,Q43,R43)</f>
        <v>5</v>
      </c>
      <c r="T43" s="145">
        <f t="shared" ref="T43:T52" si="80">IF(O43="DC",T42+R43,IF(O43="",T42,O43))</f>
        <v>81</v>
      </c>
      <c r="U43" s="161" t="str">
        <f>IF(COUNTIF('12p'!$E38:$AB38,"DC")&gt;=6, "[CRITIQUE] Trop de DC !", IF('12p'!S38="", "", IF('12p'!S38="DC", "OK", IF(AND('12p'!S37&lt;&gt;"", '12p'!S37&lt;&gt;"DC", '12p'!S38='12p'!S37, '12p'!S38&lt;&gt;0), "[ALERTE] Score FIGÉ ?", IF(AND('12p'!S37&lt;&gt;"", '12p'!S37&lt;&gt;"DC", '12p'!S38&lt;'12p'!S37), "[ALERTE] Baisse anormale !", "OK")))))</f>
        <v>OK</v>
      </c>
      <c r="V43" s="127">
        <f>'12p'!K38</f>
        <v>51</v>
      </c>
      <c r="W43" s="142">
        <f t="shared" ref="W43:W52" si="81">IF(V43="DC",0,V43-V42)</f>
        <v>3</v>
      </c>
      <c r="X43" s="197" cm="1">
        <f t="array" ref="X43">IF(OR(V43="DC",V43="",W43=0),0,IF(COUNTIF('12p'!$E38:$AB38,"DC")=1,INDEX(Table_11p,IF(W43=12,1,IF(W43=10,2,14-W43)),3),IF(COUNTIF('12p'!$E38:$AB38,"DC")=2,INDEX(Table_10p,IF(W43=11,1,IF(W43=9,2,12-W43)),3),IF(COUNTIF('12p'!$E38:$AB38,"DC")&gt;=3,INDEX(Table_9p_or_less,10-W43,3),0))))</f>
        <v>1</v>
      </c>
      <c r="Y43" s="143">
        <f t="shared" ref="Y43:Y52" si="82">IF(V43="DC",1,0)</f>
        <v>0</v>
      </c>
      <c r="Z43" s="189">
        <f t="shared" ref="Z43:Z52" si="83">SUM(W43,X43,Y43)</f>
        <v>4</v>
      </c>
      <c r="AA43" s="145">
        <f t="shared" ref="AA43:AA52" si="84">IF(V43="DC",AA42+Y43,IF(V43="",AA42,V43))</f>
        <v>51</v>
      </c>
      <c r="AB43" s="161" t="str">
        <f>IF(COUNTIF('12p'!$E38:$AB38,"DC")&gt;=6, "[CRITIQUE] Trop de DC !", IF('12p'!Z38="", "", IF('12p'!Z38="DC", "OK", IF(AND('12p'!Z37&lt;&gt;"", '12p'!Z37&lt;&gt;"DC", '12p'!Z38='12p'!Z37, '12p'!Z38&lt;&gt;0), "[ALERTE] Score FIGÉ ?", IF(AND('12p'!Z37&lt;&gt;"", '12p'!Z37&lt;&gt;"DC", '12p'!Z38&lt;'12p'!Z37), "[ALERTE] Baisse anormale !", "OK")))))</f>
        <v>OK</v>
      </c>
      <c r="AC43" s="127">
        <f>'12p'!M38</f>
        <v>63</v>
      </c>
      <c r="AD43" s="142" cm="1">
        <f t="array" ref="AD43">IF(OR(AC43="",AC43="DC"), 0, AC43 - IFERROR(VLOOKUP("???",IF({1;0},"",INDEX(AC$11:AC42,MAX(IF(AC$11:AC42&lt;&gt;"",IF(AC$11:AC42&lt;&gt;"DC",ROW(AC$11:AC42)-MIN(ROW(AC$11:AC42))+1))))),1,FALSE),0))</f>
        <v>63</v>
      </c>
      <c r="AE43" s="197">
        <f>IF(OR('12p'!AG38="X", '12p'!AG38="DC", '12p'!AG38="", COUNTIF('12p'!$E38:$AB38,"DC")&gt;=6), 0, IFERROR(VLOOKUP('12p'!AG38, Bareme, IF(COUNTIF('12p'!$E38:$AB38,"DC")=2, 4, IF(COUNTIF('12p'!$E38:$AB38,"DC")=4, 6, 0)), FALSE), 0))</f>
        <v>0</v>
      </c>
      <c r="AF43" s="143">
        <f>IF(AND(AC43="DC", COUNTIF('12p'!$E38:$AB38,"DC")&lt;6), 1, 0)</f>
        <v>0</v>
      </c>
      <c r="AG43" s="144">
        <f>SUM('12p'!AG38, AE43, AF43)</f>
        <v>0</v>
      </c>
      <c r="AH43" s="145">
        <f>IF(AC43="DC", AH42+AF43, SUMIF(AC$11:AC43, "&gt;0") + SUM(AF$11:AF43))</f>
        <v>534</v>
      </c>
      <c r="AI43" s="161" t="str">
        <f>IF(COUNTIF('12p'!$E38:$AB38,"DC")&gt;=6, "[CRITIQUE] Trop de DC !", IF('12p'!AG38="", "", IF('12p'!AG38="DC", "OK", IF(AND('12p'!AG37&lt;&gt;"", '12p'!AG37&lt;&gt;"DC", '12p'!AG38='12p'!AG37, '12p'!AG38&lt;&gt;0), "[ALERTE] Score FIGÉ ?", IF(AND('12p'!AG37&lt;&gt;"", '12p'!AG37&lt;&gt;"DC", '12p'!AG38&lt;'12p'!AG37), "[ALERTE] Baisse anormale !", "OK")))))</f>
        <v/>
      </c>
      <c r="AJ43" s="127">
        <f>'12p'!O38</f>
        <v>52</v>
      </c>
      <c r="AK43" s="142" cm="1">
        <f t="array" ref="AK43">IF(OR(AJ43="",AJ43="DC"), 0, AJ43 - IFERROR(VLOOKUP("???",IF({1;0},"",INDEX(AJ$11:AJ42,MAX(IF(AJ$11:AJ42&lt;&gt;"",IF(AJ$11:AJ42&lt;&gt;"DC",ROW(AJ$11:AJ42)-MIN(ROW(AJ$11:AJ42))+1))))),1,FALSE),0))</f>
        <v>52</v>
      </c>
      <c r="AL43" s="197">
        <f>IF(OR('12p'!AN38="X", '12p'!AN38="DC", '12p'!AN38="", COUNTIF('12p'!$E38:$AB38,"DC")&gt;=6), 0, IFERROR(VLOOKUP('12p'!AN38, Bareme, IF(COUNTIF('12p'!$E38:$AB38,"DC")=2, 4, IF(COUNTIF('12p'!$E38:$AB38,"DC")=4, 6, 0)), FALSE), 0))</f>
        <v>0</v>
      </c>
      <c r="AM43" s="143">
        <f>IF(AND(AJ43="DC", COUNTIF('12p'!$E38:$AB38,"DC")&lt;6), 1, 0)</f>
        <v>0</v>
      </c>
      <c r="AN43" s="144">
        <f>SUM('12p'!AN38, AL43, AM43)</f>
        <v>0</v>
      </c>
      <c r="AO43" s="145">
        <f>IF(AJ43="DC", AO42+AM43, SUMIF(AJ$11:AJ43, "&gt;0") + SUM(AM$11:AM43))</f>
        <v>348</v>
      </c>
      <c r="AP43" s="161" t="str">
        <f>IF(COUNTIF('12p'!$E38:$AB38,"DC")&gt;=6, "[CRITIQUE] Trop de DC !", IF('12p'!AN38="", "", IF('12p'!AN38="DC", "OK", IF(AND('12p'!AN37&lt;&gt;"", '12p'!AN37&lt;&gt;"DC", '12p'!AN38='12p'!AN37, '12p'!AN38&lt;&gt;0), "[ALERTE] Score FIGÉ ?", IF(AND('12p'!AN37&lt;&gt;"", '12p'!AN37&lt;&gt;"DC", '12p'!AN38&lt;'12p'!AN37), "[ALERTE] Baisse anormale !", "OK")))))</f>
        <v/>
      </c>
      <c r="AQ43" s="127">
        <f>'12p'!Q38</f>
        <v>78</v>
      </c>
      <c r="AR43" s="142" cm="1">
        <f t="array" ref="AR43">IF(OR(AQ43="",AQ43="DC"), 0, AQ43 - IFERROR(VLOOKUP("???",IF({1;0},"",INDEX(AQ$11:AQ42,MAX(IF(AQ$11:AQ42&lt;&gt;"",IF(AQ$11:AQ42&lt;&gt;"DC",ROW(AQ$11:AQ42)-MIN(ROW(AQ$11:AQ42))+1))))),1,FALSE),0))</f>
        <v>78</v>
      </c>
      <c r="AS43" s="197">
        <f>IF(OR('12p'!AU38="X", '12p'!AU38="DC", '12p'!AU38="", COUNTIF('12p'!$E38:$AB38,"DC")&gt;=6), 0, IFERROR(VLOOKUP('12p'!AU38, Bareme, IF(COUNTIF('12p'!$E38:$AB38,"DC")=2, 4, IF(COUNTIF('12p'!$E38:$AB38,"DC")=4, 6, 0)), FALSE), 0))</f>
        <v>0</v>
      </c>
      <c r="AT43" s="143">
        <f>IF(AND(AQ43="DC", COUNTIF('12p'!$E38:$AB38,"DC")&lt;6), 1, 0)</f>
        <v>0</v>
      </c>
      <c r="AU43" s="144">
        <f>SUM('12p'!AU38, AS43, AT43)</f>
        <v>0</v>
      </c>
      <c r="AV43" s="145">
        <f>IF(AQ43="DC", AV42+AT43, SUMIF(AQ$11:AQ43, "&gt;0") + SUM(AT$11:AT43))</f>
        <v>472</v>
      </c>
      <c r="AW43" s="161" t="str">
        <f>IF(COUNTIF('12p'!$E38:$AB38,"DC")&gt;=6, "[CRITIQUE] Trop de DC !", IF('12p'!AU38="", "", IF('12p'!AU38="DC", "OK", IF(AND('12p'!AU37&lt;&gt;"", '12p'!AU37&lt;&gt;"DC", '12p'!AU38='12p'!AU37, '12p'!AU38&lt;&gt;0), "[ALERTE] Score FIGÉ ?", IF(AND('12p'!AU37&lt;&gt;"", '12p'!AU37&lt;&gt;"DC", '12p'!AU38&lt;'12p'!AU37), "[ALERTE] Baisse anormale !", "OK")))))</f>
        <v/>
      </c>
      <c r="AX43" s="127" t="str">
        <f>'12p'!S38</f>
        <v>DC</v>
      </c>
      <c r="AY43" s="142" cm="1">
        <f t="array" ref="AY43">IF(OR(AX43="",AX43="DC"), 0, AX43 - IFERROR(VLOOKUP("???",IF({1;0},"",INDEX(AX$11:AX42,MAX(IF(AX$11:AX42&lt;&gt;"",IF(AX$11:AX42&lt;&gt;"DC",ROW(AX$11:AX42)-MIN(ROW(AX$11:AX42))+1))))),1,FALSE),0))</f>
        <v>0</v>
      </c>
      <c r="AZ43" s="197">
        <f>IF(OR('12p'!BB38="X", '12p'!BB38="DC", '12p'!BB38="", COUNTIF('12p'!$E38:$AB38,"DC")&gt;=6), 0, IFERROR(VLOOKUP('12p'!BB38, Bareme, IF(COUNTIF('12p'!$E38:$AB38,"DC")=2, 4, IF(COUNTIF('12p'!$E38:$AB38,"DC")=4, 6, 0)), FALSE), 0))</f>
        <v>0</v>
      </c>
      <c r="BA43" s="143">
        <f>IF(AND(AX43="DC", COUNTIF('12p'!$E38:$AB38,"DC")&lt;6), 1, 0)</f>
        <v>1</v>
      </c>
      <c r="BB43" s="144">
        <f>SUM('12p'!BB38, AZ43, BA43)</f>
        <v>1</v>
      </c>
      <c r="BC43" s="145">
        <f>IF(AX43="DC", BC42+BA43, SUMIF(AX$11:AX43, "&gt;0") + SUM(BA$11:BA43))</f>
        <v>2</v>
      </c>
      <c r="BD43" s="161" t="str">
        <f>IF(COUNTIF('12p'!$E38:$AB38,"DC")&gt;=6, "[CRITIQUE] Trop de DC !", IF('12p'!BB38="", "", IF('12p'!BB38="DC", "OK", IF(AND('12p'!BB37&lt;&gt;"", '12p'!BB37&lt;&gt;"DC", '12p'!BB38='12p'!BB37, '12p'!BB38&lt;&gt;0), "[ALERTE] Score FIGÉ ?", IF(AND('12p'!BB37&lt;&gt;"", '12p'!BB37&lt;&gt;"DC", '12p'!BB38&lt;'12p'!BB37), "[ALERTE] Baisse anormale !", "OK")))))</f>
        <v/>
      </c>
      <c r="BE43" s="127">
        <f>'12p'!U38</f>
        <v>64</v>
      </c>
      <c r="BF43" s="142" cm="1">
        <f t="array" ref="BF43">IF(OR(BE43="",BE43="DC"), 0, BE43 - IFERROR(VLOOKUP("???",IF({1;0},"",INDEX(BE$11:BE42,MAX(IF(BE$11:BE42&lt;&gt;"",IF(BE$11:BE42&lt;&gt;"DC",ROW(BE$11:BE42)-MIN(ROW(BE$11:BE42))+1))))),1,FALSE),0))</f>
        <v>64</v>
      </c>
      <c r="BG43" s="197">
        <f>IF(OR('12p'!BI38="X", '12p'!BI38="DC", '12p'!BI38="", COUNTIF('12p'!$E38:$AB38,"DC")&gt;=6), 0, IFERROR(VLOOKUP('12p'!BI38, Bareme, IF(COUNTIF('12p'!$E38:$AB38,"DC")=2, 4, IF(COUNTIF('12p'!$E38:$AB38,"DC")=4, 6, 0)), FALSE), 0))</f>
        <v>0</v>
      </c>
      <c r="BH43" s="143">
        <f>IF(AND(BE43="DC", COUNTIF('12p'!$E38:$AB38,"DC")&lt;6), 1, 0)</f>
        <v>0</v>
      </c>
      <c r="BI43" s="144">
        <f>SUM('12p'!BI38, BG43, BH43)</f>
        <v>0</v>
      </c>
      <c r="BJ43" s="145">
        <f>IF(BE43="DC", BJ42+BH43, SUMIF(BE$11:BE43, "&gt;0") + SUM(BH$11:BH43))</f>
        <v>301</v>
      </c>
      <c r="BK43" s="161" t="str">
        <f>IF(COUNTIF('12p'!$E38:$AB38,"DC")&gt;=6, "[CRITIQUE] Trop de DC !", IF('12p'!BI38="", "", IF('12p'!BI38="DC", "OK", IF(AND('12p'!BI37&lt;&gt;"", '12p'!BI37&lt;&gt;"DC", '12p'!BI38='12p'!BI37, '12p'!BI38&lt;&gt;0), "[ALERTE] Score FIGÉ ?", IF(AND('12p'!BI37&lt;&gt;"", '12p'!BI37&lt;&gt;"DC", '12p'!BI38&lt;'12p'!BI37), "[ALERTE] Baisse anormale !", "OK")))))</f>
        <v/>
      </c>
      <c r="BL43" s="127">
        <f>'12p'!W38</f>
        <v>71</v>
      </c>
      <c r="BM43" s="142" cm="1">
        <f t="array" ref="BM43">IF(OR(BL43="",BL43="DC"), 0, BL43 - IFERROR(VLOOKUP("???",IF({1;0},"",INDEX(BL$11:BL42,MAX(IF(BL$11:BL42&lt;&gt;"",IF(BL$11:BL42&lt;&gt;"DC",ROW(BL$11:BL42)-MIN(ROW(BL$11:BL42))+1))))),1,FALSE),0))</f>
        <v>71</v>
      </c>
      <c r="BN43" s="197">
        <f>IF(OR('12p'!BP38="X", '12p'!BP38="DC", '12p'!BP38="", COUNTIF('12p'!$E38:$AB38,"DC")&gt;=6), 0, IFERROR(VLOOKUP('12p'!BP38, Bareme, IF(COUNTIF('12p'!$E38:$AB38,"DC")=2, 4, IF(COUNTIF('12p'!$E38:$AB38,"DC")=4, 6, 0)), FALSE), 0))</f>
        <v>0</v>
      </c>
      <c r="BO43" s="143">
        <f>IF(AND(BL43="DC", COUNTIF('12p'!$E38:$AB38,"DC")&lt;6), 1, 0)</f>
        <v>0</v>
      </c>
      <c r="BP43" s="144">
        <f>SUM('12p'!BP38, BN43, BO43)</f>
        <v>0</v>
      </c>
      <c r="BQ43" s="145">
        <f>IF(BL43="DC", BQ42+BO43, SUMIF(BL$11:BL43, "&gt;0") + SUM(BO$11:BO43))</f>
        <v>216</v>
      </c>
      <c r="BR43" s="161" t="str">
        <f>IF(COUNTIF('12p'!$E38:$AB38,"DC")&gt;=6, "[CRITIQUE] Trop de DC !", IF('12p'!BP38="", "", IF('12p'!BP38="DC", "OK", IF(AND('12p'!BP37&lt;&gt;"", '12p'!BP37&lt;&gt;"DC", '12p'!BP38='12p'!BP37, '12p'!BP38&lt;&gt;0), "[ALERTE] Score FIGÉ ?", IF(AND('12p'!BP37&lt;&gt;"", '12p'!BP37&lt;&gt;"DC", '12p'!BP38&lt;'12p'!BP37), "[ALERTE] Baisse anormale !", "OK")))))</f>
        <v/>
      </c>
      <c r="BS43" s="127">
        <f>'12p'!Y38</f>
        <v>64</v>
      </c>
      <c r="BT43" s="142" cm="1">
        <f t="array" ref="BT43">IF(OR(BS43="",BS43="DC"), 0, BS43 - IFERROR(VLOOKUP("???",IF({1;0},"",INDEX(BS$11:BS42,MAX(IF(BS$11:BS42&lt;&gt;"",IF(BS$11:BS42&lt;&gt;"DC",ROW(BS$11:BS42)-MIN(ROW(BS$11:BS42))+1))))),1,FALSE),0))</f>
        <v>64</v>
      </c>
      <c r="BU43" s="197">
        <f>IF(OR('12p'!BW38="X", '12p'!BW38="DC", '12p'!BW38="", COUNTIF('12p'!$E38:$AB38,"DC")&gt;=6), 0, IFERROR(VLOOKUP('12p'!BW38, Bareme, IF(COUNTIF('12p'!$E38:$AB38,"DC")=2, 4, IF(COUNTIF('12p'!$E38:$AB38,"DC")=4, 6, 0)), FALSE), 0))</f>
        <v>0</v>
      </c>
      <c r="BV43" s="143">
        <f>IF(AND(BS43="DC", COUNTIF('12p'!$E38:$AB38,"DC")&lt;6), 1, 0)</f>
        <v>0</v>
      </c>
      <c r="BW43" s="144">
        <f>SUM('12p'!BW38, BU43, BV43)</f>
        <v>0</v>
      </c>
      <c r="BX43" s="145">
        <f>IF(BS43="DC", BX42+BV43, SUMIF(BS$11:BS43, "&gt;0") + SUM(BV$11:BV43))</f>
        <v>339</v>
      </c>
      <c r="BY43" s="161" t="str">
        <f>IF(COUNTIF('12p'!$E38:$AB38,"DC")&gt;=6, "[CRITIQUE] Trop de DC !", IF('12p'!BW38="", "", IF('12p'!BW38="DC", "OK", IF(AND('12p'!BW37&lt;&gt;"", '12p'!BW37&lt;&gt;"DC", '12p'!BW38='12p'!BW37, '12p'!BW38&lt;&gt;0), "[ALERTE] Score FIGÉ ?", IF(AND('12p'!BW37&lt;&gt;"", '12p'!BW37&lt;&gt;"DC", '12p'!BW38&lt;'12p'!BW37), "[ALERTE] Baisse anormale !", "OK")))))</f>
        <v/>
      </c>
      <c r="BZ43" s="127">
        <f>'12p'!AA38</f>
        <v>69</v>
      </c>
      <c r="CA43" s="142" cm="1">
        <f t="array" ref="CA43">IF(OR(BZ43="",BZ43="DC"), 0, BZ43 - IFERROR(VLOOKUP("???",IF({1;0},"",INDEX(BZ$11:BZ42,MAX(IF(BZ$11:BZ42&lt;&gt;"",IF(BZ$11:BZ42&lt;&gt;"DC",ROW(BZ$11:BZ42)-MIN(ROW(BZ$11:BZ42))+1))))),1,FALSE),0))</f>
        <v>69</v>
      </c>
      <c r="CB43" s="197">
        <f>IF(OR('12p'!CD38="X", '12p'!CD38="DC", '12p'!CD38="", COUNTIF('12p'!$E38:$AB38,"DC")&gt;=6), 0, IFERROR(VLOOKUP('12p'!CD38, Bareme, IF(COUNTIF('12p'!$E38:$AB38,"DC")=2, 4, IF(COUNTIF('12p'!$E38:$AB38,"DC")=4, 6, 0)), FALSE), 0))</f>
        <v>0</v>
      </c>
      <c r="CC43" s="143">
        <f>IF(AND(BZ43="DC", COUNTIF('12p'!$E38:$AB38,"DC")&lt;6), 1, 0)</f>
        <v>0</v>
      </c>
      <c r="CD43" s="144">
        <f>SUM('12p'!CD38, CB43, CC43)</f>
        <v>0</v>
      </c>
      <c r="CE43" s="145">
        <f>IF(BZ43="DC", CE42+CC43, SUMIF(BZ$11:BZ43, "&gt;0") + SUM(CC$11:CC43))</f>
        <v>464</v>
      </c>
      <c r="CF43" s="161" t="str">
        <f>IF(COUNTIF('12p'!$E38:$AB38,"DC")&gt;=6, "[CRITIQUE] Trop de DC !", IF('12p'!CD38="", "", IF('12p'!CD38="DC", "OK", IF(AND('12p'!CD37&lt;&gt;"", '12p'!CD37&lt;&gt;"DC", '12p'!CD38='12p'!CD37, '12p'!CD38&lt;&gt;0), "[ALERTE] Score FIGÉ ?", IF(AND('12p'!CD37&lt;&gt;"", '12p'!CD37&lt;&gt;"DC", '12p'!CD38&lt;'12p'!CD37), "[ALERTE] Baisse anormale !", "OK")))))</f>
        <v/>
      </c>
      <c r="CG43" s="108"/>
      <c r="CH43" s="108"/>
      <c r="CI43" s="199"/>
      <c r="CJ43" s="199"/>
      <c r="CK43" s="199"/>
      <c r="CL43" s="199"/>
      <c r="CM43" s="136"/>
      <c r="CN43" s="199"/>
      <c r="CO43" s="199"/>
      <c r="CP43" s="199"/>
      <c r="CQ43" s="199"/>
      <c r="CR43" s="199"/>
      <c r="CS43" s="136"/>
      <c r="CT43" s="199"/>
      <c r="CU43" s="199"/>
      <c r="CV43" s="199"/>
      <c r="CW43" s="199"/>
      <c r="CX43" s="199"/>
      <c r="CY43" s="136"/>
      <c r="CZ43" s="199"/>
      <c r="DA43" s="199"/>
      <c r="DB43" s="199"/>
      <c r="DC43" s="199"/>
      <c r="DD43" s="199"/>
      <c r="DE43" s="136"/>
      <c r="DF43" s="199"/>
      <c r="DG43" s="199"/>
      <c r="DH43" s="199"/>
      <c r="DI43" s="199"/>
      <c r="DJ43" s="199"/>
      <c r="DK43" s="136"/>
      <c r="DL43" s="199"/>
      <c r="DM43" s="199"/>
      <c r="DN43" s="199"/>
      <c r="DO43" s="199"/>
      <c r="DP43" s="199"/>
      <c r="DQ43" s="136"/>
      <c r="DR43" s="199"/>
      <c r="DS43" s="199"/>
      <c r="DT43" s="199"/>
      <c r="DU43" s="199"/>
      <c r="DV43" s="199"/>
      <c r="DW43" s="136"/>
      <c r="DX43" s="199"/>
      <c r="DY43" s="199"/>
      <c r="DZ43" s="199"/>
      <c r="EA43" s="199"/>
      <c r="EB43" s="199"/>
      <c r="EC43" s="136"/>
      <c r="ED43" s="199"/>
      <c r="EE43" s="199"/>
      <c r="EF43" s="199"/>
      <c r="EG43" s="199"/>
    </row>
    <row r="44" spans="1:137" x14ac:dyDescent="0.25">
      <c r="A44" s="127">
        <f>'12p'!E39</f>
        <v>63</v>
      </c>
      <c r="B44" s="142">
        <f t="shared" si="69"/>
        <v>10</v>
      </c>
      <c r="C44" s="197" cm="1">
        <f t="array" ref="C44">IF(OR(A44="DC",A44="",B44=0),0,IF(COUNTIF('12p'!$E39:$AB39,"DC")=1,INDEX(Table_11p,IF(B44=12,1,IF(B44=10,2,14-B44)),3),IF(COUNTIF('12p'!$E39:$AB39,"DC")=2,INDEX(Table_10p,IF(B44=11,1,IF(B44=9,2,12-B44)),3),IF(COUNTIF('12p'!$E39:$AB39,"DC")&gt;=3,INDEX(Table_9p_or_less,10-B44,3),0))))</f>
        <v>2</v>
      </c>
      <c r="D44" s="143">
        <f t="shared" si="70"/>
        <v>0</v>
      </c>
      <c r="E44" s="189">
        <f t="shared" si="71"/>
        <v>12</v>
      </c>
      <c r="F44" s="145">
        <f t="shared" si="72"/>
        <v>63</v>
      </c>
      <c r="G44" s="161" t="str">
        <f>IF(COUNTIF('12p'!$E39:$AB39,"DC")&gt;=6, "[CRITIQUE] Trop de DC !", IF('12p'!E39="", "", IF('12p'!E39="DC", "OK", IF(AND('12p'!E38&lt;&gt;"", '12p'!E38&lt;&gt;"DC", '12p'!E39='12p'!E38, '12p'!E39&lt;&gt;0), "[ALERTE] Score FIGÉ ?", IF(AND('12p'!E38&lt;&gt;"", '12p'!E38&lt;&gt;"DC", '12p'!E39&lt;'12p'!E38), "[ALERTE] Baisse anormale !", "OK")))))</f>
        <v>OK</v>
      </c>
      <c r="H44" s="127">
        <f>'12p'!G39</f>
        <v>86</v>
      </c>
      <c r="I44" s="142">
        <f t="shared" si="73"/>
        <v>12</v>
      </c>
      <c r="J44" s="197" cm="1">
        <f t="array" ref="J44">IF(OR(H44="DC",H44="",I44=0),0,IF(COUNTIF('12p'!$E39:$AB39,"DC")=1,INDEX(Table_11p,IF(I44=12,1,IF(I44=10,2,14-I44)),3),IF(COUNTIF('12p'!$E39:$AB39,"DC")=2,INDEX(Table_10p,IF(I44=11,1,IF(I44=9,2,12-I44)),3),IF(COUNTIF('12p'!$E39:$AB39,"DC")&gt;=3,INDEX(Table_9p_or_less,10-I44,3),0))))</f>
        <v>3</v>
      </c>
      <c r="K44" s="143">
        <f t="shared" si="74"/>
        <v>0</v>
      </c>
      <c r="L44" s="189">
        <f t="shared" si="75"/>
        <v>15</v>
      </c>
      <c r="M44" s="145">
        <f t="shared" si="76"/>
        <v>86</v>
      </c>
      <c r="N44" s="161" t="str">
        <f>IF(COUNTIF('12p'!$E39:$AB39,"DC")&gt;=6, "[CRITIQUE] Trop de DC !", IF('12p'!L39="", "", IF('12p'!L39="DC", "OK", IF(AND('12p'!L38&lt;&gt;"", '12p'!L38&lt;&gt;"DC", '12p'!L39='12p'!L38, '12p'!L39&lt;&gt;0), "[ALERTE] Score FIGÉ ?", IF(AND('12p'!L38&lt;&gt;"", '12p'!L38&lt;&gt;"DC", '12p'!L39&lt;'12p'!L38), "[ALERTE] Baisse anormale !", "OK")))))</f>
        <v>[ALERTE] Score FIGÉ ?</v>
      </c>
      <c r="O44" s="127">
        <f>'12p'!I39</f>
        <v>86</v>
      </c>
      <c r="P44" s="142">
        <f t="shared" si="77"/>
        <v>5</v>
      </c>
      <c r="Q44" s="197" cm="1">
        <f t="array" ref="Q44">IF(OR(O44="DC",O44="",P44=0),0,IF(COUNTIF('12p'!$E39:$AB39,"DC")=1,INDEX(Table_11p,IF(P44=12,1,IF(P44=10,2,14-P44)),3),IF(COUNTIF('12p'!$E39:$AB39,"DC")=2,INDEX(Table_10p,IF(P44=11,1,IF(P44=9,2,12-P44)),3),IF(COUNTIF('12p'!$E39:$AB39,"DC")&gt;=3,INDEX(Table_9p_or_less,10-P44,3),0))))</f>
        <v>1</v>
      </c>
      <c r="R44" s="143">
        <f t="shared" si="78"/>
        <v>0</v>
      </c>
      <c r="S44" s="189">
        <f t="shared" si="79"/>
        <v>6</v>
      </c>
      <c r="T44" s="145">
        <f t="shared" si="80"/>
        <v>86</v>
      </c>
      <c r="U44" s="161" t="str">
        <f>IF(COUNTIF('12p'!$E39:$AB39,"DC")&gt;=6, "[CRITIQUE] Trop de DC !", IF('12p'!S39="", "", IF('12p'!S39="DC", "OK", IF(AND('12p'!S38&lt;&gt;"", '12p'!S38&lt;&gt;"DC", '12p'!S39='12p'!S38, '12p'!S39&lt;&gt;0), "[ALERTE] Score FIGÉ ?", IF(AND('12p'!S38&lt;&gt;"", '12p'!S38&lt;&gt;"DC", '12p'!S39&lt;'12p'!S38), "[ALERTE] Baisse anormale !", "OK")))))</f>
        <v>OK</v>
      </c>
      <c r="V44" s="127">
        <f>'12p'!K39</f>
        <v>54</v>
      </c>
      <c r="W44" s="142">
        <f t="shared" si="81"/>
        <v>3</v>
      </c>
      <c r="X44" s="197" cm="1">
        <f t="array" ref="X44">IF(OR(V44="DC",V44="",W44=0),0,IF(COUNTIF('12p'!$E39:$AB39,"DC")=1,INDEX(Table_11p,IF(W44=12,1,IF(W44=10,2,14-W44)),3),IF(COUNTIF('12p'!$E39:$AB39,"DC")=2,INDEX(Table_10p,IF(W44=11,1,IF(W44=9,2,12-W44)),3),IF(COUNTIF('12p'!$E39:$AB39,"DC")&gt;=3,INDEX(Table_9p_or_less,10-W44,3),0))))</f>
        <v>1</v>
      </c>
      <c r="Y44" s="143">
        <f t="shared" si="82"/>
        <v>0</v>
      </c>
      <c r="Z44" s="189">
        <f t="shared" si="83"/>
        <v>4</v>
      </c>
      <c r="AA44" s="145">
        <f t="shared" si="84"/>
        <v>54</v>
      </c>
      <c r="AB44" s="161" t="str">
        <f>IF(COUNTIF('12p'!$E39:$AB39,"DC")&gt;=6, "[CRITIQUE] Trop de DC !", IF('12p'!Z39="", "", IF('12p'!Z39="DC", "OK", IF(AND('12p'!Z38&lt;&gt;"", '12p'!Z38&lt;&gt;"DC", '12p'!Z39='12p'!Z38, '12p'!Z39&lt;&gt;0), "[ALERTE] Score FIGÉ ?", IF(AND('12p'!Z38&lt;&gt;"", '12p'!Z38&lt;&gt;"DC", '12p'!Z39&lt;'12p'!Z38), "[ALERTE] Baisse anormale !", "OK")))))</f>
        <v>OK</v>
      </c>
      <c r="AC44" s="127">
        <f>'12p'!M39</f>
        <v>64</v>
      </c>
      <c r="AD44" s="142" cm="1">
        <f t="array" ref="AD44">IF(OR(AC44="",AC44="DC"), 0, AC44 - IFERROR(VLOOKUP("???",IF({1;0},"",INDEX(AC$11:AC43,MAX(IF(AC$11:AC43&lt;&gt;"",IF(AC$11:AC43&lt;&gt;"DC",ROW(AC$11:AC43)-MIN(ROW(AC$11:AC43))+1))))),1,FALSE),0))</f>
        <v>64</v>
      </c>
      <c r="AE44" s="197">
        <f>IF(OR('12p'!AG39="X", '12p'!AG39="DC", '12p'!AG39="", COUNTIF('12p'!$E39:$AB39,"DC")&gt;=6), 0, IFERROR(VLOOKUP('12p'!AG39, Bareme, IF(COUNTIF('12p'!$E39:$AB39,"DC")=2, 4, IF(COUNTIF('12p'!$E39:$AB39,"DC")=4, 6, 0)), FALSE), 0))</f>
        <v>0</v>
      </c>
      <c r="AF44" s="143">
        <f>IF(AND(AC44="DC", COUNTIF('12p'!$E39:$AB39,"DC")&lt;6), 1, 0)</f>
        <v>0</v>
      </c>
      <c r="AG44" s="144">
        <f>SUM('12p'!AG39, AE44, AF44)</f>
        <v>0</v>
      </c>
      <c r="AH44" s="145">
        <f>IF(AC44="DC", AH43+AF44, SUMIF(AC$11:AC44, "&gt;0") + SUM(AF$11:AF44))</f>
        <v>598</v>
      </c>
      <c r="AI44" s="161" t="str">
        <f>IF(COUNTIF('12p'!$E39:$AB39,"DC")&gt;=6, "[CRITIQUE] Trop de DC !", IF('12p'!AG39="", "", IF('12p'!AG39="DC", "OK", IF(AND('12p'!AG38&lt;&gt;"", '12p'!AG38&lt;&gt;"DC", '12p'!AG39='12p'!AG38, '12p'!AG39&lt;&gt;0), "[ALERTE] Score FIGÉ ?", IF(AND('12p'!AG38&lt;&gt;"", '12p'!AG38&lt;&gt;"DC", '12p'!AG39&lt;'12p'!AG38), "[ALERTE] Baisse anormale !", "OK")))))</f>
        <v/>
      </c>
      <c r="AJ44" s="127">
        <f>'12p'!O39</f>
        <v>56</v>
      </c>
      <c r="AK44" s="142" cm="1">
        <f t="array" ref="AK44">IF(OR(AJ44="",AJ44="DC"), 0, AJ44 - IFERROR(VLOOKUP("???",IF({1;0},"",INDEX(AJ$11:AJ43,MAX(IF(AJ$11:AJ43&lt;&gt;"",IF(AJ$11:AJ43&lt;&gt;"DC",ROW(AJ$11:AJ43)-MIN(ROW(AJ$11:AJ43))+1))))),1,FALSE),0))</f>
        <v>56</v>
      </c>
      <c r="AL44" s="197">
        <f>IF(OR('12p'!AN39="X", '12p'!AN39="DC", '12p'!AN39="", COUNTIF('12p'!$E39:$AB39,"DC")&gt;=6), 0, IFERROR(VLOOKUP('12p'!AN39, Bareme, IF(COUNTIF('12p'!$E39:$AB39,"DC")=2, 4, IF(COUNTIF('12p'!$E39:$AB39,"DC")=4, 6, 0)), FALSE), 0))</f>
        <v>0</v>
      </c>
      <c r="AM44" s="143">
        <f>IF(AND(AJ44="DC", COUNTIF('12p'!$E39:$AB39,"DC")&lt;6), 1, 0)</f>
        <v>0</v>
      </c>
      <c r="AN44" s="144">
        <f>SUM('12p'!AN39, AL44, AM44)</f>
        <v>0</v>
      </c>
      <c r="AO44" s="145">
        <f>IF(AJ44="DC", AO43+AM44, SUMIF(AJ$11:AJ44, "&gt;0") + SUM(AM$11:AM44))</f>
        <v>404</v>
      </c>
      <c r="AP44" s="161" t="str">
        <f>IF(COUNTIF('12p'!$E39:$AB39,"DC")&gt;=6, "[CRITIQUE] Trop de DC !", IF('12p'!AN39="", "", IF('12p'!AN39="DC", "OK", IF(AND('12p'!AN38&lt;&gt;"", '12p'!AN38&lt;&gt;"DC", '12p'!AN39='12p'!AN38, '12p'!AN39&lt;&gt;0), "[ALERTE] Score FIGÉ ?", IF(AND('12p'!AN38&lt;&gt;"", '12p'!AN38&lt;&gt;"DC", '12p'!AN39&lt;'12p'!AN38), "[ALERTE] Baisse anormale !", "OK")))))</f>
        <v/>
      </c>
      <c r="AQ44" s="127">
        <f>'12p'!Q39</f>
        <v>85</v>
      </c>
      <c r="AR44" s="142" cm="1">
        <f t="array" ref="AR44">IF(OR(AQ44="",AQ44="DC"), 0, AQ44 - IFERROR(VLOOKUP("???",IF({1;0},"",INDEX(AQ$11:AQ43,MAX(IF(AQ$11:AQ43&lt;&gt;"",IF(AQ$11:AQ43&lt;&gt;"DC",ROW(AQ$11:AQ43)-MIN(ROW(AQ$11:AQ43))+1))))),1,FALSE),0))</f>
        <v>85</v>
      </c>
      <c r="AS44" s="197">
        <f>IF(OR('12p'!AU39="X", '12p'!AU39="DC", '12p'!AU39="", COUNTIF('12p'!$E39:$AB39,"DC")&gt;=6), 0, IFERROR(VLOOKUP('12p'!AU39, Bareme, IF(COUNTIF('12p'!$E39:$AB39,"DC")=2, 4, IF(COUNTIF('12p'!$E39:$AB39,"DC")=4, 6, 0)), FALSE), 0))</f>
        <v>0</v>
      </c>
      <c r="AT44" s="143">
        <f>IF(AND(AQ44="DC", COUNTIF('12p'!$E39:$AB39,"DC")&lt;6), 1, 0)</f>
        <v>0</v>
      </c>
      <c r="AU44" s="144">
        <f>SUM('12p'!AU39, AS44, AT44)</f>
        <v>0</v>
      </c>
      <c r="AV44" s="145">
        <f>IF(AQ44="DC", AV43+AT44, SUMIF(AQ$11:AQ44, "&gt;0") + SUM(AT$11:AT44))</f>
        <v>557</v>
      </c>
      <c r="AW44" s="161" t="str">
        <f>IF(COUNTIF('12p'!$E39:$AB39,"DC")&gt;=6, "[CRITIQUE] Trop de DC !", IF('12p'!AU39="", "", IF('12p'!AU39="DC", "OK", IF(AND('12p'!AU38&lt;&gt;"", '12p'!AU38&lt;&gt;"DC", '12p'!AU39='12p'!AU38, '12p'!AU39&lt;&gt;0), "[ALERTE] Score FIGÉ ?", IF(AND('12p'!AU38&lt;&gt;"", '12p'!AU38&lt;&gt;"DC", '12p'!AU39&lt;'12p'!AU38), "[ALERTE] Baisse anormale !", "OK")))))</f>
        <v/>
      </c>
      <c r="AX44" s="127" t="str">
        <f>'12p'!S39</f>
        <v>DC</v>
      </c>
      <c r="AY44" s="142" cm="1">
        <f t="array" ref="AY44">IF(OR(AX44="",AX44="DC"), 0, AX44 - IFERROR(VLOOKUP("???",IF({1;0},"",INDEX(AX$11:AX43,MAX(IF(AX$11:AX43&lt;&gt;"",IF(AX$11:AX43&lt;&gt;"DC",ROW(AX$11:AX43)-MIN(ROW(AX$11:AX43))+1))))),1,FALSE),0))</f>
        <v>0</v>
      </c>
      <c r="AZ44" s="197">
        <f>IF(OR('12p'!BB39="X", '12p'!BB39="DC", '12p'!BB39="", COUNTIF('12p'!$E39:$AB39,"DC")&gt;=6), 0, IFERROR(VLOOKUP('12p'!BB39, Bareme, IF(COUNTIF('12p'!$E39:$AB39,"DC")=2, 4, IF(COUNTIF('12p'!$E39:$AB39,"DC")=4, 6, 0)), FALSE), 0))</f>
        <v>0</v>
      </c>
      <c r="BA44" s="143">
        <f>IF(AND(AX44="DC", COUNTIF('12p'!$E39:$AB39,"DC")&lt;6), 1, 0)</f>
        <v>1</v>
      </c>
      <c r="BB44" s="144">
        <f>SUM('12p'!BB39, AZ44, BA44)</f>
        <v>1</v>
      </c>
      <c r="BC44" s="145">
        <f>IF(AX44="DC", BC43+BA44, SUMIF(AX$11:AX44, "&gt;0") + SUM(BA$11:BA44))</f>
        <v>3</v>
      </c>
      <c r="BD44" s="161" t="str">
        <f>IF(COUNTIF('12p'!$E39:$AB39,"DC")&gt;=6, "[CRITIQUE] Trop de DC !", IF('12p'!BB39="", "", IF('12p'!BB39="DC", "OK", IF(AND('12p'!BB38&lt;&gt;"", '12p'!BB38&lt;&gt;"DC", '12p'!BB39='12p'!BB38, '12p'!BB39&lt;&gt;0), "[ALERTE] Score FIGÉ ?", IF(AND('12p'!BB38&lt;&gt;"", '12p'!BB38&lt;&gt;"DC", '12p'!BB39&lt;'12p'!BB38), "[ALERTE] Baisse anormale !", "OK")))))</f>
        <v/>
      </c>
      <c r="BE44" s="127">
        <f>'12p'!U39</f>
        <v>70</v>
      </c>
      <c r="BF44" s="142" cm="1">
        <f t="array" ref="BF44">IF(OR(BE44="",BE44="DC"), 0, BE44 - IFERROR(VLOOKUP("???",IF({1;0},"",INDEX(BE$11:BE43,MAX(IF(BE$11:BE43&lt;&gt;"",IF(BE$11:BE43&lt;&gt;"DC",ROW(BE$11:BE43)-MIN(ROW(BE$11:BE43))+1))))),1,FALSE),0))</f>
        <v>70</v>
      </c>
      <c r="BG44" s="197">
        <f>IF(OR('12p'!BI39="X", '12p'!BI39="DC", '12p'!BI39="", COUNTIF('12p'!$E39:$AB39,"DC")&gt;=6), 0, IFERROR(VLOOKUP('12p'!BI39, Bareme, IF(COUNTIF('12p'!$E39:$AB39,"DC")=2, 4, IF(COUNTIF('12p'!$E39:$AB39,"DC")=4, 6, 0)), FALSE), 0))</f>
        <v>0</v>
      </c>
      <c r="BH44" s="143">
        <f>IF(AND(BE44="DC", COUNTIF('12p'!$E39:$AB39,"DC")&lt;6), 1, 0)</f>
        <v>0</v>
      </c>
      <c r="BI44" s="144">
        <f>SUM('12p'!BI39, BG44, BH44)</f>
        <v>0</v>
      </c>
      <c r="BJ44" s="145">
        <f>IF(BE44="DC", BJ43+BH44, SUMIF(BE$11:BE44, "&gt;0") + SUM(BH$11:BH44))</f>
        <v>371</v>
      </c>
      <c r="BK44" s="161" t="str">
        <f>IF(COUNTIF('12p'!$E39:$AB39,"DC")&gt;=6, "[CRITIQUE] Trop de DC !", IF('12p'!BI39="", "", IF('12p'!BI39="DC", "OK", IF(AND('12p'!BI38&lt;&gt;"", '12p'!BI38&lt;&gt;"DC", '12p'!BI39='12p'!BI38, '12p'!BI39&lt;&gt;0), "[ALERTE] Score FIGÉ ?", IF(AND('12p'!BI38&lt;&gt;"", '12p'!BI38&lt;&gt;"DC", '12p'!BI39&lt;'12p'!BI38), "[ALERTE] Baisse anormale !", "OK")))))</f>
        <v/>
      </c>
      <c r="BL44" s="127">
        <f>'12p'!W39</f>
        <v>79</v>
      </c>
      <c r="BM44" s="142" cm="1">
        <f t="array" ref="BM44">IF(OR(BL44="",BL44="DC"), 0, BL44 - IFERROR(VLOOKUP("???",IF({1;0},"",INDEX(BL$11:BL43,MAX(IF(BL$11:BL43&lt;&gt;"",IF(BL$11:BL43&lt;&gt;"DC",ROW(BL$11:BL43)-MIN(ROW(BL$11:BL43))+1))))),1,FALSE),0))</f>
        <v>79</v>
      </c>
      <c r="BN44" s="197">
        <f>IF(OR('12p'!BP39="X", '12p'!BP39="DC", '12p'!BP39="", COUNTIF('12p'!$E39:$AB39,"DC")&gt;=6), 0, IFERROR(VLOOKUP('12p'!BP39, Bareme, IF(COUNTIF('12p'!$E39:$AB39,"DC")=2, 4, IF(COUNTIF('12p'!$E39:$AB39,"DC")=4, 6, 0)), FALSE), 0))</f>
        <v>0</v>
      </c>
      <c r="BO44" s="143">
        <f>IF(AND(BL44="DC", COUNTIF('12p'!$E39:$AB39,"DC")&lt;6), 1, 0)</f>
        <v>0</v>
      </c>
      <c r="BP44" s="144">
        <f>SUM('12p'!BP39, BN44, BO44)</f>
        <v>0</v>
      </c>
      <c r="BQ44" s="145">
        <f>IF(BL44="DC", BQ43+BO44, SUMIF(BL$11:BL44, "&gt;0") + SUM(BO$11:BO44))</f>
        <v>295</v>
      </c>
      <c r="BR44" s="161" t="str">
        <f>IF(COUNTIF('12p'!$E39:$AB39,"DC")&gt;=6, "[CRITIQUE] Trop de DC !", IF('12p'!BP39="", "", IF('12p'!BP39="DC", "OK", IF(AND('12p'!BP38&lt;&gt;"", '12p'!BP38&lt;&gt;"DC", '12p'!BP39='12p'!BP38, '12p'!BP39&lt;&gt;0), "[ALERTE] Score FIGÉ ?", IF(AND('12p'!BP38&lt;&gt;"", '12p'!BP38&lt;&gt;"DC", '12p'!BP39&lt;'12p'!BP38), "[ALERTE] Baisse anormale !", "OK")))))</f>
        <v/>
      </c>
      <c r="BS44" s="127">
        <f>'12p'!Y39</f>
        <v>73</v>
      </c>
      <c r="BT44" s="142" cm="1">
        <f t="array" ref="BT44">IF(OR(BS44="",BS44="DC"), 0, BS44 - IFERROR(VLOOKUP("???",IF({1;0},"",INDEX(BS$11:BS43,MAX(IF(BS$11:BS43&lt;&gt;"",IF(BS$11:BS43&lt;&gt;"DC",ROW(BS$11:BS43)-MIN(ROW(BS$11:BS43))+1))))),1,FALSE),0))</f>
        <v>73</v>
      </c>
      <c r="BU44" s="197">
        <f>IF(OR('12p'!BW39="X", '12p'!BW39="DC", '12p'!BW39="", COUNTIF('12p'!$E39:$AB39,"DC")&gt;=6), 0, IFERROR(VLOOKUP('12p'!BW39, Bareme, IF(COUNTIF('12p'!$E39:$AB39,"DC")=2, 4, IF(COUNTIF('12p'!$E39:$AB39,"DC")=4, 6, 0)), FALSE), 0))</f>
        <v>0</v>
      </c>
      <c r="BV44" s="143">
        <f>IF(AND(BS44="DC", COUNTIF('12p'!$E39:$AB39,"DC")&lt;6), 1, 0)</f>
        <v>0</v>
      </c>
      <c r="BW44" s="144">
        <f>SUM('12p'!BW39, BU44, BV44)</f>
        <v>0</v>
      </c>
      <c r="BX44" s="145">
        <f>IF(BS44="DC", BX43+BV44, SUMIF(BS$11:BS44, "&gt;0") + SUM(BV$11:BV44))</f>
        <v>412</v>
      </c>
      <c r="BY44" s="161" t="str">
        <f>IF(COUNTIF('12p'!$E39:$AB39,"DC")&gt;=6, "[CRITIQUE] Trop de DC !", IF('12p'!BW39="", "", IF('12p'!BW39="DC", "OK", IF(AND('12p'!BW38&lt;&gt;"", '12p'!BW38&lt;&gt;"DC", '12p'!BW39='12p'!BW38, '12p'!BW39&lt;&gt;0), "[ALERTE] Score FIGÉ ?", IF(AND('12p'!BW38&lt;&gt;"", '12p'!BW38&lt;&gt;"DC", '12p'!BW39&lt;'12p'!BW38), "[ALERTE] Baisse anormale !", "OK")))))</f>
        <v/>
      </c>
      <c r="BZ44" s="127">
        <f>'12p'!AA39</f>
        <v>71</v>
      </c>
      <c r="CA44" s="142" cm="1">
        <f t="array" ref="CA44">IF(OR(BZ44="",BZ44="DC"), 0, BZ44 - IFERROR(VLOOKUP("???",IF({1;0},"",INDEX(BZ$11:BZ43,MAX(IF(BZ$11:BZ43&lt;&gt;"",IF(BZ$11:BZ43&lt;&gt;"DC",ROW(BZ$11:BZ43)-MIN(ROW(BZ$11:BZ43))+1))))),1,FALSE),0))</f>
        <v>71</v>
      </c>
      <c r="CB44" s="197">
        <f>IF(OR('12p'!CD39="X", '12p'!CD39="DC", '12p'!CD39="", COUNTIF('12p'!$E39:$AB39,"DC")&gt;=6), 0, IFERROR(VLOOKUP('12p'!CD39, Bareme, IF(COUNTIF('12p'!$E39:$AB39,"DC")=2, 4, IF(COUNTIF('12p'!$E39:$AB39,"DC")=4, 6, 0)), FALSE), 0))</f>
        <v>0</v>
      </c>
      <c r="CC44" s="143">
        <f>IF(AND(BZ44="DC", COUNTIF('12p'!$E39:$AB39,"DC")&lt;6), 1, 0)</f>
        <v>0</v>
      </c>
      <c r="CD44" s="144">
        <f>SUM('12p'!CD39, CB44, CC44)</f>
        <v>0</v>
      </c>
      <c r="CE44" s="145">
        <f>IF(BZ44="DC", CE43+CC44, SUMIF(BZ$11:BZ44, "&gt;0") + SUM(CC$11:CC44))</f>
        <v>535</v>
      </c>
      <c r="CF44" s="161" t="str">
        <f>IF(COUNTIF('12p'!$E39:$AB39,"DC")&gt;=6, "[CRITIQUE] Trop de DC !", IF('12p'!CD39="", "", IF('12p'!CD39="DC", "OK", IF(AND('12p'!CD38&lt;&gt;"", '12p'!CD38&lt;&gt;"DC", '12p'!CD39='12p'!CD38, '12p'!CD39&lt;&gt;0), "[ALERTE] Score FIGÉ ?", IF(AND('12p'!CD38&lt;&gt;"", '12p'!CD38&lt;&gt;"DC", '12p'!CD39&lt;'12p'!CD38), "[ALERTE] Baisse anormale !", "OK")))))</f>
        <v/>
      </c>
      <c r="CG44" s="108"/>
      <c r="CH44" s="108"/>
      <c r="CI44" s="199"/>
      <c r="CJ44" s="199"/>
      <c r="CK44" s="199"/>
      <c r="CL44" s="199"/>
      <c r="CM44" s="136"/>
      <c r="CN44" s="199"/>
      <c r="CO44" s="199"/>
      <c r="CP44" s="199"/>
      <c r="CQ44" s="199"/>
      <c r="CR44" s="199"/>
      <c r="CS44" s="136"/>
      <c r="CT44" s="199"/>
      <c r="CU44" s="199"/>
      <c r="CV44" s="199"/>
      <c r="CW44" s="199"/>
      <c r="CX44" s="199"/>
      <c r="CY44" s="136"/>
      <c r="CZ44" s="199"/>
      <c r="DA44" s="199"/>
      <c r="DB44" s="199"/>
      <c r="DC44" s="199"/>
      <c r="DD44" s="199"/>
      <c r="DE44" s="136"/>
      <c r="DF44" s="199"/>
      <c r="DG44" s="199"/>
      <c r="DH44" s="199"/>
      <c r="DI44" s="199"/>
      <c r="DJ44" s="199"/>
      <c r="DK44" s="136"/>
      <c r="DL44" s="199"/>
      <c r="DM44" s="199"/>
      <c r="DN44" s="199"/>
      <c r="DO44" s="199"/>
      <c r="DP44" s="199"/>
      <c r="DQ44" s="136"/>
      <c r="DR44" s="199"/>
      <c r="DS44" s="199"/>
      <c r="DT44" s="199"/>
      <c r="DU44" s="199"/>
      <c r="DV44" s="199"/>
      <c r="DW44" s="136"/>
      <c r="DX44" s="199"/>
      <c r="DY44" s="199"/>
      <c r="DZ44" s="199"/>
      <c r="EA44" s="199"/>
      <c r="EB44" s="199"/>
      <c r="EC44" s="136"/>
      <c r="ED44" s="199"/>
      <c r="EE44" s="199"/>
      <c r="EF44" s="199"/>
      <c r="EG44" s="199"/>
    </row>
    <row r="45" spans="1:137" x14ac:dyDescent="0.25">
      <c r="A45" s="127">
        <f>'12p'!E40</f>
        <v>68</v>
      </c>
      <c r="B45" s="142">
        <f t="shared" si="69"/>
        <v>5</v>
      </c>
      <c r="C45" s="197" cm="1">
        <f t="array" ref="C45">IF(OR(A45="DC",A45="",B45=0),0,IF(COUNTIF('12p'!$E40:$AB40,"DC")=1,INDEX(Table_11p,IF(B45=12,1,IF(B45=10,2,14-B45)),3),IF(COUNTIF('12p'!$E40:$AB40,"DC")=2,INDEX(Table_10p,IF(B45=11,1,IF(B45=9,2,12-B45)),3),IF(COUNTIF('12p'!$E40:$AB40,"DC")&gt;=3,INDEX(Table_9p_or_less,10-B45,3),0))))</f>
        <v>1</v>
      </c>
      <c r="D45" s="143">
        <f t="shared" si="70"/>
        <v>0</v>
      </c>
      <c r="E45" s="189">
        <f t="shared" si="71"/>
        <v>6</v>
      </c>
      <c r="F45" s="145">
        <f t="shared" si="72"/>
        <v>68</v>
      </c>
      <c r="G45" s="161" t="str">
        <f>IF(COUNTIF('12p'!$E40:$AB40,"DC")&gt;=6, "[CRITIQUE] Trop de DC !", IF('12p'!E40="", "", IF('12p'!E40="DC", "OK", IF(AND('12p'!E39&lt;&gt;"", '12p'!E39&lt;&gt;"DC", '12p'!E40='12p'!E39, '12p'!E40&lt;&gt;0), "[ALERTE] Score FIGÉ ?", IF(AND('12p'!E39&lt;&gt;"", '12p'!E39&lt;&gt;"DC", '12p'!E40&lt;'12p'!E39), "[ALERTE] Baisse anormale !", "OK")))))</f>
        <v>OK</v>
      </c>
      <c r="H45" s="127">
        <f>'12p'!G40</f>
        <v>89</v>
      </c>
      <c r="I45" s="142">
        <f t="shared" si="73"/>
        <v>3</v>
      </c>
      <c r="J45" s="197" cm="1">
        <f t="array" ref="J45">IF(OR(H45="DC",H45="",I45=0),0,IF(COUNTIF('12p'!$E40:$AB40,"DC")=1,INDEX(Table_11p,IF(I45=12,1,IF(I45=10,2,14-I45)),3),IF(COUNTIF('12p'!$E40:$AB40,"DC")=2,INDEX(Table_10p,IF(I45=11,1,IF(I45=9,2,12-I45)),3),IF(COUNTIF('12p'!$E40:$AB40,"DC")&gt;=3,INDEX(Table_9p_or_less,10-I45,3),0))))</f>
        <v>1</v>
      </c>
      <c r="K45" s="143">
        <f t="shared" si="74"/>
        <v>0</v>
      </c>
      <c r="L45" s="189">
        <f t="shared" si="75"/>
        <v>4</v>
      </c>
      <c r="M45" s="145">
        <f t="shared" si="76"/>
        <v>89</v>
      </c>
      <c r="N45" s="161" t="str">
        <f>IF(COUNTIF('12p'!$E40:$AB40,"DC")&gt;=6, "[CRITIQUE] Trop de DC !", IF('12p'!L40="", "", IF('12p'!L40="DC", "OK", IF(AND('12p'!L39&lt;&gt;"", '12p'!L39&lt;&gt;"DC", '12p'!L40='12p'!L39, '12p'!L40&lt;&gt;0), "[ALERTE] Score FIGÉ ?", IF(AND('12p'!L39&lt;&gt;"", '12p'!L39&lt;&gt;"DC", '12p'!L40&lt;'12p'!L39), "[ALERTE] Baisse anormale !", "OK")))))</f>
        <v>OK</v>
      </c>
      <c r="O45" s="127">
        <f>'12p'!I40</f>
        <v>88</v>
      </c>
      <c r="P45" s="142">
        <f t="shared" si="77"/>
        <v>2</v>
      </c>
      <c r="Q45" s="197" t="str" cm="1">
        <f t="array" ref="Q45">IF(OR(O45="DC",O45="",P45=0),0,IF(COUNTIF('12p'!$E40:$AB40,"DC")=1,INDEX(Table_11p,IF(P45=12,1,IF(P45=10,2,14-P45)),3),IF(COUNTIF('12p'!$E40:$AB40,"DC")=2,INDEX(Table_10p,IF(P45=11,1,IF(P45=9,2,12-P45)),3),IF(COUNTIF('12p'!$E40:$AB40,"DC")&gt;=3,INDEX(Table_9p_or_less,10-P45,3),0))))</f>
        <v>X</v>
      </c>
      <c r="R45" s="143">
        <f t="shared" si="78"/>
        <v>0</v>
      </c>
      <c r="S45" s="189">
        <f t="shared" si="79"/>
        <v>2</v>
      </c>
      <c r="T45" s="145">
        <f t="shared" si="80"/>
        <v>88</v>
      </c>
      <c r="U45" s="161" t="str">
        <f>IF(COUNTIF('12p'!$E40:$AB40,"DC")&gt;=6, "[CRITIQUE] Trop de DC !", IF('12p'!S40="", "", IF('12p'!S40="DC", "OK", IF(AND('12p'!S39&lt;&gt;"", '12p'!S39&lt;&gt;"DC", '12p'!S40='12p'!S39, '12p'!S40&lt;&gt;0), "[ALERTE] Score FIGÉ ?", IF(AND('12p'!S39&lt;&gt;"", '12p'!S39&lt;&gt;"DC", '12p'!S40&lt;'12p'!S39), "[ALERTE] Baisse anormale !", "OK")))))</f>
        <v>OK</v>
      </c>
      <c r="V45" s="127">
        <f>'12p'!K40</f>
        <v>60</v>
      </c>
      <c r="W45" s="142">
        <f t="shared" si="81"/>
        <v>6</v>
      </c>
      <c r="X45" s="197" cm="1">
        <f t="array" ref="X45">IF(OR(V45="DC",V45="",W45=0),0,IF(COUNTIF('12p'!$E40:$AB40,"DC")=1,INDEX(Table_11p,IF(W45=12,1,IF(W45=10,2,14-W45)),3),IF(COUNTIF('12p'!$E40:$AB40,"DC")=2,INDEX(Table_10p,IF(W45=11,1,IF(W45=9,2,12-W45)),3),IF(COUNTIF('12p'!$E40:$AB40,"DC")&gt;=3,INDEX(Table_9p_or_less,10-W45,3),0))))</f>
        <v>1</v>
      </c>
      <c r="Y45" s="143">
        <f t="shared" si="82"/>
        <v>0</v>
      </c>
      <c r="Z45" s="189">
        <f t="shared" si="83"/>
        <v>7</v>
      </c>
      <c r="AA45" s="145">
        <f t="shared" si="84"/>
        <v>60</v>
      </c>
      <c r="AB45" s="161" t="str">
        <f>IF(COUNTIF('12p'!$E40:$AB40,"DC")&gt;=6, "[CRITIQUE] Trop de DC !", IF('12p'!Z40="", "", IF('12p'!Z40="DC", "OK", IF(AND('12p'!Z39&lt;&gt;"", '12p'!Z39&lt;&gt;"DC", '12p'!Z40='12p'!Z39, '12p'!Z40&lt;&gt;0), "[ALERTE] Score FIGÉ ?", IF(AND('12p'!Z39&lt;&gt;"", '12p'!Z39&lt;&gt;"DC", '12p'!Z40&lt;'12p'!Z39), "[ALERTE] Baisse anormale !", "OK")))))</f>
        <v>OK</v>
      </c>
      <c r="AC45" s="127">
        <f>'12p'!M40</f>
        <v>65</v>
      </c>
      <c r="AD45" s="142" cm="1">
        <f t="array" ref="AD45">IF(OR(AC45="",AC45="DC"), 0, AC45 - IFERROR(VLOOKUP("???",IF({1;0},"",INDEX(AC$11:AC44,MAX(IF(AC$11:AC44&lt;&gt;"",IF(AC$11:AC44&lt;&gt;"DC",ROW(AC$11:AC44)-MIN(ROW(AC$11:AC44))+1))))),1,FALSE),0))</f>
        <v>65</v>
      </c>
      <c r="AE45" s="197">
        <f>IF(OR('12p'!AG40="X", '12p'!AG40="DC", '12p'!AG40="", COUNTIF('12p'!$E40:$AB40,"DC")&gt;=6), 0, IFERROR(VLOOKUP('12p'!AG40, Bareme, IF(COUNTIF('12p'!$E40:$AB40,"DC")=2, 4, IF(COUNTIF('12p'!$E40:$AB40,"DC")=4, 6, 0)), FALSE), 0))</f>
        <v>0</v>
      </c>
      <c r="AF45" s="143">
        <f>IF(AND(AC45="DC", COUNTIF('12p'!$E40:$AB40,"DC")&lt;6), 1, 0)</f>
        <v>0</v>
      </c>
      <c r="AG45" s="144">
        <f>SUM('12p'!AG40, AE45, AF45)</f>
        <v>0</v>
      </c>
      <c r="AH45" s="145">
        <f>IF(AC45="DC", AH44+AF45, SUMIF(AC$11:AC45, "&gt;0") + SUM(AF$11:AF45))</f>
        <v>663</v>
      </c>
      <c r="AI45" s="161" t="str">
        <f>IF(COUNTIF('12p'!$E40:$AB40,"DC")&gt;=6, "[CRITIQUE] Trop de DC !", IF('12p'!AG40="", "", IF('12p'!AG40="DC", "OK", IF(AND('12p'!AG39&lt;&gt;"", '12p'!AG39&lt;&gt;"DC", '12p'!AG40='12p'!AG39, '12p'!AG40&lt;&gt;0), "[ALERTE] Score FIGÉ ?", IF(AND('12p'!AG39&lt;&gt;"", '12p'!AG39&lt;&gt;"DC", '12p'!AG40&lt;'12p'!AG39), "[ALERTE] Baisse anormale !", "OK")))))</f>
        <v/>
      </c>
      <c r="AJ45" s="127">
        <f>'12p'!O40</f>
        <v>65</v>
      </c>
      <c r="AK45" s="142" cm="1">
        <f t="array" ref="AK45">IF(OR(AJ45="",AJ45="DC"), 0, AJ45 - IFERROR(VLOOKUP("???",IF({1;0},"",INDEX(AJ$11:AJ44,MAX(IF(AJ$11:AJ44&lt;&gt;"",IF(AJ$11:AJ44&lt;&gt;"DC",ROW(AJ$11:AJ44)-MIN(ROW(AJ$11:AJ44))+1))))),1,FALSE),0))</f>
        <v>65</v>
      </c>
      <c r="AL45" s="197">
        <f>IF(OR('12p'!AN40="X", '12p'!AN40="DC", '12p'!AN40="", COUNTIF('12p'!$E40:$AB40,"DC")&gt;=6), 0, IFERROR(VLOOKUP('12p'!AN40, Bareme, IF(COUNTIF('12p'!$E40:$AB40,"DC")=2, 4, IF(COUNTIF('12p'!$E40:$AB40,"DC")=4, 6, 0)), FALSE), 0))</f>
        <v>0</v>
      </c>
      <c r="AM45" s="143">
        <f>IF(AND(AJ45="DC", COUNTIF('12p'!$E40:$AB40,"DC")&lt;6), 1, 0)</f>
        <v>0</v>
      </c>
      <c r="AN45" s="144">
        <f>SUM('12p'!AN40, AL45, AM45)</f>
        <v>0</v>
      </c>
      <c r="AO45" s="145">
        <f>IF(AJ45="DC", AO44+AM45, SUMIF(AJ$11:AJ45, "&gt;0") + SUM(AM$11:AM45))</f>
        <v>469</v>
      </c>
      <c r="AP45" s="161" t="str">
        <f>IF(COUNTIF('12p'!$E40:$AB40,"DC")&gt;=6, "[CRITIQUE] Trop de DC !", IF('12p'!AN40="", "", IF('12p'!AN40="DC", "OK", IF(AND('12p'!AN39&lt;&gt;"", '12p'!AN39&lt;&gt;"DC", '12p'!AN40='12p'!AN39, '12p'!AN40&lt;&gt;0), "[ALERTE] Score FIGÉ ?", IF(AND('12p'!AN39&lt;&gt;"", '12p'!AN39&lt;&gt;"DC", '12p'!AN40&lt;'12p'!AN39), "[ALERTE] Baisse anormale !", "OK")))))</f>
        <v/>
      </c>
      <c r="AQ45" s="127">
        <f>'12p'!Q40</f>
        <v>97</v>
      </c>
      <c r="AR45" s="142" cm="1">
        <f t="array" ref="AR45">IF(OR(AQ45="",AQ45="DC"), 0, AQ45 - IFERROR(VLOOKUP("???",IF({1;0},"",INDEX(AQ$11:AQ44,MAX(IF(AQ$11:AQ44&lt;&gt;"",IF(AQ$11:AQ44&lt;&gt;"DC",ROW(AQ$11:AQ44)-MIN(ROW(AQ$11:AQ44))+1))))),1,FALSE),0))</f>
        <v>97</v>
      </c>
      <c r="AS45" s="197">
        <f>IF(OR('12p'!AU40="X", '12p'!AU40="DC", '12p'!AU40="", COUNTIF('12p'!$E40:$AB40,"DC")&gt;=6), 0, IFERROR(VLOOKUP('12p'!AU40, Bareme, IF(COUNTIF('12p'!$E40:$AB40,"DC")=2, 4, IF(COUNTIF('12p'!$E40:$AB40,"DC")=4, 6, 0)), FALSE), 0))</f>
        <v>0</v>
      </c>
      <c r="AT45" s="143">
        <f>IF(AND(AQ45="DC", COUNTIF('12p'!$E40:$AB40,"DC")&lt;6), 1, 0)</f>
        <v>0</v>
      </c>
      <c r="AU45" s="144">
        <f>SUM('12p'!AU40, AS45, AT45)</f>
        <v>0</v>
      </c>
      <c r="AV45" s="145">
        <f>IF(AQ45="DC", AV44+AT45, SUMIF(AQ$11:AQ45, "&gt;0") + SUM(AT$11:AT45))</f>
        <v>654</v>
      </c>
      <c r="AW45" s="161" t="str">
        <f>IF(COUNTIF('12p'!$E40:$AB40,"DC")&gt;=6, "[CRITIQUE] Trop de DC !", IF('12p'!AU40="", "", IF('12p'!AU40="DC", "OK", IF(AND('12p'!AU39&lt;&gt;"", '12p'!AU39&lt;&gt;"DC", '12p'!AU40='12p'!AU39, '12p'!AU40&lt;&gt;0), "[ALERTE] Score FIGÉ ?", IF(AND('12p'!AU39&lt;&gt;"", '12p'!AU39&lt;&gt;"DC", '12p'!AU40&lt;'12p'!AU39), "[ALERTE] Baisse anormale !", "OK")))))</f>
        <v/>
      </c>
      <c r="AX45" s="127" t="str">
        <f>'12p'!S40</f>
        <v>DC</v>
      </c>
      <c r="AY45" s="142" cm="1">
        <f t="array" ref="AY45">IF(OR(AX45="",AX45="DC"), 0, AX45 - IFERROR(VLOOKUP("???",IF({1;0},"",INDEX(AX$11:AX44,MAX(IF(AX$11:AX44&lt;&gt;"",IF(AX$11:AX44&lt;&gt;"DC",ROW(AX$11:AX44)-MIN(ROW(AX$11:AX44))+1))))),1,FALSE),0))</f>
        <v>0</v>
      </c>
      <c r="AZ45" s="197">
        <f>IF(OR('12p'!BB40="X", '12p'!BB40="DC", '12p'!BB40="", COUNTIF('12p'!$E40:$AB40,"DC")&gt;=6), 0, IFERROR(VLOOKUP('12p'!BB40, Bareme, IF(COUNTIF('12p'!$E40:$AB40,"DC")=2, 4, IF(COUNTIF('12p'!$E40:$AB40,"DC")=4, 6, 0)), FALSE), 0))</f>
        <v>0</v>
      </c>
      <c r="BA45" s="143">
        <f>IF(AND(AX45="DC", COUNTIF('12p'!$E40:$AB40,"DC")&lt;6), 1, 0)</f>
        <v>1</v>
      </c>
      <c r="BB45" s="144">
        <f>SUM('12p'!BB40, AZ45, BA45)</f>
        <v>1</v>
      </c>
      <c r="BC45" s="145">
        <f>IF(AX45="DC", BC44+BA45, SUMIF(AX$11:AX45, "&gt;0") + SUM(BA$11:BA45))</f>
        <v>4</v>
      </c>
      <c r="BD45" s="161" t="str">
        <f>IF(COUNTIF('12p'!$E40:$AB40,"DC")&gt;=6, "[CRITIQUE] Trop de DC !", IF('12p'!BB40="", "", IF('12p'!BB40="DC", "OK", IF(AND('12p'!BB39&lt;&gt;"", '12p'!BB39&lt;&gt;"DC", '12p'!BB40='12p'!BB39, '12p'!BB40&lt;&gt;0), "[ALERTE] Score FIGÉ ?", IF(AND('12p'!BB39&lt;&gt;"", '12p'!BB39&lt;&gt;"DC", '12p'!BB40&lt;'12p'!BB39), "[ALERTE] Baisse anormale !", "OK")))))</f>
        <v/>
      </c>
      <c r="BE45" s="127">
        <f>'12p'!U40</f>
        <v>74</v>
      </c>
      <c r="BF45" s="142" cm="1">
        <f t="array" ref="BF45">IF(OR(BE45="",BE45="DC"), 0, BE45 - IFERROR(VLOOKUP("???",IF({1;0},"",INDEX(BE$11:BE44,MAX(IF(BE$11:BE44&lt;&gt;"",IF(BE$11:BE44&lt;&gt;"DC",ROW(BE$11:BE44)-MIN(ROW(BE$11:BE44))+1))))),1,FALSE),0))</f>
        <v>74</v>
      </c>
      <c r="BG45" s="197">
        <f>IF(OR('12p'!BI40="X", '12p'!BI40="DC", '12p'!BI40="", COUNTIF('12p'!$E40:$AB40,"DC")&gt;=6), 0, IFERROR(VLOOKUP('12p'!BI40, Bareme, IF(COUNTIF('12p'!$E40:$AB40,"DC")=2, 4, IF(COUNTIF('12p'!$E40:$AB40,"DC")=4, 6, 0)), FALSE), 0))</f>
        <v>0</v>
      </c>
      <c r="BH45" s="143">
        <f>IF(AND(BE45="DC", COUNTIF('12p'!$E40:$AB40,"DC")&lt;6), 1, 0)</f>
        <v>0</v>
      </c>
      <c r="BI45" s="144">
        <f>SUM('12p'!BI40, BG45, BH45)</f>
        <v>0</v>
      </c>
      <c r="BJ45" s="145">
        <f>IF(BE45="DC", BJ44+BH45, SUMIF(BE$11:BE45, "&gt;0") + SUM(BH$11:BH45))</f>
        <v>445</v>
      </c>
      <c r="BK45" s="161" t="str">
        <f>IF(COUNTIF('12p'!$E40:$AB40,"DC")&gt;=6, "[CRITIQUE] Trop de DC !", IF('12p'!BI40="", "", IF('12p'!BI40="DC", "OK", IF(AND('12p'!BI39&lt;&gt;"", '12p'!BI39&lt;&gt;"DC", '12p'!BI40='12p'!BI39, '12p'!BI40&lt;&gt;0), "[ALERTE] Score FIGÉ ?", IF(AND('12p'!BI39&lt;&gt;"", '12p'!BI39&lt;&gt;"DC", '12p'!BI40&lt;'12p'!BI39), "[ALERTE] Baisse anormale !", "OK")))))</f>
        <v/>
      </c>
      <c r="BL45" s="127">
        <f>'12p'!W40</f>
        <v>89</v>
      </c>
      <c r="BM45" s="142" cm="1">
        <f t="array" ref="BM45">IF(OR(BL45="",BL45="DC"), 0, BL45 - IFERROR(VLOOKUP("???",IF({1;0},"",INDEX(BL$11:BL44,MAX(IF(BL$11:BL44&lt;&gt;"",IF(BL$11:BL44&lt;&gt;"DC",ROW(BL$11:BL44)-MIN(ROW(BL$11:BL44))+1))))),1,FALSE),0))</f>
        <v>89</v>
      </c>
      <c r="BN45" s="197">
        <f>IF(OR('12p'!BP40="X", '12p'!BP40="DC", '12p'!BP40="", COUNTIF('12p'!$E40:$AB40,"DC")&gt;=6), 0, IFERROR(VLOOKUP('12p'!BP40, Bareme, IF(COUNTIF('12p'!$E40:$AB40,"DC")=2, 4, IF(COUNTIF('12p'!$E40:$AB40,"DC")=4, 6, 0)), FALSE), 0))</f>
        <v>0</v>
      </c>
      <c r="BO45" s="143">
        <f>IF(AND(BL45="DC", COUNTIF('12p'!$E40:$AB40,"DC")&lt;6), 1, 0)</f>
        <v>0</v>
      </c>
      <c r="BP45" s="144">
        <f>SUM('12p'!BP40, BN45, BO45)</f>
        <v>0</v>
      </c>
      <c r="BQ45" s="145">
        <f>IF(BL45="DC", BQ44+BO45, SUMIF(BL$11:BL45, "&gt;0") + SUM(BO$11:BO45))</f>
        <v>384</v>
      </c>
      <c r="BR45" s="161" t="str">
        <f>IF(COUNTIF('12p'!$E40:$AB40,"DC")&gt;=6, "[CRITIQUE] Trop de DC !", IF('12p'!BP40="", "", IF('12p'!BP40="DC", "OK", IF(AND('12p'!BP39&lt;&gt;"", '12p'!BP39&lt;&gt;"DC", '12p'!BP40='12p'!BP39, '12p'!BP40&lt;&gt;0), "[ALERTE] Score FIGÉ ?", IF(AND('12p'!BP39&lt;&gt;"", '12p'!BP39&lt;&gt;"DC", '12p'!BP40&lt;'12p'!BP39), "[ALERTE] Baisse anormale !", "OK")))))</f>
        <v/>
      </c>
      <c r="BS45" s="127">
        <f>'12p'!Y40</f>
        <v>80</v>
      </c>
      <c r="BT45" s="142" cm="1">
        <f t="array" ref="BT45">IF(OR(BS45="",BS45="DC"), 0, BS45 - IFERROR(VLOOKUP("???",IF({1;0},"",INDEX(BS$11:BS44,MAX(IF(BS$11:BS44&lt;&gt;"",IF(BS$11:BS44&lt;&gt;"DC",ROW(BS$11:BS44)-MIN(ROW(BS$11:BS44))+1))))),1,FALSE),0))</f>
        <v>80</v>
      </c>
      <c r="BU45" s="197">
        <f>IF(OR('12p'!BW40="X", '12p'!BW40="DC", '12p'!BW40="", COUNTIF('12p'!$E40:$AB40,"DC")&gt;=6), 0, IFERROR(VLOOKUP('12p'!BW40, Bareme, IF(COUNTIF('12p'!$E40:$AB40,"DC")=2, 4, IF(COUNTIF('12p'!$E40:$AB40,"DC")=4, 6, 0)), FALSE), 0))</f>
        <v>0</v>
      </c>
      <c r="BV45" s="143">
        <f>IF(AND(BS45="DC", COUNTIF('12p'!$E40:$AB40,"DC")&lt;6), 1, 0)</f>
        <v>0</v>
      </c>
      <c r="BW45" s="144">
        <f>SUM('12p'!BW40, BU45, BV45)</f>
        <v>0</v>
      </c>
      <c r="BX45" s="145">
        <f>IF(BS45="DC", BX44+BV45, SUMIF(BS$11:BS45, "&gt;0") + SUM(BV$11:BV45))</f>
        <v>492</v>
      </c>
      <c r="BY45" s="161" t="str">
        <f>IF(COUNTIF('12p'!$E40:$AB40,"DC")&gt;=6, "[CRITIQUE] Trop de DC !", IF('12p'!BW40="", "", IF('12p'!BW40="DC", "OK", IF(AND('12p'!BW39&lt;&gt;"", '12p'!BW39&lt;&gt;"DC", '12p'!BW40='12p'!BW39, '12p'!BW40&lt;&gt;0), "[ALERTE] Score FIGÉ ?", IF(AND('12p'!BW39&lt;&gt;"", '12p'!BW39&lt;&gt;"DC", '12p'!BW40&lt;'12p'!BW39), "[ALERTE] Baisse anormale !", "OK")))))</f>
        <v/>
      </c>
      <c r="BZ45" s="127">
        <f>'12p'!AA40</f>
        <v>79</v>
      </c>
      <c r="CA45" s="142" cm="1">
        <f t="array" ref="CA45">IF(OR(BZ45="",BZ45="DC"), 0, BZ45 - IFERROR(VLOOKUP("???",IF({1;0},"",INDEX(BZ$11:BZ44,MAX(IF(BZ$11:BZ44&lt;&gt;"",IF(BZ$11:BZ44&lt;&gt;"DC",ROW(BZ$11:BZ44)-MIN(ROW(BZ$11:BZ44))+1))))),1,FALSE),0))</f>
        <v>79</v>
      </c>
      <c r="CB45" s="197">
        <f>IF(OR('12p'!CD40="X", '12p'!CD40="DC", '12p'!CD40="", COUNTIF('12p'!$E40:$AB40,"DC")&gt;=6), 0, IFERROR(VLOOKUP('12p'!CD40, Bareme, IF(COUNTIF('12p'!$E40:$AB40,"DC")=2, 4, IF(COUNTIF('12p'!$E40:$AB40,"DC")=4, 6, 0)), FALSE), 0))</f>
        <v>0</v>
      </c>
      <c r="CC45" s="143">
        <f>IF(AND(BZ45="DC", COUNTIF('12p'!$E40:$AB40,"DC")&lt;6), 1, 0)</f>
        <v>0</v>
      </c>
      <c r="CD45" s="144">
        <f>SUM('12p'!CD40, CB45, CC45)</f>
        <v>0</v>
      </c>
      <c r="CE45" s="145">
        <f>IF(BZ45="DC", CE44+CC45, SUMIF(BZ$11:BZ45, "&gt;0") + SUM(CC$11:CC45))</f>
        <v>614</v>
      </c>
      <c r="CF45" s="161" t="str">
        <f>IF(COUNTIF('12p'!$E40:$AB40,"DC")&gt;=6, "[CRITIQUE] Trop de DC !", IF('12p'!CD40="", "", IF('12p'!CD40="DC", "OK", IF(AND('12p'!CD39&lt;&gt;"", '12p'!CD39&lt;&gt;"DC", '12p'!CD40='12p'!CD39, '12p'!CD40&lt;&gt;0), "[ALERTE] Score FIGÉ ?", IF(AND('12p'!CD39&lt;&gt;"", '12p'!CD39&lt;&gt;"DC", '12p'!CD40&lt;'12p'!CD39), "[ALERTE] Baisse anormale !", "OK")))))</f>
        <v/>
      </c>
      <c r="CG45" s="108"/>
      <c r="CH45" s="108"/>
      <c r="CI45" s="199"/>
      <c r="CJ45" s="199"/>
      <c r="CK45" s="199"/>
      <c r="CL45" s="199"/>
      <c r="CM45" s="136"/>
      <c r="CN45" s="199"/>
      <c r="CO45" s="199"/>
      <c r="CP45" s="199"/>
      <c r="CQ45" s="199"/>
      <c r="CR45" s="199"/>
      <c r="CS45" s="136"/>
      <c r="CT45" s="199"/>
      <c r="CU45" s="199"/>
      <c r="CV45" s="199"/>
      <c r="CW45" s="199"/>
      <c r="CX45" s="199"/>
      <c r="CY45" s="136"/>
      <c r="CZ45" s="199"/>
      <c r="DA45" s="199"/>
      <c r="DB45" s="199"/>
      <c r="DC45" s="199"/>
      <c r="DD45" s="199"/>
      <c r="DE45" s="136"/>
      <c r="DF45" s="199"/>
      <c r="DG45" s="199"/>
      <c r="DH45" s="199"/>
      <c r="DI45" s="199"/>
      <c r="DJ45" s="199"/>
      <c r="DK45" s="136"/>
      <c r="DL45" s="199"/>
      <c r="DM45" s="199"/>
      <c r="DN45" s="199"/>
      <c r="DO45" s="199"/>
      <c r="DP45" s="199"/>
      <c r="DQ45" s="136"/>
      <c r="DR45" s="199"/>
      <c r="DS45" s="199"/>
      <c r="DT45" s="199"/>
      <c r="DU45" s="199"/>
      <c r="DV45" s="199"/>
      <c r="DW45" s="136"/>
      <c r="DX45" s="199"/>
      <c r="DY45" s="199"/>
      <c r="DZ45" s="199"/>
      <c r="EA45" s="199"/>
      <c r="EB45" s="199"/>
      <c r="EC45" s="136"/>
      <c r="ED45" s="199"/>
      <c r="EE45" s="199"/>
      <c r="EF45" s="199"/>
      <c r="EG45" s="199"/>
    </row>
    <row r="46" spans="1:137" ht="15" customHeight="1" x14ac:dyDescent="0.25">
      <c r="A46" s="127">
        <f>'12p'!E41</f>
        <v>0</v>
      </c>
      <c r="B46" s="142">
        <f t="shared" si="69"/>
        <v>-68</v>
      </c>
      <c r="C46" s="197" cm="1">
        <f t="array" ref="C46">IF(OR(A46="DC",A46="",B46=0),0,IF(COUNTIF('12p'!$E41:$AB41,"DC")=1,INDEX(Table_11p,IF(B46=12,1,IF(B46=10,2,14-B46)),3),IF(COUNTIF('12p'!$E41:$AB41,"DC")=2,INDEX(Table_10p,IF(B46=11,1,IF(B46=9,2,12-B46)),3),IF(COUNTIF('12p'!$E41:$AB41,"DC")&gt;=3,INDEX(Table_9p_or_less,10-B46,3),0))))</f>
        <v>0</v>
      </c>
      <c r="D46" s="143">
        <f t="shared" si="70"/>
        <v>0</v>
      </c>
      <c r="E46" s="189">
        <f t="shared" si="71"/>
        <v>-68</v>
      </c>
      <c r="F46" s="145">
        <f t="shared" si="72"/>
        <v>0</v>
      </c>
      <c r="G46" s="161" t="str">
        <f>IF(COUNTIF('12p'!$E41:$AB41,"DC")&gt;=6, "[CRITIQUE] Trop de DC !", IF('12p'!E41="", "", IF('12p'!E41="DC", "OK", IF(AND('12p'!E40&lt;&gt;"", '12p'!E40&lt;&gt;"DC", '12p'!E41='12p'!E40, '12p'!E41&lt;&gt;0), "[ALERTE] Score FIGÉ ?", IF(AND('12p'!E40&lt;&gt;"", '12p'!E40&lt;&gt;"DC", '12p'!E41&lt;'12p'!E40), "[ALERTE] Baisse anormale !", "OK")))))</f>
        <v/>
      </c>
      <c r="H46" s="127">
        <f>'12p'!G41</f>
        <v>0</v>
      </c>
      <c r="I46" s="142">
        <f t="shared" si="73"/>
        <v>-89</v>
      </c>
      <c r="J46" s="197" cm="1">
        <f t="array" ref="J46">IF(OR(H46="DC",H46="",I46=0),0,IF(COUNTIF('12p'!$E41:$AB41,"DC")=1,INDEX(Table_11p,IF(I46=12,1,IF(I46=10,2,14-I46)),3),IF(COUNTIF('12p'!$E41:$AB41,"DC")=2,INDEX(Table_10p,IF(I46=11,1,IF(I46=9,2,12-I46)),3),IF(COUNTIF('12p'!$E41:$AB41,"DC")&gt;=3,INDEX(Table_9p_or_less,10-I46,3),0))))</f>
        <v>0</v>
      </c>
      <c r="K46" s="143">
        <f t="shared" si="74"/>
        <v>0</v>
      </c>
      <c r="L46" s="189">
        <f t="shared" si="75"/>
        <v>-89</v>
      </c>
      <c r="M46" s="145">
        <f t="shared" si="76"/>
        <v>0</v>
      </c>
      <c r="N46" s="161" t="str">
        <f>IF(COUNTIF('12p'!$E41:$AB41,"DC")&gt;=6, "[CRITIQUE] Trop de DC !", IF('12p'!L41="", "", IF('12p'!L41="DC", "OK", IF(AND('12p'!L40&lt;&gt;"", '12p'!L40&lt;&gt;"DC", '12p'!L41='12p'!L40, '12p'!L41&lt;&gt;0), "[ALERTE] Score FIGÉ ?", IF(AND('12p'!L40&lt;&gt;"", '12p'!L40&lt;&gt;"DC", '12p'!L41&lt;'12p'!L40), "[ALERTE] Baisse anormale !", "OK")))))</f>
        <v/>
      </c>
      <c r="O46" s="127">
        <f>'12p'!I41</f>
        <v>0</v>
      </c>
      <c r="P46" s="142">
        <f t="shared" si="77"/>
        <v>-88</v>
      </c>
      <c r="Q46" s="197" cm="1">
        <f t="array" ref="Q46">IF(OR(O46="DC",O46="",P46=0),0,IF(COUNTIF('12p'!$E41:$AB41,"DC")=1,INDEX(Table_11p,IF(P46=12,1,IF(P46=10,2,14-P46)),3),IF(COUNTIF('12p'!$E41:$AB41,"DC")=2,INDEX(Table_10p,IF(P46=11,1,IF(P46=9,2,12-P46)),3),IF(COUNTIF('12p'!$E41:$AB41,"DC")&gt;=3,INDEX(Table_9p_or_less,10-P46,3),0))))</f>
        <v>0</v>
      </c>
      <c r="R46" s="143">
        <f t="shared" si="78"/>
        <v>0</v>
      </c>
      <c r="S46" s="189">
        <f t="shared" si="79"/>
        <v>-88</v>
      </c>
      <c r="T46" s="145">
        <f t="shared" si="80"/>
        <v>0</v>
      </c>
      <c r="U46" s="161" t="str">
        <f>IF(COUNTIF('12p'!$E41:$AB41,"DC")&gt;=6, "[CRITIQUE] Trop de DC !", IF('12p'!S41="", "", IF('12p'!S41="DC", "OK", IF(AND('12p'!S40&lt;&gt;"", '12p'!S40&lt;&gt;"DC", '12p'!S41='12p'!S40, '12p'!S41&lt;&gt;0), "[ALERTE] Score FIGÉ ?", IF(AND('12p'!S40&lt;&gt;"", '12p'!S40&lt;&gt;"DC", '12p'!S41&lt;'12p'!S40), "[ALERTE] Baisse anormale !", "OK")))))</f>
        <v/>
      </c>
      <c r="V46" s="127">
        <f>'12p'!K41</f>
        <v>0</v>
      </c>
      <c r="W46" s="142">
        <f t="shared" si="81"/>
        <v>-60</v>
      </c>
      <c r="X46" s="197" cm="1">
        <f t="array" ref="X46">IF(OR(V46="DC",V46="",W46=0),0,IF(COUNTIF('12p'!$E41:$AB41,"DC")=1,INDEX(Table_11p,IF(W46=12,1,IF(W46=10,2,14-W46)),3),IF(COUNTIF('12p'!$E41:$AB41,"DC")=2,INDEX(Table_10p,IF(W46=11,1,IF(W46=9,2,12-W46)),3),IF(COUNTIF('12p'!$E41:$AB41,"DC")&gt;=3,INDEX(Table_9p_or_less,10-W46,3),0))))</f>
        <v>0</v>
      </c>
      <c r="Y46" s="143">
        <f t="shared" si="82"/>
        <v>0</v>
      </c>
      <c r="Z46" s="189">
        <f t="shared" si="83"/>
        <v>-60</v>
      </c>
      <c r="AA46" s="145">
        <f t="shared" si="84"/>
        <v>0</v>
      </c>
      <c r="AB46" s="161" t="str">
        <f>IF(COUNTIF('12p'!$E41:$AB41,"DC")&gt;=6, "[CRITIQUE] Trop de DC !", IF('12p'!Z41="", "", IF('12p'!Z41="DC", "OK", IF(AND('12p'!Z40&lt;&gt;"", '12p'!Z40&lt;&gt;"DC", '12p'!Z41='12p'!Z40, '12p'!Z41&lt;&gt;0), "[ALERTE] Score FIGÉ ?", IF(AND('12p'!Z40&lt;&gt;"", '12p'!Z40&lt;&gt;"DC", '12p'!Z41&lt;'12p'!Z40), "[ALERTE] Baisse anormale !", "OK")))))</f>
        <v/>
      </c>
      <c r="AC46" s="127">
        <f>'12p'!M41</f>
        <v>0</v>
      </c>
      <c r="AD46" s="142" cm="1">
        <f t="array" ref="AD46">IF(OR(AC46="",AC46="DC"), 0, AC46 - IFERROR(VLOOKUP("???",IF({1;0},"",INDEX(AC$11:AC45,MAX(IF(AC$11:AC45&lt;&gt;"",IF(AC$11:AC45&lt;&gt;"DC",ROW(AC$11:AC45)-MIN(ROW(AC$11:AC45))+1))))),1,FALSE),0))</f>
        <v>0</v>
      </c>
      <c r="AE46" s="197">
        <f>IF(OR('12p'!AG41="X", '12p'!AG41="DC", '12p'!AG41="", COUNTIF('12p'!$E41:$AB41,"DC")&gt;=6), 0, IFERROR(VLOOKUP('12p'!AG41, Bareme, IF(COUNTIF('12p'!$E41:$AB41,"DC")=2, 4, IF(COUNTIF('12p'!$E41:$AB41,"DC")=4, 6, 0)), FALSE), 0))</f>
        <v>0</v>
      </c>
      <c r="AF46" s="143">
        <f>IF(AND(AC46="DC", COUNTIF('12p'!$E41:$AB41,"DC")&lt;6), 1, 0)</f>
        <v>0</v>
      </c>
      <c r="AG46" s="144">
        <f>SUM('12p'!AG41, AE46, AF46)</f>
        <v>0</v>
      </c>
      <c r="AH46" s="145">
        <f>IF(AC46="DC", AH45+AF46, SUMIF(AC$11:AC46, "&gt;0") + SUM(AF$11:AF46))</f>
        <v>663</v>
      </c>
      <c r="AI46" s="161" t="str">
        <f>IF(COUNTIF('12p'!$E41:$AB41,"DC")&gt;=6, "[CRITIQUE] Trop de DC !", IF('12p'!AG41="", "", IF('12p'!AG41="DC", "OK", IF(AND('12p'!AG40&lt;&gt;"", '12p'!AG40&lt;&gt;"DC", '12p'!AG41='12p'!AG40, '12p'!AG41&lt;&gt;0), "[ALERTE] Score FIGÉ ?", IF(AND('12p'!AG40&lt;&gt;"", '12p'!AG40&lt;&gt;"DC", '12p'!AG41&lt;'12p'!AG40), "[ALERTE] Baisse anormale !", "OK")))))</f>
        <v/>
      </c>
      <c r="AJ46" s="127">
        <f>'12p'!O41</f>
        <v>0</v>
      </c>
      <c r="AK46" s="142" cm="1">
        <f t="array" ref="AK46">IF(OR(AJ46="",AJ46="DC"), 0, AJ46 - IFERROR(VLOOKUP("???",IF({1;0},"",INDEX(AJ$11:AJ45,MAX(IF(AJ$11:AJ45&lt;&gt;"",IF(AJ$11:AJ45&lt;&gt;"DC",ROW(AJ$11:AJ45)-MIN(ROW(AJ$11:AJ45))+1))))),1,FALSE),0))</f>
        <v>0</v>
      </c>
      <c r="AL46" s="197">
        <f>IF(OR('12p'!AN41="X", '12p'!AN41="DC", '12p'!AN41="", COUNTIF('12p'!$E41:$AB41,"DC")&gt;=6), 0, IFERROR(VLOOKUP('12p'!AN41, Bareme, IF(COUNTIF('12p'!$E41:$AB41,"DC")=2, 4, IF(COUNTIF('12p'!$E41:$AB41,"DC")=4, 6, 0)), FALSE), 0))</f>
        <v>0</v>
      </c>
      <c r="AM46" s="143">
        <f>IF(AND(AJ46="DC", COUNTIF('12p'!$E41:$AB41,"DC")&lt;6), 1, 0)</f>
        <v>0</v>
      </c>
      <c r="AN46" s="144">
        <f>SUM('12p'!AN41, AL46, AM46)</f>
        <v>0</v>
      </c>
      <c r="AO46" s="145">
        <f>IF(AJ46="DC", AO45+AM46, SUMIF(AJ$11:AJ46, "&gt;0") + SUM(AM$11:AM46))</f>
        <v>469</v>
      </c>
      <c r="AP46" s="161" t="str">
        <f>IF(COUNTIF('12p'!$E41:$AB41,"DC")&gt;=6, "[CRITIQUE] Trop de DC !", IF('12p'!AN41="", "", IF('12p'!AN41="DC", "OK", IF(AND('12p'!AN40&lt;&gt;"", '12p'!AN40&lt;&gt;"DC", '12p'!AN41='12p'!AN40, '12p'!AN41&lt;&gt;0), "[ALERTE] Score FIGÉ ?", IF(AND('12p'!AN40&lt;&gt;"", '12p'!AN40&lt;&gt;"DC", '12p'!AN41&lt;'12p'!AN40), "[ALERTE] Baisse anormale !", "OK")))))</f>
        <v/>
      </c>
      <c r="AQ46" s="127">
        <f>'12p'!Q41</f>
        <v>0</v>
      </c>
      <c r="AR46" s="142" cm="1">
        <f t="array" ref="AR46">IF(OR(AQ46="",AQ46="DC"), 0, AQ46 - IFERROR(VLOOKUP("???",IF({1;0},"",INDEX(AQ$11:AQ45,MAX(IF(AQ$11:AQ45&lt;&gt;"",IF(AQ$11:AQ45&lt;&gt;"DC",ROW(AQ$11:AQ45)-MIN(ROW(AQ$11:AQ45))+1))))),1,FALSE),0))</f>
        <v>0</v>
      </c>
      <c r="AS46" s="197">
        <f>IF(OR('12p'!AU41="X", '12p'!AU41="DC", '12p'!AU41="", COUNTIF('12p'!$E41:$AB41,"DC")&gt;=6), 0, IFERROR(VLOOKUP('12p'!AU41, Bareme, IF(COUNTIF('12p'!$E41:$AB41,"DC")=2, 4, IF(COUNTIF('12p'!$E41:$AB41,"DC")=4, 6, 0)), FALSE), 0))</f>
        <v>0</v>
      </c>
      <c r="AT46" s="143">
        <f>IF(AND(AQ46="DC", COUNTIF('12p'!$E41:$AB41,"DC")&lt;6), 1, 0)</f>
        <v>0</v>
      </c>
      <c r="AU46" s="144">
        <f>SUM('12p'!AU41, AS46, AT46)</f>
        <v>0</v>
      </c>
      <c r="AV46" s="145">
        <f>IF(AQ46="DC", AV45+AT46, SUMIF(AQ$11:AQ46, "&gt;0") + SUM(AT$11:AT46))</f>
        <v>654</v>
      </c>
      <c r="AW46" s="161" t="str">
        <f>IF(COUNTIF('12p'!$E41:$AB41,"DC")&gt;=6, "[CRITIQUE] Trop de DC !", IF('12p'!AU41="", "", IF('12p'!AU41="DC", "OK", IF(AND('12p'!AU40&lt;&gt;"", '12p'!AU40&lt;&gt;"DC", '12p'!AU41='12p'!AU40, '12p'!AU41&lt;&gt;0), "[ALERTE] Score FIGÉ ?", IF(AND('12p'!AU40&lt;&gt;"", '12p'!AU40&lt;&gt;"DC", '12p'!AU41&lt;'12p'!AU40), "[ALERTE] Baisse anormale !", "OK")))))</f>
        <v/>
      </c>
      <c r="AX46" s="127">
        <f>'12p'!S41</f>
        <v>0</v>
      </c>
      <c r="AY46" s="142" cm="1">
        <f t="array" ref="AY46">IF(OR(AX46="",AX46="DC"), 0, AX46 - IFERROR(VLOOKUP("???",IF({1;0},"",INDEX(AX$11:AX45,MAX(IF(AX$11:AX45&lt;&gt;"",IF(AX$11:AX45&lt;&gt;"DC",ROW(AX$11:AX45)-MIN(ROW(AX$11:AX45))+1))))),1,FALSE),0))</f>
        <v>0</v>
      </c>
      <c r="AZ46" s="197">
        <f>IF(OR('12p'!BB41="X", '12p'!BB41="DC", '12p'!BB41="", COUNTIF('12p'!$E41:$AB41,"DC")&gt;=6), 0, IFERROR(VLOOKUP('12p'!BB41, Bareme, IF(COUNTIF('12p'!$E41:$AB41,"DC")=2, 4, IF(COUNTIF('12p'!$E41:$AB41,"DC")=4, 6, 0)), FALSE), 0))</f>
        <v>0</v>
      </c>
      <c r="BA46" s="143">
        <f>IF(AND(AX46="DC", COUNTIF('12p'!$E41:$AB41,"DC")&lt;6), 1, 0)</f>
        <v>0</v>
      </c>
      <c r="BB46" s="144">
        <f>SUM('12p'!BB41, AZ46, BA46)</f>
        <v>0</v>
      </c>
      <c r="BC46" s="145">
        <f>IF(AX46="DC", BC45+BA46, SUMIF(AX$11:AX46, "&gt;0") + SUM(BA$11:BA46))</f>
        <v>239</v>
      </c>
      <c r="BD46" s="161" t="str">
        <f>IF(COUNTIF('12p'!$E41:$AB41,"DC")&gt;=6, "[CRITIQUE] Trop de DC !", IF('12p'!BB41="", "", IF('12p'!BB41="DC", "OK", IF(AND('12p'!BB40&lt;&gt;"", '12p'!BB40&lt;&gt;"DC", '12p'!BB41='12p'!BB40, '12p'!BB41&lt;&gt;0), "[ALERTE] Score FIGÉ ?", IF(AND('12p'!BB40&lt;&gt;"", '12p'!BB40&lt;&gt;"DC", '12p'!BB41&lt;'12p'!BB40), "[ALERTE] Baisse anormale !", "OK")))))</f>
        <v/>
      </c>
      <c r="BE46" s="127">
        <f>'12p'!U41</f>
        <v>0</v>
      </c>
      <c r="BF46" s="142" cm="1">
        <f t="array" ref="BF46">IF(OR(BE46="",BE46="DC"), 0, BE46 - IFERROR(VLOOKUP("???",IF({1;0},"",INDEX(BE$11:BE45,MAX(IF(BE$11:BE45&lt;&gt;"",IF(BE$11:BE45&lt;&gt;"DC",ROW(BE$11:BE45)-MIN(ROW(BE$11:BE45))+1))))),1,FALSE),0))</f>
        <v>0</v>
      </c>
      <c r="BG46" s="197">
        <f>IF(OR('12p'!BI41="X", '12p'!BI41="DC", '12p'!BI41="", COUNTIF('12p'!$E41:$AB41,"DC")&gt;=6), 0, IFERROR(VLOOKUP('12p'!BI41, Bareme, IF(COUNTIF('12p'!$E41:$AB41,"DC")=2, 4, IF(COUNTIF('12p'!$E41:$AB41,"DC")=4, 6, 0)), FALSE), 0))</f>
        <v>0</v>
      </c>
      <c r="BH46" s="143">
        <f>IF(AND(BE46="DC", COUNTIF('12p'!$E41:$AB41,"DC")&lt;6), 1, 0)</f>
        <v>0</v>
      </c>
      <c r="BI46" s="144">
        <f>SUM('12p'!BI41, BG46, BH46)</f>
        <v>0</v>
      </c>
      <c r="BJ46" s="145">
        <f>IF(BE46="DC", BJ45+BH46, SUMIF(BE$11:BE46, "&gt;0") + SUM(BH$11:BH46))</f>
        <v>445</v>
      </c>
      <c r="BK46" s="161" t="str">
        <f>IF(COUNTIF('12p'!$E41:$AB41,"DC")&gt;=6, "[CRITIQUE] Trop de DC !", IF('12p'!BI41="", "", IF('12p'!BI41="DC", "OK", IF(AND('12p'!BI40&lt;&gt;"", '12p'!BI40&lt;&gt;"DC", '12p'!BI41='12p'!BI40, '12p'!BI41&lt;&gt;0), "[ALERTE] Score FIGÉ ?", IF(AND('12p'!BI40&lt;&gt;"", '12p'!BI40&lt;&gt;"DC", '12p'!BI41&lt;'12p'!BI40), "[ALERTE] Baisse anormale !", "OK")))))</f>
        <v/>
      </c>
      <c r="BL46" s="127">
        <f>'12p'!W41</f>
        <v>0</v>
      </c>
      <c r="BM46" s="142" cm="1">
        <f t="array" ref="BM46">IF(OR(BL46="",BL46="DC"), 0, BL46 - IFERROR(VLOOKUP("???",IF({1;0},"",INDEX(BL$11:BL45,MAX(IF(BL$11:BL45&lt;&gt;"",IF(BL$11:BL45&lt;&gt;"DC",ROW(BL$11:BL45)-MIN(ROW(BL$11:BL45))+1))))),1,FALSE),0))</f>
        <v>0</v>
      </c>
      <c r="BN46" s="197">
        <f>IF(OR('12p'!BP41="X", '12p'!BP41="DC", '12p'!BP41="", COUNTIF('12p'!$E41:$AB41,"DC")&gt;=6), 0, IFERROR(VLOOKUP('12p'!BP41, Bareme, IF(COUNTIF('12p'!$E41:$AB41,"DC")=2, 4, IF(COUNTIF('12p'!$E41:$AB41,"DC")=4, 6, 0)), FALSE), 0))</f>
        <v>0</v>
      </c>
      <c r="BO46" s="143">
        <f>IF(AND(BL46="DC", COUNTIF('12p'!$E41:$AB41,"DC")&lt;6), 1, 0)</f>
        <v>0</v>
      </c>
      <c r="BP46" s="144">
        <f>SUM('12p'!BP41, BN46, BO46)</f>
        <v>0</v>
      </c>
      <c r="BQ46" s="145">
        <f>IF(BL46="DC", BQ45+BO46, SUMIF(BL$11:BL46, "&gt;0") + SUM(BO$11:BO46))</f>
        <v>384</v>
      </c>
      <c r="BR46" s="161" t="str">
        <f>IF(COUNTIF('12p'!$E41:$AB41,"DC")&gt;=6, "[CRITIQUE] Trop de DC !", IF('12p'!BP41="", "", IF('12p'!BP41="DC", "OK", IF(AND('12p'!BP40&lt;&gt;"", '12p'!BP40&lt;&gt;"DC", '12p'!BP41='12p'!BP40, '12p'!BP41&lt;&gt;0), "[ALERTE] Score FIGÉ ?", IF(AND('12p'!BP40&lt;&gt;"", '12p'!BP40&lt;&gt;"DC", '12p'!BP41&lt;'12p'!BP40), "[ALERTE] Baisse anormale !", "OK")))))</f>
        <v/>
      </c>
      <c r="BS46" s="127">
        <f>'12p'!Y41</f>
        <v>0</v>
      </c>
      <c r="BT46" s="142" cm="1">
        <f t="array" ref="BT46">IF(OR(BS46="",BS46="DC"), 0, BS46 - IFERROR(VLOOKUP("???",IF({1;0},"",INDEX(BS$11:BS45,MAX(IF(BS$11:BS45&lt;&gt;"",IF(BS$11:BS45&lt;&gt;"DC",ROW(BS$11:BS45)-MIN(ROW(BS$11:BS45))+1))))),1,FALSE),0))</f>
        <v>0</v>
      </c>
      <c r="BU46" s="197">
        <f>IF(OR('12p'!BW41="X", '12p'!BW41="DC", '12p'!BW41="", COUNTIF('12p'!$E41:$AB41,"DC")&gt;=6), 0, IFERROR(VLOOKUP('12p'!BW41, Bareme, IF(COUNTIF('12p'!$E41:$AB41,"DC")=2, 4, IF(COUNTIF('12p'!$E41:$AB41,"DC")=4, 6, 0)), FALSE), 0))</f>
        <v>0</v>
      </c>
      <c r="BV46" s="143">
        <f>IF(AND(BS46="DC", COUNTIF('12p'!$E41:$AB41,"DC")&lt;6), 1, 0)</f>
        <v>0</v>
      </c>
      <c r="BW46" s="144">
        <f>SUM('12p'!BW41, BU46, BV46)</f>
        <v>0</v>
      </c>
      <c r="BX46" s="145">
        <f>IF(BS46="DC", BX45+BV46, SUMIF(BS$11:BS46, "&gt;0") + SUM(BV$11:BV46))</f>
        <v>492</v>
      </c>
      <c r="BY46" s="161" t="str">
        <f>IF(COUNTIF('12p'!$E41:$AB41,"DC")&gt;=6, "[CRITIQUE] Trop de DC !", IF('12p'!BW41="", "", IF('12p'!BW41="DC", "OK", IF(AND('12p'!BW40&lt;&gt;"", '12p'!BW40&lt;&gt;"DC", '12p'!BW41='12p'!BW40, '12p'!BW41&lt;&gt;0), "[ALERTE] Score FIGÉ ?", IF(AND('12p'!BW40&lt;&gt;"", '12p'!BW40&lt;&gt;"DC", '12p'!BW41&lt;'12p'!BW40), "[ALERTE] Baisse anormale !", "OK")))))</f>
        <v/>
      </c>
      <c r="BZ46" s="127">
        <f>'12p'!AA41</f>
        <v>0</v>
      </c>
      <c r="CA46" s="142" cm="1">
        <f t="array" ref="CA46">IF(OR(BZ46="",BZ46="DC"), 0, BZ46 - IFERROR(VLOOKUP("???",IF({1;0},"",INDEX(BZ$11:BZ45,MAX(IF(BZ$11:BZ45&lt;&gt;"",IF(BZ$11:BZ45&lt;&gt;"DC",ROW(BZ$11:BZ45)-MIN(ROW(BZ$11:BZ45))+1))))),1,FALSE),0))</f>
        <v>0</v>
      </c>
      <c r="CB46" s="197">
        <f>IF(OR('12p'!CD41="X", '12p'!CD41="DC", '12p'!CD41="", COUNTIF('12p'!$E41:$AB41,"DC")&gt;=6), 0, IFERROR(VLOOKUP('12p'!CD41, Bareme, IF(COUNTIF('12p'!$E41:$AB41,"DC")=2, 4, IF(COUNTIF('12p'!$E41:$AB41,"DC")=4, 6, 0)), FALSE), 0))</f>
        <v>0</v>
      </c>
      <c r="CC46" s="143">
        <f>IF(AND(BZ46="DC", COUNTIF('12p'!$E41:$AB41,"DC")&lt;6), 1, 0)</f>
        <v>0</v>
      </c>
      <c r="CD46" s="144">
        <f>SUM('12p'!CD41, CB46, CC46)</f>
        <v>0</v>
      </c>
      <c r="CE46" s="145">
        <f>IF(BZ46="DC", CE45+CC46, SUMIF(BZ$11:BZ46, "&gt;0") + SUM(CC$11:CC46))</f>
        <v>614</v>
      </c>
      <c r="CF46" s="161" t="str">
        <f>IF(COUNTIF('12p'!$E41:$AB41,"DC")&gt;=6, "[CRITIQUE] Trop de DC !", IF('12p'!CD41="", "", IF('12p'!CD41="DC", "OK", IF(AND('12p'!CD40&lt;&gt;"", '12p'!CD40&lt;&gt;"DC", '12p'!CD41='12p'!CD40, '12p'!CD41&lt;&gt;0), "[ALERTE] Score FIGÉ ?", IF(AND('12p'!CD40&lt;&gt;"", '12p'!CD40&lt;&gt;"DC", '12p'!CD41&lt;'12p'!CD40), "[ALERTE] Baisse anormale !", "OK")))))</f>
        <v/>
      </c>
      <c r="CG46" s="108"/>
      <c r="CH46" s="108"/>
      <c r="CI46" s="199"/>
      <c r="CJ46" s="199"/>
      <c r="CK46" s="199"/>
      <c r="CL46" s="199"/>
      <c r="CM46" s="136"/>
      <c r="CN46" s="199"/>
      <c r="CO46" s="199"/>
      <c r="CP46" s="199"/>
      <c r="CQ46" s="199"/>
      <c r="CR46" s="199"/>
      <c r="CS46" s="136"/>
      <c r="CT46" s="199"/>
      <c r="CU46" s="199"/>
      <c r="CV46" s="199"/>
      <c r="CW46" s="199"/>
      <c r="CX46" s="199"/>
      <c r="CY46" s="136"/>
      <c r="CZ46" s="199"/>
      <c r="DA46" s="199"/>
      <c r="DB46" s="199"/>
      <c r="DC46" s="199"/>
      <c r="DD46" s="199"/>
      <c r="DE46" s="136"/>
      <c r="DF46" s="199"/>
      <c r="DG46" s="199"/>
      <c r="DH46" s="199"/>
      <c r="DI46" s="199"/>
      <c r="DJ46" s="199"/>
      <c r="DK46" s="136"/>
      <c r="DL46" s="199"/>
      <c r="DM46" s="199"/>
      <c r="DN46" s="199"/>
      <c r="DO46" s="199"/>
      <c r="DP46" s="199"/>
      <c r="DQ46" s="136"/>
      <c r="DR46" s="199"/>
      <c r="DS46" s="199"/>
      <c r="DT46" s="199"/>
      <c r="DU46" s="199"/>
      <c r="DV46" s="199"/>
      <c r="DW46" s="136"/>
      <c r="DX46" s="199"/>
      <c r="DY46" s="199"/>
      <c r="DZ46" s="199"/>
      <c r="EA46" s="199"/>
      <c r="EB46" s="199"/>
      <c r="EC46" s="136"/>
      <c r="ED46" s="199"/>
      <c r="EE46" s="199"/>
      <c r="EF46" s="199"/>
      <c r="EG46" s="199"/>
    </row>
    <row r="47" spans="1:137" ht="15" customHeight="1" x14ac:dyDescent="0.25">
      <c r="A47" s="127">
        <f>'12p'!E42</f>
        <v>0</v>
      </c>
      <c r="B47" s="142">
        <f t="shared" si="69"/>
        <v>0</v>
      </c>
      <c r="C47" s="197" cm="1">
        <f t="array" ref="C47">IF(OR(A47="DC",A47="",B47=0),0,IF(COUNTIF('12p'!$E42:$AB42,"DC")=1,INDEX(Table_11p,IF(B47=12,1,IF(B47=10,2,14-B47)),3),IF(COUNTIF('12p'!$E42:$AB42,"DC")=2,INDEX(Table_10p,IF(B47=11,1,IF(B47=9,2,12-B47)),3),IF(COUNTIF('12p'!$E42:$AB42,"DC")&gt;=3,INDEX(Table_9p_or_less,10-B47,3),0))))</f>
        <v>0</v>
      </c>
      <c r="D47" s="143">
        <f t="shared" si="70"/>
        <v>0</v>
      </c>
      <c r="E47" s="189">
        <f t="shared" si="71"/>
        <v>0</v>
      </c>
      <c r="F47" s="145">
        <f t="shared" si="72"/>
        <v>0</v>
      </c>
      <c r="G47" s="161" t="str">
        <f>IF(COUNTIF('12p'!$E42:$AB42,"DC")&gt;=6, "[CRITIQUE] Trop de DC !", IF('12p'!E42="", "", IF('12p'!E42="DC", "OK", IF(AND('12p'!E41&lt;&gt;"", '12p'!E41&lt;&gt;"DC", '12p'!E42='12p'!E41, '12p'!E42&lt;&gt;0), "[ALERTE] Score FIGÉ ?", IF(AND('12p'!E41&lt;&gt;"", '12p'!E41&lt;&gt;"DC", '12p'!E42&lt;'12p'!E41), "[ALERTE] Baisse anormale !", "OK")))))</f>
        <v/>
      </c>
      <c r="H47" s="127">
        <f>'12p'!G42</f>
        <v>0</v>
      </c>
      <c r="I47" s="142">
        <f t="shared" si="73"/>
        <v>0</v>
      </c>
      <c r="J47" s="197" cm="1">
        <f t="array" ref="J47">IF(OR(H47="DC",H47="",I47=0),0,IF(COUNTIF('12p'!$E42:$AB42,"DC")=1,INDEX(Table_11p,IF(I47=12,1,IF(I47=10,2,14-I47)),3),IF(COUNTIF('12p'!$E42:$AB42,"DC")=2,INDEX(Table_10p,IF(I47=11,1,IF(I47=9,2,12-I47)),3),IF(COUNTIF('12p'!$E42:$AB42,"DC")&gt;=3,INDEX(Table_9p_or_less,10-I47,3),0))))</f>
        <v>0</v>
      </c>
      <c r="K47" s="143">
        <f t="shared" si="74"/>
        <v>0</v>
      </c>
      <c r="L47" s="189">
        <f t="shared" si="75"/>
        <v>0</v>
      </c>
      <c r="M47" s="145">
        <f t="shared" si="76"/>
        <v>0</v>
      </c>
      <c r="N47" s="161" t="str">
        <f>IF(COUNTIF('12p'!$E42:$AB42,"DC")&gt;=6, "[CRITIQUE] Trop de DC !", IF('12p'!L42="", "", IF('12p'!L42="DC", "OK", IF(AND('12p'!L41&lt;&gt;"", '12p'!L41&lt;&gt;"DC", '12p'!L42='12p'!L41, '12p'!L42&lt;&gt;0), "[ALERTE] Score FIGÉ ?", IF(AND('12p'!L41&lt;&gt;"", '12p'!L41&lt;&gt;"DC", '12p'!L42&lt;'12p'!L41), "[ALERTE] Baisse anormale !", "OK")))))</f>
        <v/>
      </c>
      <c r="O47" s="127">
        <f>'12p'!I42</f>
        <v>0</v>
      </c>
      <c r="P47" s="142">
        <f t="shared" si="77"/>
        <v>0</v>
      </c>
      <c r="Q47" s="197" cm="1">
        <f t="array" ref="Q47">IF(OR(O47="DC",O47="",P47=0),0,IF(COUNTIF('12p'!$E42:$AB42,"DC")=1,INDEX(Table_11p,IF(P47=12,1,IF(P47=10,2,14-P47)),3),IF(COUNTIF('12p'!$E42:$AB42,"DC")=2,INDEX(Table_10p,IF(P47=11,1,IF(P47=9,2,12-P47)),3),IF(COUNTIF('12p'!$E42:$AB42,"DC")&gt;=3,INDEX(Table_9p_or_less,10-P47,3),0))))</f>
        <v>0</v>
      </c>
      <c r="R47" s="143">
        <f t="shared" si="78"/>
        <v>0</v>
      </c>
      <c r="S47" s="189">
        <f t="shared" si="79"/>
        <v>0</v>
      </c>
      <c r="T47" s="145">
        <f t="shared" si="80"/>
        <v>0</v>
      </c>
      <c r="U47" s="161" t="str">
        <f>IF(COUNTIF('12p'!$E42:$AB42,"DC")&gt;=6, "[CRITIQUE] Trop de DC !", IF('12p'!S42="", "", IF('12p'!S42="DC", "OK", IF(AND('12p'!S41&lt;&gt;"", '12p'!S41&lt;&gt;"DC", '12p'!S42='12p'!S41, '12p'!S42&lt;&gt;0), "[ALERTE] Score FIGÉ ?", IF(AND('12p'!S41&lt;&gt;"", '12p'!S41&lt;&gt;"DC", '12p'!S42&lt;'12p'!S41), "[ALERTE] Baisse anormale !", "OK")))))</f>
        <v/>
      </c>
      <c r="V47" s="127">
        <f>'12p'!K42</f>
        <v>0</v>
      </c>
      <c r="W47" s="142">
        <f t="shared" si="81"/>
        <v>0</v>
      </c>
      <c r="X47" s="197" cm="1">
        <f t="array" ref="X47">IF(OR(V47="DC",V47="",W47=0),0,IF(COUNTIF('12p'!$E42:$AB42,"DC")=1,INDEX(Table_11p,IF(W47=12,1,IF(W47=10,2,14-W47)),3),IF(COUNTIF('12p'!$E42:$AB42,"DC")=2,INDEX(Table_10p,IF(W47=11,1,IF(W47=9,2,12-W47)),3),IF(COUNTIF('12p'!$E42:$AB42,"DC")&gt;=3,INDEX(Table_9p_or_less,10-W47,3),0))))</f>
        <v>0</v>
      </c>
      <c r="Y47" s="143">
        <f t="shared" si="82"/>
        <v>0</v>
      </c>
      <c r="Z47" s="189">
        <f t="shared" si="83"/>
        <v>0</v>
      </c>
      <c r="AA47" s="145">
        <f t="shared" si="84"/>
        <v>0</v>
      </c>
      <c r="AB47" s="161" t="str">
        <f>IF(COUNTIF('12p'!$E42:$AB42,"DC")&gt;=6, "[CRITIQUE] Trop de DC !", IF('12p'!Z42="", "", IF('12p'!Z42="DC", "OK", IF(AND('12p'!Z41&lt;&gt;"", '12p'!Z41&lt;&gt;"DC", '12p'!Z42='12p'!Z41, '12p'!Z42&lt;&gt;0), "[ALERTE] Score FIGÉ ?", IF(AND('12p'!Z41&lt;&gt;"", '12p'!Z41&lt;&gt;"DC", '12p'!Z42&lt;'12p'!Z41), "[ALERTE] Baisse anormale !", "OK")))))</f>
        <v/>
      </c>
      <c r="AC47" s="127">
        <f>'12p'!M42</f>
        <v>0</v>
      </c>
      <c r="AD47" s="142" cm="1">
        <f t="array" ref="AD47">IF(OR(AC47="",AC47="DC"), 0, AC47 - IFERROR(VLOOKUP("???",IF({1;0},"",INDEX(AC$11:AC46,MAX(IF(AC$11:AC46&lt;&gt;"",IF(AC$11:AC46&lt;&gt;"DC",ROW(AC$11:AC46)-MIN(ROW(AC$11:AC46))+1))))),1,FALSE),0))</f>
        <v>0</v>
      </c>
      <c r="AE47" s="197">
        <f>IF(OR('12p'!AG42="X", '12p'!AG42="DC", '12p'!AG42="", COUNTIF('12p'!$E42:$AB42,"DC")&gt;=6), 0, IFERROR(VLOOKUP('12p'!AG42, Bareme, IF(COUNTIF('12p'!$E42:$AB42,"DC")=2, 4, IF(COUNTIF('12p'!$E42:$AB42,"DC")=4, 6, 0)), FALSE), 0))</f>
        <v>0</v>
      </c>
      <c r="AF47" s="143">
        <f>IF(AND(AC47="DC", COUNTIF('12p'!$E42:$AB42,"DC")&lt;6), 1, 0)</f>
        <v>0</v>
      </c>
      <c r="AG47" s="144">
        <f>SUM('12p'!AG42, AE47, AF47)</f>
        <v>0</v>
      </c>
      <c r="AH47" s="145">
        <f>IF(AC47="DC", AH46+AF47, SUMIF(AC$11:AC47, "&gt;0") + SUM(AF$11:AF47))</f>
        <v>663</v>
      </c>
      <c r="AI47" s="161" t="str">
        <f>IF(COUNTIF('12p'!$E42:$AB42,"DC")&gt;=6, "[CRITIQUE] Trop de DC !", IF('12p'!AG42="", "", IF('12p'!AG42="DC", "OK", IF(AND('12p'!AG41&lt;&gt;"", '12p'!AG41&lt;&gt;"DC", '12p'!AG42='12p'!AG41, '12p'!AG42&lt;&gt;0), "[ALERTE] Score FIGÉ ?", IF(AND('12p'!AG41&lt;&gt;"", '12p'!AG41&lt;&gt;"DC", '12p'!AG42&lt;'12p'!AG41), "[ALERTE] Baisse anormale !", "OK")))))</f>
        <v/>
      </c>
      <c r="AJ47" s="127">
        <f>'12p'!O42</f>
        <v>0</v>
      </c>
      <c r="AK47" s="142" cm="1">
        <f t="array" ref="AK47">IF(OR(AJ47="",AJ47="DC"), 0, AJ47 - IFERROR(VLOOKUP("???",IF({1;0},"",INDEX(AJ$11:AJ46,MAX(IF(AJ$11:AJ46&lt;&gt;"",IF(AJ$11:AJ46&lt;&gt;"DC",ROW(AJ$11:AJ46)-MIN(ROW(AJ$11:AJ46))+1))))),1,FALSE),0))</f>
        <v>0</v>
      </c>
      <c r="AL47" s="197">
        <f>IF(OR('12p'!AN42="X", '12p'!AN42="DC", '12p'!AN42="", COUNTIF('12p'!$E42:$AB42,"DC")&gt;=6), 0, IFERROR(VLOOKUP('12p'!AN42, Bareme, IF(COUNTIF('12p'!$E42:$AB42,"DC")=2, 4, IF(COUNTIF('12p'!$E42:$AB42,"DC")=4, 6, 0)), FALSE), 0))</f>
        <v>0</v>
      </c>
      <c r="AM47" s="143">
        <f>IF(AND(AJ47="DC", COUNTIF('12p'!$E42:$AB42,"DC")&lt;6), 1, 0)</f>
        <v>0</v>
      </c>
      <c r="AN47" s="144">
        <f>SUM('12p'!AN42, AL47, AM47)</f>
        <v>0</v>
      </c>
      <c r="AO47" s="145">
        <f>IF(AJ47="DC", AO46+AM47, SUMIF(AJ$11:AJ47, "&gt;0") + SUM(AM$11:AM47))</f>
        <v>469</v>
      </c>
      <c r="AP47" s="161" t="str">
        <f>IF(COUNTIF('12p'!$E42:$AB42,"DC")&gt;=6, "[CRITIQUE] Trop de DC !", IF('12p'!AN42="", "", IF('12p'!AN42="DC", "OK", IF(AND('12p'!AN41&lt;&gt;"", '12p'!AN41&lt;&gt;"DC", '12p'!AN42='12p'!AN41, '12p'!AN42&lt;&gt;0), "[ALERTE] Score FIGÉ ?", IF(AND('12p'!AN41&lt;&gt;"", '12p'!AN41&lt;&gt;"DC", '12p'!AN42&lt;'12p'!AN41), "[ALERTE] Baisse anormale !", "OK")))))</f>
        <v/>
      </c>
      <c r="AQ47" s="127">
        <f>'12p'!Q42</f>
        <v>0</v>
      </c>
      <c r="AR47" s="142" cm="1">
        <f t="array" ref="AR47">IF(OR(AQ47="",AQ47="DC"), 0, AQ47 - IFERROR(VLOOKUP("???",IF({1;0},"",INDEX(AQ$11:AQ46,MAX(IF(AQ$11:AQ46&lt;&gt;"",IF(AQ$11:AQ46&lt;&gt;"DC",ROW(AQ$11:AQ46)-MIN(ROW(AQ$11:AQ46))+1))))),1,FALSE),0))</f>
        <v>0</v>
      </c>
      <c r="AS47" s="197">
        <f>IF(OR('12p'!AU42="X", '12p'!AU42="DC", '12p'!AU42="", COUNTIF('12p'!$E42:$AB42,"DC")&gt;=6), 0, IFERROR(VLOOKUP('12p'!AU42, Bareme, IF(COUNTIF('12p'!$E42:$AB42,"DC")=2, 4, IF(COUNTIF('12p'!$E42:$AB42,"DC")=4, 6, 0)), FALSE), 0))</f>
        <v>0</v>
      </c>
      <c r="AT47" s="143">
        <f>IF(AND(AQ47="DC", COUNTIF('12p'!$E42:$AB42,"DC")&lt;6), 1, 0)</f>
        <v>0</v>
      </c>
      <c r="AU47" s="144">
        <f>SUM('12p'!AU42, AS47, AT47)</f>
        <v>0</v>
      </c>
      <c r="AV47" s="145">
        <f>IF(AQ47="DC", AV46+AT47, SUMIF(AQ$11:AQ47, "&gt;0") + SUM(AT$11:AT47))</f>
        <v>654</v>
      </c>
      <c r="AW47" s="161" t="str">
        <f>IF(COUNTIF('12p'!$E42:$AB42,"DC")&gt;=6, "[CRITIQUE] Trop de DC !", IF('12p'!AU42="", "", IF('12p'!AU42="DC", "OK", IF(AND('12p'!AU41&lt;&gt;"", '12p'!AU41&lt;&gt;"DC", '12p'!AU42='12p'!AU41, '12p'!AU42&lt;&gt;0), "[ALERTE] Score FIGÉ ?", IF(AND('12p'!AU41&lt;&gt;"", '12p'!AU41&lt;&gt;"DC", '12p'!AU42&lt;'12p'!AU41), "[ALERTE] Baisse anormale !", "OK")))))</f>
        <v/>
      </c>
      <c r="AX47" s="127">
        <f>'12p'!S42</f>
        <v>0</v>
      </c>
      <c r="AY47" s="142" cm="1">
        <f t="array" ref="AY47">IF(OR(AX47="",AX47="DC"), 0, AX47 - IFERROR(VLOOKUP("???",IF({1;0},"",INDEX(AX$11:AX46,MAX(IF(AX$11:AX46&lt;&gt;"",IF(AX$11:AX46&lt;&gt;"DC",ROW(AX$11:AX46)-MIN(ROW(AX$11:AX46))+1))))),1,FALSE),0))</f>
        <v>0</v>
      </c>
      <c r="AZ47" s="197">
        <f>IF(OR('12p'!BB42="X", '12p'!BB42="DC", '12p'!BB42="", COUNTIF('12p'!$E42:$AB42,"DC")&gt;=6), 0, IFERROR(VLOOKUP('12p'!BB42, Bareme, IF(COUNTIF('12p'!$E42:$AB42,"DC")=2, 4, IF(COUNTIF('12p'!$E42:$AB42,"DC")=4, 6, 0)), FALSE), 0))</f>
        <v>0</v>
      </c>
      <c r="BA47" s="143">
        <f>IF(AND(AX47="DC", COUNTIF('12p'!$E42:$AB42,"DC")&lt;6), 1, 0)</f>
        <v>0</v>
      </c>
      <c r="BB47" s="144">
        <f>SUM('12p'!BB42, AZ47, BA47)</f>
        <v>0</v>
      </c>
      <c r="BC47" s="145">
        <f>IF(AX47="DC", BC46+BA47, SUMIF(AX$11:AX47, "&gt;0") + SUM(BA$11:BA47))</f>
        <v>239</v>
      </c>
      <c r="BD47" s="161" t="str">
        <f>IF(COUNTIF('12p'!$E42:$AB42,"DC")&gt;=6, "[CRITIQUE] Trop de DC !", IF('12p'!BB42="", "", IF('12p'!BB42="DC", "OK", IF(AND('12p'!BB41&lt;&gt;"", '12p'!BB41&lt;&gt;"DC", '12p'!BB42='12p'!BB41, '12p'!BB42&lt;&gt;0), "[ALERTE] Score FIGÉ ?", IF(AND('12p'!BB41&lt;&gt;"", '12p'!BB41&lt;&gt;"DC", '12p'!BB42&lt;'12p'!BB41), "[ALERTE] Baisse anormale !", "OK")))))</f>
        <v/>
      </c>
      <c r="BE47" s="127">
        <f>'12p'!U42</f>
        <v>0</v>
      </c>
      <c r="BF47" s="142" cm="1">
        <f t="array" ref="BF47">IF(OR(BE47="",BE47="DC"), 0, BE47 - IFERROR(VLOOKUP("???",IF({1;0},"",INDEX(BE$11:BE46,MAX(IF(BE$11:BE46&lt;&gt;"",IF(BE$11:BE46&lt;&gt;"DC",ROW(BE$11:BE46)-MIN(ROW(BE$11:BE46))+1))))),1,FALSE),0))</f>
        <v>0</v>
      </c>
      <c r="BG47" s="197">
        <f>IF(OR('12p'!BI42="X", '12p'!BI42="DC", '12p'!BI42="", COUNTIF('12p'!$E42:$AB42,"DC")&gt;=6), 0, IFERROR(VLOOKUP('12p'!BI42, Bareme, IF(COUNTIF('12p'!$E42:$AB42,"DC")=2, 4, IF(COUNTIF('12p'!$E42:$AB42,"DC")=4, 6, 0)), FALSE), 0))</f>
        <v>0</v>
      </c>
      <c r="BH47" s="143">
        <f>IF(AND(BE47="DC", COUNTIF('12p'!$E42:$AB42,"DC")&lt;6), 1, 0)</f>
        <v>0</v>
      </c>
      <c r="BI47" s="144">
        <f>SUM('12p'!BI42, BG47, BH47)</f>
        <v>0</v>
      </c>
      <c r="BJ47" s="145">
        <f>IF(BE47="DC", BJ46+BH47, SUMIF(BE$11:BE47, "&gt;0") + SUM(BH$11:BH47))</f>
        <v>445</v>
      </c>
      <c r="BK47" s="161" t="str">
        <f>IF(COUNTIF('12p'!$E42:$AB42,"DC")&gt;=6, "[CRITIQUE] Trop de DC !", IF('12p'!BI42="", "", IF('12p'!BI42="DC", "OK", IF(AND('12p'!BI41&lt;&gt;"", '12p'!BI41&lt;&gt;"DC", '12p'!BI42='12p'!BI41, '12p'!BI42&lt;&gt;0), "[ALERTE] Score FIGÉ ?", IF(AND('12p'!BI41&lt;&gt;"", '12p'!BI41&lt;&gt;"DC", '12p'!BI42&lt;'12p'!BI41), "[ALERTE] Baisse anormale !", "OK")))))</f>
        <v/>
      </c>
      <c r="BL47" s="127">
        <f>'12p'!W42</f>
        <v>0</v>
      </c>
      <c r="BM47" s="142" cm="1">
        <f t="array" ref="BM47">IF(OR(BL47="",BL47="DC"), 0, BL47 - IFERROR(VLOOKUP("???",IF({1;0},"",INDEX(BL$11:BL46,MAX(IF(BL$11:BL46&lt;&gt;"",IF(BL$11:BL46&lt;&gt;"DC",ROW(BL$11:BL46)-MIN(ROW(BL$11:BL46))+1))))),1,FALSE),0))</f>
        <v>0</v>
      </c>
      <c r="BN47" s="197">
        <f>IF(OR('12p'!BP42="X", '12p'!BP42="DC", '12p'!BP42="", COUNTIF('12p'!$E42:$AB42,"DC")&gt;=6), 0, IFERROR(VLOOKUP('12p'!BP42, Bareme, IF(COUNTIF('12p'!$E42:$AB42,"DC")=2, 4, IF(COUNTIF('12p'!$E42:$AB42,"DC")=4, 6, 0)), FALSE), 0))</f>
        <v>0</v>
      </c>
      <c r="BO47" s="143">
        <f>IF(AND(BL47="DC", COUNTIF('12p'!$E42:$AB42,"DC")&lt;6), 1, 0)</f>
        <v>0</v>
      </c>
      <c r="BP47" s="144">
        <f>SUM('12p'!BP42, BN47, BO47)</f>
        <v>0</v>
      </c>
      <c r="BQ47" s="145">
        <f>IF(BL47="DC", BQ46+BO47, SUMIF(BL$11:BL47, "&gt;0") + SUM(BO$11:BO47))</f>
        <v>384</v>
      </c>
      <c r="BR47" s="161" t="str">
        <f>IF(COUNTIF('12p'!$E42:$AB42,"DC")&gt;=6, "[CRITIQUE] Trop de DC !", IF('12p'!BP42="", "", IF('12p'!BP42="DC", "OK", IF(AND('12p'!BP41&lt;&gt;"", '12p'!BP41&lt;&gt;"DC", '12p'!BP42='12p'!BP41, '12p'!BP42&lt;&gt;0), "[ALERTE] Score FIGÉ ?", IF(AND('12p'!BP41&lt;&gt;"", '12p'!BP41&lt;&gt;"DC", '12p'!BP42&lt;'12p'!BP41), "[ALERTE] Baisse anormale !", "OK")))))</f>
        <v/>
      </c>
      <c r="BS47" s="127">
        <f>'12p'!Y42</f>
        <v>0</v>
      </c>
      <c r="BT47" s="142" cm="1">
        <f t="array" ref="BT47">IF(OR(BS47="",BS47="DC"), 0, BS47 - IFERROR(VLOOKUP("???",IF({1;0},"",INDEX(BS$11:BS46,MAX(IF(BS$11:BS46&lt;&gt;"",IF(BS$11:BS46&lt;&gt;"DC",ROW(BS$11:BS46)-MIN(ROW(BS$11:BS46))+1))))),1,FALSE),0))</f>
        <v>0</v>
      </c>
      <c r="BU47" s="197">
        <f>IF(OR('12p'!BW42="X", '12p'!BW42="DC", '12p'!BW42="", COUNTIF('12p'!$E42:$AB42,"DC")&gt;=6), 0, IFERROR(VLOOKUP('12p'!BW42, Bareme, IF(COUNTIF('12p'!$E42:$AB42,"DC")=2, 4, IF(COUNTIF('12p'!$E42:$AB42,"DC")=4, 6, 0)), FALSE), 0))</f>
        <v>0</v>
      </c>
      <c r="BV47" s="143">
        <f>IF(AND(BS47="DC", COUNTIF('12p'!$E42:$AB42,"DC")&lt;6), 1, 0)</f>
        <v>0</v>
      </c>
      <c r="BW47" s="144">
        <f>SUM('12p'!BW42, BU47, BV47)</f>
        <v>0</v>
      </c>
      <c r="BX47" s="145">
        <f>IF(BS47="DC", BX46+BV47, SUMIF(BS$11:BS47, "&gt;0") + SUM(BV$11:BV47))</f>
        <v>492</v>
      </c>
      <c r="BY47" s="161" t="str">
        <f>IF(COUNTIF('12p'!$E42:$AB42,"DC")&gt;=6, "[CRITIQUE] Trop de DC !", IF('12p'!BW42="", "", IF('12p'!BW42="DC", "OK", IF(AND('12p'!BW41&lt;&gt;"", '12p'!BW41&lt;&gt;"DC", '12p'!BW42='12p'!BW41, '12p'!BW42&lt;&gt;0), "[ALERTE] Score FIGÉ ?", IF(AND('12p'!BW41&lt;&gt;"", '12p'!BW41&lt;&gt;"DC", '12p'!BW42&lt;'12p'!BW41), "[ALERTE] Baisse anormale !", "OK")))))</f>
        <v/>
      </c>
      <c r="BZ47" s="127">
        <f>'12p'!AA42</f>
        <v>0</v>
      </c>
      <c r="CA47" s="142" cm="1">
        <f t="array" ref="CA47">IF(OR(BZ47="",BZ47="DC"), 0, BZ47 - IFERROR(VLOOKUP("???",IF({1;0},"",INDEX(BZ$11:BZ46,MAX(IF(BZ$11:BZ46&lt;&gt;"",IF(BZ$11:BZ46&lt;&gt;"DC",ROW(BZ$11:BZ46)-MIN(ROW(BZ$11:BZ46))+1))))),1,FALSE),0))</f>
        <v>0</v>
      </c>
      <c r="CB47" s="197">
        <f>IF(OR('12p'!CD42="X", '12p'!CD42="DC", '12p'!CD42="", COUNTIF('12p'!$E42:$AB42,"DC")&gt;=6), 0, IFERROR(VLOOKUP('12p'!CD42, Bareme, IF(COUNTIF('12p'!$E42:$AB42,"DC")=2, 4, IF(COUNTIF('12p'!$E42:$AB42,"DC")=4, 6, 0)), FALSE), 0))</f>
        <v>0</v>
      </c>
      <c r="CC47" s="143">
        <f>IF(AND(BZ47="DC", COUNTIF('12p'!$E42:$AB42,"DC")&lt;6), 1, 0)</f>
        <v>0</v>
      </c>
      <c r="CD47" s="144">
        <f>SUM('12p'!CD42, CB47, CC47)</f>
        <v>0</v>
      </c>
      <c r="CE47" s="145">
        <f>IF(BZ47="DC", CE46+CC47, SUMIF(BZ$11:BZ47, "&gt;0") + SUM(CC$11:CC47))</f>
        <v>614</v>
      </c>
      <c r="CF47" s="161" t="str">
        <f>IF(COUNTIF('12p'!$E42:$AB42,"DC")&gt;=6, "[CRITIQUE] Trop de DC !", IF('12p'!CD42="", "", IF('12p'!CD42="DC", "OK", IF(AND('12p'!CD41&lt;&gt;"", '12p'!CD41&lt;&gt;"DC", '12p'!CD42='12p'!CD41, '12p'!CD42&lt;&gt;0), "[ALERTE] Score FIGÉ ?", IF(AND('12p'!CD41&lt;&gt;"", '12p'!CD41&lt;&gt;"DC", '12p'!CD42&lt;'12p'!CD41), "[ALERTE] Baisse anormale !", "OK")))))</f>
        <v/>
      </c>
      <c r="CG47" s="108"/>
      <c r="CH47" s="108"/>
      <c r="CI47" s="199"/>
      <c r="CJ47" s="199"/>
      <c r="CK47" s="199"/>
      <c r="CL47" s="199"/>
      <c r="CM47" s="136"/>
      <c r="CN47" s="199"/>
      <c r="CO47" s="199"/>
      <c r="CP47" s="199"/>
      <c r="CQ47" s="199"/>
      <c r="CR47" s="199"/>
      <c r="CS47" s="136"/>
      <c r="CT47" s="199"/>
      <c r="CU47" s="199"/>
      <c r="CV47" s="199"/>
      <c r="CW47" s="199"/>
      <c r="CX47" s="199"/>
      <c r="CY47" s="136"/>
      <c r="CZ47" s="199"/>
      <c r="DA47" s="199"/>
      <c r="DB47" s="199"/>
      <c r="DC47" s="199"/>
      <c r="DD47" s="199"/>
      <c r="DE47" s="136"/>
      <c r="DF47" s="199"/>
      <c r="DG47" s="199"/>
      <c r="DH47" s="199"/>
      <c r="DI47" s="199"/>
      <c r="DJ47" s="199"/>
      <c r="DK47" s="136"/>
      <c r="DL47" s="199"/>
      <c r="DM47" s="199"/>
      <c r="DN47" s="199"/>
      <c r="DO47" s="199"/>
      <c r="DP47" s="199"/>
      <c r="DQ47" s="136"/>
      <c r="DR47" s="199"/>
      <c r="DS47" s="199"/>
      <c r="DT47" s="199"/>
      <c r="DU47" s="199"/>
      <c r="DV47" s="199"/>
      <c r="DW47" s="136"/>
      <c r="DX47" s="199"/>
      <c r="DY47" s="199"/>
      <c r="DZ47" s="199"/>
      <c r="EA47" s="199"/>
      <c r="EB47" s="199"/>
      <c r="EC47" s="136"/>
      <c r="ED47" s="199"/>
      <c r="EE47" s="199"/>
      <c r="EF47" s="199"/>
      <c r="EG47" s="199"/>
    </row>
    <row r="48" spans="1:137" ht="15" customHeight="1" x14ac:dyDescent="0.25">
      <c r="A48" s="127">
        <f>'12p'!E43</f>
        <v>0</v>
      </c>
      <c r="B48" s="142">
        <f t="shared" si="69"/>
        <v>0</v>
      </c>
      <c r="C48" s="197" cm="1">
        <f t="array" ref="C48">IF(OR(A48="DC",A48="",B48=0),0,IF(COUNTIF('12p'!$E43:$AB43,"DC")=1,INDEX(Table_11p,IF(B48=12,1,IF(B48=10,2,14-B48)),3),IF(COUNTIF('12p'!$E43:$AB43,"DC")=2,INDEX(Table_10p,IF(B48=11,1,IF(B48=9,2,12-B48)),3),IF(COUNTIF('12p'!$E43:$AB43,"DC")&gt;=3,INDEX(Table_9p_or_less,10-B48,3),0))))</f>
        <v>0</v>
      </c>
      <c r="D48" s="143">
        <f t="shared" si="70"/>
        <v>0</v>
      </c>
      <c r="E48" s="189">
        <f t="shared" si="71"/>
        <v>0</v>
      </c>
      <c r="F48" s="145">
        <f t="shared" si="72"/>
        <v>0</v>
      </c>
      <c r="G48" s="161" t="str">
        <f>IF(COUNTIF('12p'!$E43:$AB43,"DC")&gt;=6, "[CRITIQUE] Trop de DC !", IF('12p'!E43="", "", IF('12p'!E43="DC", "OK", IF(AND('12p'!E42&lt;&gt;"", '12p'!E42&lt;&gt;"DC", '12p'!E43='12p'!E42, '12p'!E43&lt;&gt;0), "[ALERTE] Score FIGÉ ?", IF(AND('12p'!E42&lt;&gt;"", '12p'!E42&lt;&gt;"DC", '12p'!E43&lt;'12p'!E42), "[ALERTE] Baisse anormale !", "OK")))))</f>
        <v>OK</v>
      </c>
      <c r="H48" s="127">
        <f>'12p'!G43</f>
        <v>0</v>
      </c>
      <c r="I48" s="142">
        <f t="shared" si="73"/>
        <v>0</v>
      </c>
      <c r="J48" s="197" cm="1">
        <f t="array" ref="J48">IF(OR(H48="DC",H48="",I48=0),0,IF(COUNTIF('12p'!$E43:$AB43,"DC")=1,INDEX(Table_11p,IF(I48=12,1,IF(I48=10,2,14-I48)),3),IF(COUNTIF('12p'!$E43:$AB43,"DC")=2,INDEX(Table_10p,IF(I48=11,1,IF(I48=9,2,12-I48)),3),IF(COUNTIF('12p'!$E43:$AB43,"DC")&gt;=3,INDEX(Table_9p_or_less,10-I48,3),0))))</f>
        <v>0</v>
      </c>
      <c r="K48" s="143">
        <f t="shared" si="74"/>
        <v>0</v>
      </c>
      <c r="L48" s="189">
        <f t="shared" si="75"/>
        <v>0</v>
      </c>
      <c r="M48" s="145">
        <f t="shared" si="76"/>
        <v>0</v>
      </c>
      <c r="N48" s="161" t="str">
        <f>IF(COUNTIF('12p'!$E43:$AB43,"DC")&gt;=6, "[CRITIQUE] Trop de DC !", IF('12p'!L43="", "", IF('12p'!L43="DC", "OK", IF(AND('12p'!L42&lt;&gt;"", '12p'!L42&lt;&gt;"DC", '12p'!L43='12p'!L42, '12p'!L43&lt;&gt;0), "[ALERTE] Score FIGÉ ?", IF(AND('12p'!L42&lt;&gt;"", '12p'!L42&lt;&gt;"DC", '12p'!L43&lt;'12p'!L42), "[ALERTE] Baisse anormale !", "OK")))))</f>
        <v/>
      </c>
      <c r="O48" s="127">
        <f>'12p'!I43</f>
        <v>0</v>
      </c>
      <c r="P48" s="142">
        <f t="shared" si="77"/>
        <v>0</v>
      </c>
      <c r="Q48" s="197" cm="1">
        <f t="array" ref="Q48">IF(OR(O48="DC",O48="",P48=0),0,IF(COUNTIF('12p'!$E43:$AB43,"DC")=1,INDEX(Table_11p,IF(P48=12,1,IF(P48=10,2,14-P48)),3),IF(COUNTIF('12p'!$E43:$AB43,"DC")=2,INDEX(Table_10p,IF(P48=11,1,IF(P48=9,2,12-P48)),3),IF(COUNTIF('12p'!$E43:$AB43,"DC")&gt;=3,INDEX(Table_9p_or_less,10-P48,3),0))))</f>
        <v>0</v>
      </c>
      <c r="R48" s="143">
        <f t="shared" si="78"/>
        <v>0</v>
      </c>
      <c r="S48" s="189">
        <f t="shared" si="79"/>
        <v>0</v>
      </c>
      <c r="T48" s="145">
        <f t="shared" si="80"/>
        <v>0</v>
      </c>
      <c r="U48" s="161" t="str">
        <f>IF(COUNTIF('12p'!$E43:$AB43,"DC")&gt;=6, "[CRITIQUE] Trop de DC !", IF('12p'!S43="", "", IF('12p'!S43="DC", "OK", IF(AND('12p'!S42&lt;&gt;"", '12p'!S42&lt;&gt;"DC", '12p'!S43='12p'!S42, '12p'!S43&lt;&gt;0), "[ALERTE] Score FIGÉ ?", IF(AND('12p'!S42&lt;&gt;"", '12p'!S42&lt;&gt;"DC", '12p'!S43&lt;'12p'!S42), "[ALERTE] Baisse anormale !", "OK")))))</f>
        <v>OK</v>
      </c>
      <c r="V48" s="127">
        <f>'12p'!K43</f>
        <v>0</v>
      </c>
      <c r="W48" s="142">
        <f t="shared" si="81"/>
        <v>0</v>
      </c>
      <c r="X48" s="197" cm="1">
        <f t="array" ref="X48">IF(OR(V48="DC",V48="",W48=0),0,IF(COUNTIF('12p'!$E43:$AB43,"DC")=1,INDEX(Table_11p,IF(W48=12,1,IF(W48=10,2,14-W48)),3),IF(COUNTIF('12p'!$E43:$AB43,"DC")=2,INDEX(Table_10p,IF(W48=11,1,IF(W48=9,2,12-W48)),3),IF(COUNTIF('12p'!$E43:$AB43,"DC")&gt;=3,INDEX(Table_9p_or_less,10-W48,3),0))))</f>
        <v>0</v>
      </c>
      <c r="Y48" s="143">
        <f t="shared" si="82"/>
        <v>0</v>
      </c>
      <c r="Z48" s="189">
        <f t="shared" si="83"/>
        <v>0</v>
      </c>
      <c r="AA48" s="145">
        <f t="shared" si="84"/>
        <v>0</v>
      </c>
      <c r="AB48" s="161" t="str">
        <f>IF(COUNTIF('12p'!$E43:$AB43,"DC")&gt;=6, "[CRITIQUE] Trop de DC !", IF('12p'!Z43="", "", IF('12p'!Z43="DC", "OK", IF(AND('12p'!Z42&lt;&gt;"", '12p'!Z42&lt;&gt;"DC", '12p'!Z43='12p'!Z42, '12p'!Z43&lt;&gt;0), "[ALERTE] Score FIGÉ ?", IF(AND('12p'!Z42&lt;&gt;"", '12p'!Z42&lt;&gt;"DC", '12p'!Z43&lt;'12p'!Z42), "[ALERTE] Baisse anormale !", "OK")))))</f>
        <v/>
      </c>
      <c r="AC48" s="127">
        <f>'12p'!M43</f>
        <v>0</v>
      </c>
      <c r="AD48" s="142" cm="1">
        <f t="array" ref="AD48">IF(OR(AC48="",AC48="DC"), 0, AC48 - IFERROR(VLOOKUP("???",IF({1;0},"",INDEX(AC$11:AC47,MAX(IF(AC$11:AC47&lt;&gt;"",IF(AC$11:AC47&lt;&gt;"DC",ROW(AC$11:AC47)-MIN(ROW(AC$11:AC47))+1))))),1,FALSE),0))</f>
        <v>0</v>
      </c>
      <c r="AE48" s="197">
        <f>IF(OR('12p'!AG43="X", '12p'!AG43="DC", '12p'!AG43="", COUNTIF('12p'!$E43:$AB43,"DC")&gt;=6), 0, IFERROR(VLOOKUP('12p'!AG43, Bareme, IF(COUNTIF('12p'!$E43:$AB43,"DC")=2, 4, IF(COUNTIF('12p'!$E43:$AB43,"DC")=4, 6, 0)), FALSE), 0))</f>
        <v>0</v>
      </c>
      <c r="AF48" s="143">
        <f>IF(AND(AC48="DC", COUNTIF('12p'!$E43:$AB43,"DC")&lt;6), 1, 0)</f>
        <v>0</v>
      </c>
      <c r="AG48" s="144">
        <f>SUM('12p'!AG43, AE48, AF48)</f>
        <v>0</v>
      </c>
      <c r="AH48" s="145">
        <f>IF(AC48="DC", AH47+AF48, SUMIF(AC$11:AC48, "&gt;0") + SUM(AF$11:AF48))</f>
        <v>663</v>
      </c>
      <c r="AI48" s="161" t="str">
        <f>IF(COUNTIF('12p'!$E43:$AB43,"DC")&gt;=6, "[CRITIQUE] Trop de DC !", IF('12p'!AG43="", "", IF('12p'!AG43="DC", "OK", IF(AND('12p'!AG42&lt;&gt;"", '12p'!AG42&lt;&gt;"DC", '12p'!AG43='12p'!AG42, '12p'!AG43&lt;&gt;0), "[ALERTE] Score FIGÉ ?", IF(AND('12p'!AG42&lt;&gt;"", '12p'!AG42&lt;&gt;"DC", '12p'!AG43&lt;'12p'!AG42), "[ALERTE] Baisse anormale !", "OK")))))</f>
        <v/>
      </c>
      <c r="AJ48" s="127">
        <f>'12p'!O43</f>
        <v>0</v>
      </c>
      <c r="AK48" s="142" cm="1">
        <f t="array" ref="AK48">IF(OR(AJ48="",AJ48="DC"), 0, AJ48 - IFERROR(VLOOKUP("???",IF({1;0},"",INDEX(AJ$11:AJ47,MAX(IF(AJ$11:AJ47&lt;&gt;"",IF(AJ$11:AJ47&lt;&gt;"DC",ROW(AJ$11:AJ47)-MIN(ROW(AJ$11:AJ47))+1))))),1,FALSE),0))</f>
        <v>0</v>
      </c>
      <c r="AL48" s="197">
        <f>IF(OR('12p'!AN43="X", '12p'!AN43="DC", '12p'!AN43="", COUNTIF('12p'!$E43:$AB43,"DC")&gt;=6), 0, IFERROR(VLOOKUP('12p'!AN43, Bareme, IF(COUNTIF('12p'!$E43:$AB43,"DC")=2, 4, IF(COUNTIF('12p'!$E43:$AB43,"DC")=4, 6, 0)), FALSE), 0))</f>
        <v>0</v>
      </c>
      <c r="AM48" s="143">
        <f>IF(AND(AJ48="DC", COUNTIF('12p'!$E43:$AB43,"DC")&lt;6), 1, 0)</f>
        <v>0</v>
      </c>
      <c r="AN48" s="144">
        <f>SUM('12p'!AN43, AL48, AM48)</f>
        <v>0</v>
      </c>
      <c r="AO48" s="145">
        <f>IF(AJ48="DC", AO47+AM48, SUMIF(AJ$11:AJ48, "&gt;0") + SUM(AM$11:AM48))</f>
        <v>469</v>
      </c>
      <c r="AP48" s="161" t="str">
        <f>IF(COUNTIF('12p'!$E43:$AB43,"DC")&gt;=6, "[CRITIQUE] Trop de DC !", IF('12p'!AN43="", "", IF('12p'!AN43="DC", "OK", IF(AND('12p'!AN42&lt;&gt;"", '12p'!AN42&lt;&gt;"DC", '12p'!AN43='12p'!AN42, '12p'!AN43&lt;&gt;0), "[ALERTE] Score FIGÉ ?", IF(AND('12p'!AN42&lt;&gt;"", '12p'!AN42&lt;&gt;"DC", '12p'!AN43&lt;'12p'!AN42), "[ALERTE] Baisse anormale !", "OK")))))</f>
        <v/>
      </c>
      <c r="AQ48" s="127">
        <f>'12p'!Q43</f>
        <v>0</v>
      </c>
      <c r="AR48" s="142" cm="1">
        <f t="array" ref="AR48">IF(OR(AQ48="",AQ48="DC"), 0, AQ48 - IFERROR(VLOOKUP("???",IF({1;0},"",INDEX(AQ$11:AQ47,MAX(IF(AQ$11:AQ47&lt;&gt;"",IF(AQ$11:AQ47&lt;&gt;"DC",ROW(AQ$11:AQ47)-MIN(ROW(AQ$11:AQ47))+1))))),1,FALSE),0))</f>
        <v>0</v>
      </c>
      <c r="AS48" s="197">
        <f>IF(OR('12p'!AU43="X", '12p'!AU43="DC", '12p'!AU43="", COUNTIF('12p'!$E43:$AB43,"DC")&gt;=6), 0, IFERROR(VLOOKUP('12p'!AU43, Bareme, IF(COUNTIF('12p'!$E43:$AB43,"DC")=2, 4, IF(COUNTIF('12p'!$E43:$AB43,"DC")=4, 6, 0)), FALSE), 0))</f>
        <v>0</v>
      </c>
      <c r="AT48" s="143">
        <f>IF(AND(AQ48="DC", COUNTIF('12p'!$E43:$AB43,"DC")&lt;6), 1, 0)</f>
        <v>0</v>
      </c>
      <c r="AU48" s="144">
        <f>SUM('12p'!AU43, AS48, AT48)</f>
        <v>0</v>
      </c>
      <c r="AV48" s="145">
        <f>IF(AQ48="DC", AV47+AT48, SUMIF(AQ$11:AQ48, "&gt;0") + SUM(AT$11:AT48))</f>
        <v>654</v>
      </c>
      <c r="AW48" s="161" t="str">
        <f>IF(COUNTIF('12p'!$E43:$AB43,"DC")&gt;=6, "[CRITIQUE] Trop de DC !", IF('12p'!AU43="", "", IF('12p'!AU43="DC", "OK", IF(AND('12p'!AU42&lt;&gt;"", '12p'!AU42&lt;&gt;"DC", '12p'!AU43='12p'!AU42, '12p'!AU43&lt;&gt;0), "[ALERTE] Score FIGÉ ?", IF(AND('12p'!AU42&lt;&gt;"", '12p'!AU42&lt;&gt;"DC", '12p'!AU43&lt;'12p'!AU42), "[ALERTE] Baisse anormale !", "OK")))))</f>
        <v/>
      </c>
      <c r="AX48" s="127">
        <f>'12p'!S43</f>
        <v>0</v>
      </c>
      <c r="AY48" s="142" cm="1">
        <f t="array" ref="AY48">IF(OR(AX48="",AX48="DC"), 0, AX48 - IFERROR(VLOOKUP("???",IF({1;0},"",INDEX(AX$11:AX47,MAX(IF(AX$11:AX47&lt;&gt;"",IF(AX$11:AX47&lt;&gt;"DC",ROW(AX$11:AX47)-MIN(ROW(AX$11:AX47))+1))))),1,FALSE),0))</f>
        <v>0</v>
      </c>
      <c r="AZ48" s="197">
        <f>IF(OR('12p'!BB43="X", '12p'!BB43="DC", '12p'!BB43="", COUNTIF('12p'!$E43:$AB43,"DC")&gt;=6), 0, IFERROR(VLOOKUP('12p'!BB43, Bareme, IF(COUNTIF('12p'!$E43:$AB43,"DC")=2, 4, IF(COUNTIF('12p'!$E43:$AB43,"DC")=4, 6, 0)), FALSE), 0))</f>
        <v>0</v>
      </c>
      <c r="BA48" s="143">
        <f>IF(AND(AX48="DC", COUNTIF('12p'!$E43:$AB43,"DC")&lt;6), 1, 0)</f>
        <v>0</v>
      </c>
      <c r="BB48" s="144">
        <f>SUM('12p'!BB43, AZ48, BA48)</f>
        <v>0</v>
      </c>
      <c r="BC48" s="145">
        <f>IF(AX48="DC", BC47+BA48, SUMIF(AX$11:AX48, "&gt;0") + SUM(BA$11:BA48))</f>
        <v>239</v>
      </c>
      <c r="BD48" s="161" t="str">
        <f>IF(COUNTIF('12p'!$E43:$AB43,"DC")&gt;=6, "[CRITIQUE] Trop de DC !", IF('12p'!BB43="", "", IF('12p'!BB43="DC", "OK", IF(AND('12p'!BB42&lt;&gt;"", '12p'!BB42&lt;&gt;"DC", '12p'!BB43='12p'!BB42, '12p'!BB43&lt;&gt;0), "[ALERTE] Score FIGÉ ?", IF(AND('12p'!BB42&lt;&gt;"", '12p'!BB42&lt;&gt;"DC", '12p'!BB43&lt;'12p'!BB42), "[ALERTE] Baisse anormale !", "OK")))))</f>
        <v/>
      </c>
      <c r="BE48" s="127">
        <f>'12p'!U43</f>
        <v>0</v>
      </c>
      <c r="BF48" s="142" cm="1">
        <f t="array" ref="BF48">IF(OR(BE48="",BE48="DC"), 0, BE48 - IFERROR(VLOOKUP("???",IF({1;0},"",INDEX(BE$11:BE47,MAX(IF(BE$11:BE47&lt;&gt;"",IF(BE$11:BE47&lt;&gt;"DC",ROW(BE$11:BE47)-MIN(ROW(BE$11:BE47))+1))))),1,FALSE),0))</f>
        <v>0</v>
      </c>
      <c r="BG48" s="197">
        <f>IF(OR('12p'!BI43="X", '12p'!BI43="DC", '12p'!BI43="", COUNTIF('12p'!$E43:$AB43,"DC")&gt;=6), 0, IFERROR(VLOOKUP('12p'!BI43, Bareme, IF(COUNTIF('12p'!$E43:$AB43,"DC")=2, 4, IF(COUNTIF('12p'!$E43:$AB43,"DC")=4, 6, 0)), FALSE), 0))</f>
        <v>0</v>
      </c>
      <c r="BH48" s="143">
        <f>IF(AND(BE48="DC", COUNTIF('12p'!$E43:$AB43,"DC")&lt;6), 1, 0)</f>
        <v>0</v>
      </c>
      <c r="BI48" s="144">
        <f>SUM('12p'!BI43, BG48, BH48)</f>
        <v>0</v>
      </c>
      <c r="BJ48" s="145">
        <f>IF(BE48="DC", BJ47+BH48, SUMIF(BE$11:BE48, "&gt;0") + SUM(BH$11:BH48))</f>
        <v>445</v>
      </c>
      <c r="BK48" s="161" t="str">
        <f>IF(COUNTIF('12p'!$E43:$AB43,"DC")&gt;=6, "[CRITIQUE] Trop de DC !", IF('12p'!BI43="", "", IF('12p'!BI43="DC", "OK", IF(AND('12p'!BI42&lt;&gt;"", '12p'!BI42&lt;&gt;"DC", '12p'!BI43='12p'!BI42, '12p'!BI43&lt;&gt;0), "[ALERTE] Score FIGÉ ?", IF(AND('12p'!BI42&lt;&gt;"", '12p'!BI42&lt;&gt;"DC", '12p'!BI43&lt;'12p'!BI42), "[ALERTE] Baisse anormale !", "OK")))))</f>
        <v/>
      </c>
      <c r="BL48" s="127">
        <f>'12p'!W43</f>
        <v>0</v>
      </c>
      <c r="BM48" s="142" cm="1">
        <f t="array" ref="BM48">IF(OR(BL48="",BL48="DC"), 0, BL48 - IFERROR(VLOOKUP("???",IF({1;0},"",INDEX(BL$11:BL47,MAX(IF(BL$11:BL47&lt;&gt;"",IF(BL$11:BL47&lt;&gt;"DC",ROW(BL$11:BL47)-MIN(ROW(BL$11:BL47))+1))))),1,FALSE),0))</f>
        <v>0</v>
      </c>
      <c r="BN48" s="197">
        <f>IF(OR('12p'!BP43="X", '12p'!BP43="DC", '12p'!BP43="", COUNTIF('12p'!$E43:$AB43,"DC")&gt;=6), 0, IFERROR(VLOOKUP('12p'!BP43, Bareme, IF(COUNTIF('12p'!$E43:$AB43,"DC")=2, 4, IF(COUNTIF('12p'!$E43:$AB43,"DC")=4, 6, 0)), FALSE), 0))</f>
        <v>0</v>
      </c>
      <c r="BO48" s="143">
        <f>IF(AND(BL48="DC", COUNTIF('12p'!$E43:$AB43,"DC")&lt;6), 1, 0)</f>
        <v>0</v>
      </c>
      <c r="BP48" s="144">
        <f>SUM('12p'!BP43, BN48, BO48)</f>
        <v>0</v>
      </c>
      <c r="BQ48" s="145">
        <f>IF(BL48="DC", BQ47+BO48, SUMIF(BL$11:BL48, "&gt;0") + SUM(BO$11:BO48))</f>
        <v>384</v>
      </c>
      <c r="BR48" s="161" t="str">
        <f>IF(COUNTIF('12p'!$E43:$AB43,"DC")&gt;=6, "[CRITIQUE] Trop de DC !", IF('12p'!BP43="", "", IF('12p'!BP43="DC", "OK", IF(AND('12p'!BP42&lt;&gt;"", '12p'!BP42&lt;&gt;"DC", '12p'!BP43='12p'!BP42, '12p'!BP43&lt;&gt;0), "[ALERTE] Score FIGÉ ?", IF(AND('12p'!BP42&lt;&gt;"", '12p'!BP42&lt;&gt;"DC", '12p'!BP43&lt;'12p'!BP42), "[ALERTE] Baisse anormale !", "OK")))))</f>
        <v/>
      </c>
      <c r="BS48" s="127">
        <f>'12p'!Y43</f>
        <v>0</v>
      </c>
      <c r="BT48" s="142" cm="1">
        <f t="array" ref="BT48">IF(OR(BS48="",BS48="DC"), 0, BS48 - IFERROR(VLOOKUP("???",IF({1;0},"",INDEX(BS$11:BS47,MAX(IF(BS$11:BS47&lt;&gt;"",IF(BS$11:BS47&lt;&gt;"DC",ROW(BS$11:BS47)-MIN(ROW(BS$11:BS47))+1))))),1,FALSE),0))</f>
        <v>0</v>
      </c>
      <c r="BU48" s="197">
        <f>IF(OR('12p'!BW43="X", '12p'!BW43="DC", '12p'!BW43="", COUNTIF('12p'!$E43:$AB43,"DC")&gt;=6), 0, IFERROR(VLOOKUP('12p'!BW43, Bareme, IF(COUNTIF('12p'!$E43:$AB43,"DC")=2, 4, IF(COUNTIF('12p'!$E43:$AB43,"DC")=4, 6, 0)), FALSE), 0))</f>
        <v>0</v>
      </c>
      <c r="BV48" s="143">
        <f>IF(AND(BS48="DC", COUNTIF('12p'!$E43:$AB43,"DC")&lt;6), 1, 0)</f>
        <v>0</v>
      </c>
      <c r="BW48" s="144">
        <f>SUM('12p'!BW43, BU48, BV48)</f>
        <v>0</v>
      </c>
      <c r="BX48" s="145">
        <f>IF(BS48="DC", BX47+BV48, SUMIF(BS$11:BS48, "&gt;0") + SUM(BV$11:BV48))</f>
        <v>492</v>
      </c>
      <c r="BY48" s="161" t="str">
        <f>IF(COUNTIF('12p'!$E43:$AB43,"DC")&gt;=6, "[CRITIQUE] Trop de DC !", IF('12p'!BW43="", "", IF('12p'!BW43="DC", "OK", IF(AND('12p'!BW42&lt;&gt;"", '12p'!BW42&lt;&gt;"DC", '12p'!BW43='12p'!BW42, '12p'!BW43&lt;&gt;0), "[ALERTE] Score FIGÉ ?", IF(AND('12p'!BW42&lt;&gt;"", '12p'!BW42&lt;&gt;"DC", '12p'!BW43&lt;'12p'!BW42), "[ALERTE] Baisse anormale !", "OK")))))</f>
        <v/>
      </c>
      <c r="BZ48" s="127">
        <f>'12p'!AA43</f>
        <v>0</v>
      </c>
      <c r="CA48" s="142" cm="1">
        <f t="array" ref="CA48">IF(OR(BZ48="",BZ48="DC"), 0, BZ48 - IFERROR(VLOOKUP("???",IF({1;0},"",INDEX(BZ$11:BZ47,MAX(IF(BZ$11:BZ47&lt;&gt;"",IF(BZ$11:BZ47&lt;&gt;"DC",ROW(BZ$11:BZ47)-MIN(ROW(BZ$11:BZ47))+1))))),1,FALSE),0))</f>
        <v>0</v>
      </c>
      <c r="CB48" s="197">
        <f>IF(OR('12p'!CD43="X", '12p'!CD43="DC", '12p'!CD43="", COUNTIF('12p'!$E43:$AB43,"DC")&gt;=6), 0, IFERROR(VLOOKUP('12p'!CD43, Bareme, IF(COUNTIF('12p'!$E43:$AB43,"DC")=2, 4, IF(COUNTIF('12p'!$E43:$AB43,"DC")=4, 6, 0)), FALSE), 0))</f>
        <v>0</v>
      </c>
      <c r="CC48" s="143">
        <f>IF(AND(BZ48="DC", COUNTIF('12p'!$E43:$AB43,"DC")&lt;6), 1, 0)</f>
        <v>0</v>
      </c>
      <c r="CD48" s="144">
        <f>SUM('12p'!CD43, CB48, CC48)</f>
        <v>0</v>
      </c>
      <c r="CE48" s="145">
        <f>IF(BZ48="DC", CE47+CC48, SUMIF(BZ$11:BZ48, "&gt;0") + SUM(CC$11:CC48))</f>
        <v>614</v>
      </c>
      <c r="CF48" s="161" t="str">
        <f>IF(COUNTIF('12p'!$E43:$AB43,"DC")&gt;=6, "[CRITIQUE] Trop de DC !", IF('12p'!CD43="", "", IF('12p'!CD43="DC", "OK", IF(AND('12p'!CD42&lt;&gt;"", '12p'!CD42&lt;&gt;"DC", '12p'!CD43='12p'!CD42, '12p'!CD43&lt;&gt;0), "[ALERTE] Score FIGÉ ?", IF(AND('12p'!CD42&lt;&gt;"", '12p'!CD42&lt;&gt;"DC", '12p'!CD43&lt;'12p'!CD42), "[ALERTE] Baisse anormale !", "OK")))))</f>
        <v/>
      </c>
      <c r="CG48" s="108"/>
      <c r="CH48" s="108"/>
      <c r="CI48" s="199"/>
      <c r="CJ48" s="199"/>
      <c r="CK48" s="199"/>
      <c r="CL48" s="199"/>
      <c r="CM48" s="136"/>
      <c r="CN48" s="199"/>
      <c r="CO48" s="199"/>
      <c r="CP48" s="199"/>
      <c r="CQ48" s="199"/>
      <c r="CR48" s="199"/>
      <c r="CS48" s="136"/>
      <c r="CT48" s="199"/>
      <c r="CU48" s="199"/>
      <c r="CV48" s="199"/>
      <c r="CW48" s="199"/>
      <c r="CX48" s="199"/>
      <c r="CY48" s="136"/>
      <c r="CZ48" s="199"/>
      <c r="DA48" s="199"/>
      <c r="DB48" s="199"/>
      <c r="DC48" s="199"/>
      <c r="DD48" s="199"/>
      <c r="DE48" s="136"/>
      <c r="DF48" s="199"/>
      <c r="DG48" s="199"/>
      <c r="DH48" s="199"/>
      <c r="DI48" s="199"/>
      <c r="DJ48" s="199"/>
      <c r="DK48" s="136"/>
      <c r="DL48" s="199"/>
      <c r="DM48" s="199"/>
      <c r="DN48" s="199"/>
      <c r="DO48" s="199"/>
      <c r="DP48" s="199"/>
      <c r="DQ48" s="136"/>
      <c r="DR48" s="199"/>
      <c r="DS48" s="199"/>
      <c r="DT48" s="199"/>
      <c r="DU48" s="199"/>
      <c r="DV48" s="199"/>
      <c r="DW48" s="136"/>
      <c r="DX48" s="199"/>
      <c r="DY48" s="199"/>
      <c r="DZ48" s="199"/>
      <c r="EA48" s="199"/>
      <c r="EB48" s="199"/>
      <c r="EC48" s="136"/>
      <c r="ED48" s="199"/>
      <c r="EE48" s="199"/>
      <c r="EF48" s="199"/>
      <c r="EG48" s="199"/>
    </row>
    <row r="49" spans="1:86" x14ac:dyDescent="0.25">
      <c r="A49" s="127">
        <f>'12p'!E44</f>
        <v>0</v>
      </c>
      <c r="B49" s="142">
        <f t="shared" si="69"/>
        <v>0</v>
      </c>
      <c r="C49" s="197" cm="1">
        <f t="array" ref="C49">IF(OR(A49="DC",A49="",B49=0),0,IF(COUNTIF('12p'!$E44:$AB44,"DC")=1,INDEX(Table_11p,IF(B49=12,1,IF(B49=10,2,14-B49)),3),IF(COUNTIF('12p'!$E44:$AB44,"DC")=2,INDEX(Table_10p,IF(B49=11,1,IF(B49=9,2,12-B49)),3),IF(COUNTIF('12p'!$E44:$AB44,"DC")&gt;=3,INDEX(Table_9p_or_less,10-B49,3),0))))</f>
        <v>0</v>
      </c>
      <c r="D49" s="143">
        <f t="shared" si="70"/>
        <v>0</v>
      </c>
      <c r="E49" s="189">
        <f t="shared" si="71"/>
        <v>0</v>
      </c>
      <c r="F49" s="145">
        <f t="shared" si="72"/>
        <v>0</v>
      </c>
      <c r="G49" s="161" t="str">
        <f>IF(COUNTIF('12p'!$E44:$AB44,"DC")&gt;=6, "[CRITIQUE] Trop de DC !", IF('12p'!E44="", "", IF('12p'!E44="DC", "OK", IF(AND('12p'!E43&lt;&gt;"", '12p'!E43&lt;&gt;"DC", '12p'!E44='12p'!E43, '12p'!E44&lt;&gt;0), "[ALERTE] Score FIGÉ ?", IF(AND('12p'!E43&lt;&gt;"", '12p'!E43&lt;&gt;"DC", '12p'!E44&lt;'12p'!E43), "[ALERTE] Baisse anormale !", "OK")))))</f>
        <v/>
      </c>
      <c r="H49" s="127">
        <f>'12p'!G44</f>
        <v>0</v>
      </c>
      <c r="I49" s="142">
        <f t="shared" si="73"/>
        <v>0</v>
      </c>
      <c r="J49" s="197" cm="1">
        <f t="array" ref="J49">IF(OR(H49="DC",H49="",I49=0),0,IF(COUNTIF('12p'!$E44:$AB44,"DC")=1,INDEX(Table_11p,IF(I49=12,1,IF(I49=10,2,14-I49)),3),IF(COUNTIF('12p'!$E44:$AB44,"DC")=2,INDEX(Table_10p,IF(I49=11,1,IF(I49=9,2,12-I49)),3),IF(COUNTIF('12p'!$E44:$AB44,"DC")&gt;=3,INDEX(Table_9p_or_less,10-I49,3),0))))</f>
        <v>0</v>
      </c>
      <c r="K49" s="143">
        <f t="shared" si="74"/>
        <v>0</v>
      </c>
      <c r="L49" s="189">
        <f t="shared" si="75"/>
        <v>0</v>
      </c>
      <c r="M49" s="145">
        <f t="shared" si="76"/>
        <v>0</v>
      </c>
      <c r="N49" s="161" t="str">
        <f>IF(COUNTIF('12p'!$E44:$AB44,"DC")&gt;=6, "[CRITIQUE] Trop de DC !", IF('12p'!L44="", "", IF('12p'!L44="DC", "OK", IF(AND('12p'!L43&lt;&gt;"", '12p'!L43&lt;&gt;"DC", '12p'!L44='12p'!L43, '12p'!L44&lt;&gt;0), "[ALERTE] Score FIGÉ ?", IF(AND('12p'!L43&lt;&gt;"", '12p'!L43&lt;&gt;"DC", '12p'!L44&lt;'12p'!L43), "[ALERTE] Baisse anormale !", "OK")))))</f>
        <v/>
      </c>
      <c r="O49" s="127">
        <f>'12p'!I44</f>
        <v>0</v>
      </c>
      <c r="P49" s="142">
        <f t="shared" si="77"/>
        <v>0</v>
      </c>
      <c r="Q49" s="197" cm="1">
        <f t="array" ref="Q49">IF(OR(O49="DC",O49="",P49=0),0,IF(COUNTIF('12p'!$E44:$AB44,"DC")=1,INDEX(Table_11p,IF(P49=12,1,IF(P49=10,2,14-P49)),3),IF(COUNTIF('12p'!$E44:$AB44,"DC")=2,INDEX(Table_10p,IF(P49=11,1,IF(P49=9,2,12-P49)),3),IF(COUNTIF('12p'!$E44:$AB44,"DC")&gt;=3,INDEX(Table_9p_or_less,10-P49,3),0))))</f>
        <v>0</v>
      </c>
      <c r="R49" s="143">
        <f t="shared" si="78"/>
        <v>0</v>
      </c>
      <c r="S49" s="189">
        <f t="shared" si="79"/>
        <v>0</v>
      </c>
      <c r="T49" s="145">
        <f t="shared" si="80"/>
        <v>0</v>
      </c>
      <c r="U49" s="161" t="str">
        <f>IF(COUNTIF('12p'!$E44:$AB44,"DC")&gt;=6, "[CRITIQUE] Trop de DC !", IF('12p'!S44="", "", IF('12p'!S44="DC", "OK", IF(AND('12p'!S43&lt;&gt;"", '12p'!S43&lt;&gt;"DC", '12p'!S44='12p'!S43, '12p'!S44&lt;&gt;0), "[ALERTE] Score FIGÉ ?", IF(AND('12p'!S43&lt;&gt;"", '12p'!S43&lt;&gt;"DC", '12p'!S44&lt;'12p'!S43), "[ALERTE] Baisse anormale !", "OK")))))</f>
        <v/>
      </c>
      <c r="V49" s="127">
        <f>'12p'!K44</f>
        <v>0</v>
      </c>
      <c r="W49" s="142">
        <f t="shared" si="81"/>
        <v>0</v>
      </c>
      <c r="X49" s="197" cm="1">
        <f t="array" ref="X49">IF(OR(V49="DC",V49="",W49=0),0,IF(COUNTIF('12p'!$E44:$AB44,"DC")=1,INDEX(Table_11p,IF(W49=12,1,IF(W49=10,2,14-W49)),3),IF(COUNTIF('12p'!$E44:$AB44,"DC")=2,INDEX(Table_10p,IF(W49=11,1,IF(W49=9,2,12-W49)),3),IF(COUNTIF('12p'!$E44:$AB44,"DC")&gt;=3,INDEX(Table_9p_or_less,10-W49,3),0))))</f>
        <v>0</v>
      </c>
      <c r="Y49" s="143">
        <f t="shared" si="82"/>
        <v>0</v>
      </c>
      <c r="Z49" s="189">
        <f t="shared" si="83"/>
        <v>0</v>
      </c>
      <c r="AA49" s="145">
        <f t="shared" si="84"/>
        <v>0</v>
      </c>
      <c r="AB49" s="161" t="str">
        <f>IF(COUNTIF('12p'!$E44:$AB44,"DC")&gt;=6, "[CRITIQUE] Trop de DC !", IF('12p'!Z44="", "", IF('12p'!Z44="DC", "OK", IF(AND('12p'!Z43&lt;&gt;"", '12p'!Z43&lt;&gt;"DC", '12p'!Z44='12p'!Z43, '12p'!Z44&lt;&gt;0), "[ALERTE] Score FIGÉ ?", IF(AND('12p'!Z43&lt;&gt;"", '12p'!Z43&lt;&gt;"DC", '12p'!Z44&lt;'12p'!Z43), "[ALERTE] Baisse anormale !", "OK")))))</f>
        <v/>
      </c>
      <c r="AC49" s="127">
        <f>'12p'!M44</f>
        <v>0</v>
      </c>
      <c r="AD49" s="142" cm="1">
        <f t="array" ref="AD49">IF(OR(AC49="",AC49="DC"), 0, AC49 - IFERROR(VLOOKUP("???",IF({1;0},"",INDEX(AC$11:AC48,MAX(IF(AC$11:AC48&lt;&gt;"",IF(AC$11:AC48&lt;&gt;"DC",ROW(AC$11:AC48)-MIN(ROW(AC$11:AC48))+1))))),1,FALSE),0))</f>
        <v>0</v>
      </c>
      <c r="AE49" s="197">
        <f>IF(OR('12p'!AG44="X", '12p'!AG44="DC", '12p'!AG44="", COUNTIF('12p'!$E44:$AB44,"DC")&gt;=6), 0, IFERROR(VLOOKUP('12p'!AG44, Bareme, IF(COUNTIF('12p'!$E44:$AB44,"DC")=2, 4, IF(COUNTIF('12p'!$E44:$AB44,"DC")=4, 6, 0)), FALSE), 0))</f>
        <v>0</v>
      </c>
      <c r="AF49" s="143">
        <f>IF(AND(AC49="DC", COUNTIF('12p'!$E44:$AB44,"DC")&lt;6), 1, 0)</f>
        <v>0</v>
      </c>
      <c r="AG49" s="144">
        <f>SUM('12p'!AG44, AE49, AF49)</f>
        <v>0</v>
      </c>
      <c r="AH49" s="145">
        <f>IF(AC49="DC", AH48+AF49, SUMIF(AC$11:AC49, "&gt;0") + SUM(AF$11:AF49))</f>
        <v>663</v>
      </c>
      <c r="AI49" s="161" t="str">
        <f>IF(COUNTIF('12p'!$E44:$AB44,"DC")&gt;=6, "[CRITIQUE] Trop de DC !", IF('12p'!AG44="", "", IF('12p'!AG44="DC", "OK", IF(AND('12p'!AG43&lt;&gt;"", '12p'!AG43&lt;&gt;"DC", '12p'!AG44='12p'!AG43, '12p'!AG44&lt;&gt;0), "[ALERTE] Score FIGÉ ?", IF(AND('12p'!AG43&lt;&gt;"", '12p'!AG43&lt;&gt;"DC", '12p'!AG44&lt;'12p'!AG43), "[ALERTE] Baisse anormale !", "OK")))))</f>
        <v/>
      </c>
      <c r="AJ49" s="127">
        <f>'12p'!O44</f>
        <v>0</v>
      </c>
      <c r="AK49" s="142" cm="1">
        <f t="array" ref="AK49">IF(OR(AJ49="",AJ49="DC"), 0, AJ49 - IFERROR(VLOOKUP("???",IF({1;0},"",INDEX(AJ$11:AJ48,MAX(IF(AJ$11:AJ48&lt;&gt;"",IF(AJ$11:AJ48&lt;&gt;"DC",ROW(AJ$11:AJ48)-MIN(ROW(AJ$11:AJ48))+1))))),1,FALSE),0))</f>
        <v>0</v>
      </c>
      <c r="AL49" s="197">
        <f>IF(OR('12p'!AN44="X", '12p'!AN44="DC", '12p'!AN44="", COUNTIF('12p'!$E44:$AB44,"DC")&gt;=6), 0, IFERROR(VLOOKUP('12p'!AN44, Bareme, IF(COUNTIF('12p'!$E44:$AB44,"DC")=2, 4, IF(COUNTIF('12p'!$E44:$AB44,"DC")=4, 6, 0)), FALSE), 0))</f>
        <v>0</v>
      </c>
      <c r="AM49" s="143">
        <f>IF(AND(AJ49="DC", COUNTIF('12p'!$E44:$AB44,"DC")&lt;6), 1, 0)</f>
        <v>0</v>
      </c>
      <c r="AN49" s="144">
        <f>SUM('12p'!AN44, AL49, AM49)</f>
        <v>0</v>
      </c>
      <c r="AO49" s="145">
        <f>IF(AJ49="DC", AO48+AM49, SUMIF(AJ$11:AJ49, "&gt;0") + SUM(AM$11:AM49))</f>
        <v>469</v>
      </c>
      <c r="AP49" s="161" t="str">
        <f>IF(COUNTIF('12p'!$E44:$AB44,"DC")&gt;=6, "[CRITIQUE] Trop de DC !", IF('12p'!AN44="", "", IF('12p'!AN44="DC", "OK", IF(AND('12p'!AN43&lt;&gt;"", '12p'!AN43&lt;&gt;"DC", '12p'!AN44='12p'!AN43, '12p'!AN44&lt;&gt;0), "[ALERTE] Score FIGÉ ?", IF(AND('12p'!AN43&lt;&gt;"", '12p'!AN43&lt;&gt;"DC", '12p'!AN44&lt;'12p'!AN43), "[ALERTE] Baisse anormale !", "OK")))))</f>
        <v/>
      </c>
      <c r="AQ49" s="127">
        <f>'12p'!Q44</f>
        <v>0</v>
      </c>
      <c r="AR49" s="142" cm="1">
        <f t="array" ref="AR49">IF(OR(AQ49="",AQ49="DC"), 0, AQ49 - IFERROR(VLOOKUP("???",IF({1;0},"",INDEX(AQ$11:AQ48,MAX(IF(AQ$11:AQ48&lt;&gt;"",IF(AQ$11:AQ48&lt;&gt;"DC",ROW(AQ$11:AQ48)-MIN(ROW(AQ$11:AQ48))+1))))),1,FALSE),0))</f>
        <v>0</v>
      </c>
      <c r="AS49" s="197">
        <f>IF(OR('12p'!AU44="X", '12p'!AU44="DC", '12p'!AU44="", COUNTIF('12p'!$E44:$AB44,"DC")&gt;=6), 0, IFERROR(VLOOKUP('12p'!AU44, Bareme, IF(COUNTIF('12p'!$E44:$AB44,"DC")=2, 4, IF(COUNTIF('12p'!$E44:$AB44,"DC")=4, 6, 0)), FALSE), 0))</f>
        <v>0</v>
      </c>
      <c r="AT49" s="143">
        <f>IF(AND(AQ49="DC", COUNTIF('12p'!$E44:$AB44,"DC")&lt;6), 1, 0)</f>
        <v>0</v>
      </c>
      <c r="AU49" s="144">
        <f>SUM('12p'!AU44, AS49, AT49)</f>
        <v>0</v>
      </c>
      <c r="AV49" s="145">
        <f>IF(AQ49="DC", AV48+AT49, SUMIF(AQ$11:AQ49, "&gt;0") + SUM(AT$11:AT49))</f>
        <v>654</v>
      </c>
      <c r="AW49" s="161" t="str">
        <f>IF(COUNTIF('12p'!$E44:$AB44,"DC")&gt;=6, "[CRITIQUE] Trop de DC !", IF('12p'!AU44="", "", IF('12p'!AU44="DC", "OK", IF(AND('12p'!AU43&lt;&gt;"", '12p'!AU43&lt;&gt;"DC", '12p'!AU44='12p'!AU43, '12p'!AU44&lt;&gt;0), "[ALERTE] Score FIGÉ ?", IF(AND('12p'!AU43&lt;&gt;"", '12p'!AU43&lt;&gt;"DC", '12p'!AU44&lt;'12p'!AU43), "[ALERTE] Baisse anormale !", "OK")))))</f>
        <v/>
      </c>
      <c r="AX49" s="127">
        <f>'12p'!S44</f>
        <v>0</v>
      </c>
      <c r="AY49" s="142" cm="1">
        <f t="array" ref="AY49">IF(OR(AX49="",AX49="DC"), 0, AX49 - IFERROR(VLOOKUP("???",IF({1;0},"",INDEX(AX$11:AX48,MAX(IF(AX$11:AX48&lt;&gt;"",IF(AX$11:AX48&lt;&gt;"DC",ROW(AX$11:AX48)-MIN(ROW(AX$11:AX48))+1))))),1,FALSE),0))</f>
        <v>0</v>
      </c>
      <c r="AZ49" s="197">
        <f>IF(OR('12p'!BB44="X", '12p'!BB44="DC", '12p'!BB44="", COUNTIF('12p'!$E44:$AB44,"DC")&gt;=6), 0, IFERROR(VLOOKUP('12p'!BB44, Bareme, IF(COUNTIF('12p'!$E44:$AB44,"DC")=2, 4, IF(COUNTIF('12p'!$E44:$AB44,"DC")=4, 6, 0)), FALSE), 0))</f>
        <v>0</v>
      </c>
      <c r="BA49" s="143">
        <f>IF(AND(AX49="DC", COUNTIF('12p'!$E44:$AB44,"DC")&lt;6), 1, 0)</f>
        <v>0</v>
      </c>
      <c r="BB49" s="144">
        <f>SUM('12p'!BB44, AZ49, BA49)</f>
        <v>0</v>
      </c>
      <c r="BC49" s="145">
        <f>IF(AX49="DC", BC48+BA49, SUMIF(AX$11:AX49, "&gt;0") + SUM(BA$11:BA49))</f>
        <v>239</v>
      </c>
      <c r="BD49" s="161" t="str">
        <f>IF(COUNTIF('12p'!$E44:$AB44,"DC")&gt;=6, "[CRITIQUE] Trop de DC !", IF('12p'!BB44="", "", IF('12p'!BB44="DC", "OK", IF(AND('12p'!BB43&lt;&gt;"", '12p'!BB43&lt;&gt;"DC", '12p'!BB44='12p'!BB43, '12p'!BB44&lt;&gt;0), "[ALERTE] Score FIGÉ ?", IF(AND('12p'!BB43&lt;&gt;"", '12p'!BB43&lt;&gt;"DC", '12p'!BB44&lt;'12p'!BB43), "[ALERTE] Baisse anormale !", "OK")))))</f>
        <v/>
      </c>
      <c r="BE49" s="127">
        <f>'12p'!U44</f>
        <v>0</v>
      </c>
      <c r="BF49" s="142" cm="1">
        <f t="array" ref="BF49">IF(OR(BE49="",BE49="DC"), 0, BE49 - IFERROR(VLOOKUP("???",IF({1;0},"",INDEX(BE$11:BE48,MAX(IF(BE$11:BE48&lt;&gt;"",IF(BE$11:BE48&lt;&gt;"DC",ROW(BE$11:BE48)-MIN(ROW(BE$11:BE48))+1))))),1,FALSE),0))</f>
        <v>0</v>
      </c>
      <c r="BG49" s="197">
        <f>IF(OR('12p'!BI44="X", '12p'!BI44="DC", '12p'!BI44="", COUNTIF('12p'!$E44:$AB44,"DC")&gt;=6), 0, IFERROR(VLOOKUP('12p'!BI44, Bareme, IF(COUNTIF('12p'!$E44:$AB44,"DC")=2, 4, IF(COUNTIF('12p'!$E44:$AB44,"DC")=4, 6, 0)), FALSE), 0))</f>
        <v>0</v>
      </c>
      <c r="BH49" s="143">
        <f>IF(AND(BE49="DC", COUNTIF('12p'!$E44:$AB44,"DC")&lt;6), 1, 0)</f>
        <v>0</v>
      </c>
      <c r="BI49" s="144">
        <f>SUM('12p'!BI44, BG49, BH49)</f>
        <v>0</v>
      </c>
      <c r="BJ49" s="145">
        <f>IF(BE49="DC", BJ48+BH49, SUMIF(BE$11:BE49, "&gt;0") + SUM(BH$11:BH49))</f>
        <v>445</v>
      </c>
      <c r="BK49" s="161" t="str">
        <f>IF(COUNTIF('12p'!$E44:$AB44,"DC")&gt;=6, "[CRITIQUE] Trop de DC !", IF('12p'!BI44="", "", IF('12p'!BI44="DC", "OK", IF(AND('12p'!BI43&lt;&gt;"", '12p'!BI43&lt;&gt;"DC", '12p'!BI44='12p'!BI43, '12p'!BI44&lt;&gt;0), "[ALERTE] Score FIGÉ ?", IF(AND('12p'!BI43&lt;&gt;"", '12p'!BI43&lt;&gt;"DC", '12p'!BI44&lt;'12p'!BI43), "[ALERTE] Baisse anormale !", "OK")))))</f>
        <v/>
      </c>
      <c r="BL49" s="127">
        <f>'12p'!W44</f>
        <v>0</v>
      </c>
      <c r="BM49" s="142" cm="1">
        <f t="array" ref="BM49">IF(OR(BL49="",BL49="DC"), 0, BL49 - IFERROR(VLOOKUP("???",IF({1;0},"",INDEX(BL$11:BL48,MAX(IF(BL$11:BL48&lt;&gt;"",IF(BL$11:BL48&lt;&gt;"DC",ROW(BL$11:BL48)-MIN(ROW(BL$11:BL48))+1))))),1,FALSE),0))</f>
        <v>0</v>
      </c>
      <c r="BN49" s="197">
        <f>IF(OR('12p'!BP44="X", '12p'!BP44="DC", '12p'!BP44="", COUNTIF('12p'!$E44:$AB44,"DC")&gt;=6), 0, IFERROR(VLOOKUP('12p'!BP44, Bareme, IF(COUNTIF('12p'!$E44:$AB44,"DC")=2, 4, IF(COUNTIF('12p'!$E44:$AB44,"DC")=4, 6, 0)), FALSE), 0))</f>
        <v>0</v>
      </c>
      <c r="BO49" s="143">
        <f>IF(AND(BL49="DC", COUNTIF('12p'!$E44:$AB44,"DC")&lt;6), 1, 0)</f>
        <v>0</v>
      </c>
      <c r="BP49" s="144">
        <f>SUM('12p'!BP44, BN49, BO49)</f>
        <v>0</v>
      </c>
      <c r="BQ49" s="145">
        <f>IF(BL49="DC", BQ48+BO49, SUMIF(BL$11:BL49, "&gt;0") + SUM(BO$11:BO49))</f>
        <v>384</v>
      </c>
      <c r="BR49" s="161" t="str">
        <f>IF(COUNTIF('12p'!$E44:$AB44,"DC")&gt;=6, "[CRITIQUE] Trop de DC !", IF('12p'!BP44="", "", IF('12p'!BP44="DC", "OK", IF(AND('12p'!BP43&lt;&gt;"", '12p'!BP43&lt;&gt;"DC", '12p'!BP44='12p'!BP43, '12p'!BP44&lt;&gt;0), "[ALERTE] Score FIGÉ ?", IF(AND('12p'!BP43&lt;&gt;"", '12p'!BP43&lt;&gt;"DC", '12p'!BP44&lt;'12p'!BP43), "[ALERTE] Baisse anormale !", "OK")))))</f>
        <v/>
      </c>
      <c r="BS49" s="127">
        <f>'12p'!Y44</f>
        <v>0</v>
      </c>
      <c r="BT49" s="142" cm="1">
        <f t="array" ref="BT49">IF(OR(BS49="",BS49="DC"), 0, BS49 - IFERROR(VLOOKUP("???",IF({1;0},"",INDEX(BS$11:BS48,MAX(IF(BS$11:BS48&lt;&gt;"",IF(BS$11:BS48&lt;&gt;"DC",ROW(BS$11:BS48)-MIN(ROW(BS$11:BS48))+1))))),1,FALSE),0))</f>
        <v>0</v>
      </c>
      <c r="BU49" s="197">
        <f>IF(OR('12p'!BW44="X", '12p'!BW44="DC", '12p'!BW44="", COUNTIF('12p'!$E44:$AB44,"DC")&gt;=6), 0, IFERROR(VLOOKUP('12p'!BW44, Bareme, IF(COUNTIF('12p'!$E44:$AB44,"DC")=2, 4, IF(COUNTIF('12p'!$E44:$AB44,"DC")=4, 6, 0)), FALSE), 0))</f>
        <v>0</v>
      </c>
      <c r="BV49" s="143">
        <f>IF(AND(BS49="DC", COUNTIF('12p'!$E44:$AB44,"DC")&lt;6), 1, 0)</f>
        <v>0</v>
      </c>
      <c r="BW49" s="144">
        <f>SUM('12p'!BW44, BU49, BV49)</f>
        <v>0</v>
      </c>
      <c r="BX49" s="145">
        <f>IF(BS49="DC", BX48+BV49, SUMIF(BS$11:BS49, "&gt;0") + SUM(BV$11:BV49))</f>
        <v>492</v>
      </c>
      <c r="BY49" s="161" t="str">
        <f>IF(COUNTIF('12p'!$E44:$AB44,"DC")&gt;=6, "[CRITIQUE] Trop de DC !", IF('12p'!BW44="", "", IF('12p'!BW44="DC", "OK", IF(AND('12p'!BW43&lt;&gt;"", '12p'!BW43&lt;&gt;"DC", '12p'!BW44='12p'!BW43, '12p'!BW44&lt;&gt;0), "[ALERTE] Score FIGÉ ?", IF(AND('12p'!BW43&lt;&gt;"", '12p'!BW43&lt;&gt;"DC", '12p'!BW44&lt;'12p'!BW43), "[ALERTE] Baisse anormale !", "OK")))))</f>
        <v/>
      </c>
      <c r="BZ49" s="127">
        <f>'12p'!AA44</f>
        <v>0</v>
      </c>
      <c r="CA49" s="142" cm="1">
        <f t="array" ref="CA49">IF(OR(BZ49="",BZ49="DC"), 0, BZ49 - IFERROR(VLOOKUP("???",IF({1;0},"",INDEX(BZ$11:BZ48,MAX(IF(BZ$11:BZ48&lt;&gt;"",IF(BZ$11:BZ48&lt;&gt;"DC",ROW(BZ$11:BZ48)-MIN(ROW(BZ$11:BZ48))+1))))),1,FALSE),0))</f>
        <v>0</v>
      </c>
      <c r="CB49" s="197">
        <f>IF(OR('12p'!CD44="X", '12p'!CD44="DC", '12p'!CD44="", COUNTIF('12p'!$E44:$AB44,"DC")&gt;=6), 0, IFERROR(VLOOKUP('12p'!CD44, Bareme, IF(COUNTIF('12p'!$E44:$AB44,"DC")=2, 4, IF(COUNTIF('12p'!$E44:$AB44,"DC")=4, 6, 0)), FALSE), 0))</f>
        <v>0</v>
      </c>
      <c r="CC49" s="143">
        <f>IF(AND(BZ49="DC", COUNTIF('12p'!$E44:$AB44,"DC")&lt;6), 1, 0)</f>
        <v>0</v>
      </c>
      <c r="CD49" s="144">
        <f>SUM('12p'!CD44, CB49, CC49)</f>
        <v>0</v>
      </c>
      <c r="CE49" s="145">
        <f>IF(BZ49="DC", CE48+CC49, SUMIF(BZ$11:BZ49, "&gt;0") + SUM(CC$11:CC49))</f>
        <v>614</v>
      </c>
      <c r="CF49" s="161" t="str">
        <f>IF(COUNTIF('12p'!$E44:$AB44,"DC")&gt;=6, "[CRITIQUE] Trop de DC !", IF('12p'!CD44="", "", IF('12p'!CD44="DC", "OK", IF(AND('12p'!CD43&lt;&gt;"", '12p'!CD43&lt;&gt;"DC", '12p'!CD44='12p'!CD43, '12p'!CD44&lt;&gt;0), "[ALERTE] Score FIGÉ ?", IF(AND('12p'!CD43&lt;&gt;"", '12p'!CD43&lt;&gt;"DC", '12p'!CD44&lt;'12p'!CD43), "[ALERTE] Baisse anormale !", "OK")))))</f>
        <v/>
      </c>
      <c r="CG49" s="108"/>
      <c r="CH49" s="108"/>
    </row>
    <row r="50" spans="1:86" x14ac:dyDescent="0.25">
      <c r="A50" s="127">
        <f>'12p'!E45</f>
        <v>0</v>
      </c>
      <c r="B50" s="142">
        <f t="shared" si="69"/>
        <v>0</v>
      </c>
      <c r="C50" s="197" cm="1">
        <f t="array" ref="C50">IF(OR(A50="DC",A50="",B50=0),0,IF(COUNTIF('12p'!$E45:$AB45,"DC")=1,INDEX(Table_11p,IF(B50=12,1,IF(B50=10,2,14-B50)),3),IF(COUNTIF('12p'!$E45:$AB45,"DC")=2,INDEX(Table_10p,IF(B50=11,1,IF(B50=9,2,12-B50)),3),IF(COUNTIF('12p'!$E45:$AB45,"DC")&gt;=3,INDEX(Table_9p_or_less,10-B50,3),0))))</f>
        <v>0</v>
      </c>
      <c r="D50" s="143">
        <f t="shared" si="70"/>
        <v>0</v>
      </c>
      <c r="E50" s="189">
        <f t="shared" si="71"/>
        <v>0</v>
      </c>
      <c r="F50" s="145">
        <f t="shared" si="72"/>
        <v>0</v>
      </c>
      <c r="G50" s="161" t="str">
        <f>IF(COUNTIF('12p'!$E45:$AB45,"DC")&gt;=6, "[CRITIQUE] Trop de DC !", IF('12p'!E45="", "", IF('12p'!E45="DC", "OK", IF(AND('12p'!E44&lt;&gt;"", '12p'!E44&lt;&gt;"DC", '12p'!E45='12p'!E44, '12p'!E45&lt;&gt;0), "[ALERTE] Score FIGÉ ?", IF(AND('12p'!E44&lt;&gt;"", '12p'!E44&lt;&gt;"DC", '12p'!E45&lt;'12p'!E44), "[ALERTE] Baisse anormale !", "OK")))))</f>
        <v>OK</v>
      </c>
      <c r="H50" s="127">
        <f>'12p'!G45</f>
        <v>0</v>
      </c>
      <c r="I50" s="142">
        <f t="shared" si="73"/>
        <v>0</v>
      </c>
      <c r="J50" s="197" cm="1">
        <f t="array" ref="J50">IF(OR(H50="DC",H50="",I50=0),0,IF(COUNTIF('12p'!$E45:$AB45,"DC")=1,INDEX(Table_11p,IF(I50=12,1,IF(I50=10,2,14-I50)),3),IF(COUNTIF('12p'!$E45:$AB45,"DC")=2,INDEX(Table_10p,IF(I50=11,1,IF(I50=9,2,12-I50)),3),IF(COUNTIF('12p'!$E45:$AB45,"DC")&gt;=3,INDEX(Table_9p_or_less,10-I50,3),0))))</f>
        <v>0</v>
      </c>
      <c r="K50" s="143">
        <f t="shared" si="74"/>
        <v>0</v>
      </c>
      <c r="L50" s="189">
        <f t="shared" si="75"/>
        <v>0</v>
      </c>
      <c r="M50" s="145">
        <f t="shared" si="76"/>
        <v>0</v>
      </c>
      <c r="N50" s="161" t="str">
        <f>IF(COUNTIF('12p'!$E45:$AB45,"DC")&gt;=6, "[CRITIQUE] Trop de DC !", IF('12p'!L45="", "", IF('12p'!L45="DC", "OK", IF(AND('12p'!L44&lt;&gt;"", '12p'!L44&lt;&gt;"DC", '12p'!L45='12p'!L44, '12p'!L45&lt;&gt;0), "[ALERTE] Score FIGÉ ?", IF(AND('12p'!L44&lt;&gt;"", '12p'!L44&lt;&gt;"DC", '12p'!L45&lt;'12p'!L44), "[ALERTE] Baisse anormale !", "OK")))))</f>
        <v/>
      </c>
      <c r="O50" s="127">
        <f>'12p'!I45</f>
        <v>0</v>
      </c>
      <c r="P50" s="142">
        <f t="shared" si="77"/>
        <v>0</v>
      </c>
      <c r="Q50" s="197" cm="1">
        <f t="array" ref="Q50">IF(OR(O50="DC",O50="",P50=0),0,IF(COUNTIF('12p'!$E45:$AB45,"DC")=1,INDEX(Table_11p,IF(P50=12,1,IF(P50=10,2,14-P50)),3),IF(COUNTIF('12p'!$E45:$AB45,"DC")=2,INDEX(Table_10p,IF(P50=11,1,IF(P50=9,2,12-P50)),3),IF(COUNTIF('12p'!$E45:$AB45,"DC")&gt;=3,INDEX(Table_9p_or_less,10-P50,3),0))))</f>
        <v>0</v>
      </c>
      <c r="R50" s="143">
        <f t="shared" si="78"/>
        <v>0</v>
      </c>
      <c r="S50" s="189">
        <f t="shared" si="79"/>
        <v>0</v>
      </c>
      <c r="T50" s="145">
        <f t="shared" si="80"/>
        <v>0</v>
      </c>
      <c r="U50" s="161" t="str">
        <f>IF(COUNTIF('12p'!$E45:$AB45,"DC")&gt;=6, "[CRITIQUE] Trop de DC !", IF('12p'!S45="", "", IF('12p'!S45="DC", "OK", IF(AND('12p'!S44&lt;&gt;"", '12p'!S44&lt;&gt;"DC", '12p'!S45='12p'!S44, '12p'!S45&lt;&gt;0), "[ALERTE] Score FIGÉ ?", IF(AND('12p'!S44&lt;&gt;"", '12p'!S44&lt;&gt;"DC", '12p'!S45&lt;'12p'!S44), "[ALERTE] Baisse anormale !", "OK")))))</f>
        <v/>
      </c>
      <c r="V50" s="127">
        <f>'12p'!K45</f>
        <v>0</v>
      </c>
      <c r="W50" s="142">
        <f t="shared" si="81"/>
        <v>0</v>
      </c>
      <c r="X50" s="197" cm="1">
        <f t="array" ref="X50">IF(OR(V50="DC",V50="",W50=0),0,IF(COUNTIF('12p'!$E45:$AB45,"DC")=1,INDEX(Table_11p,IF(W50=12,1,IF(W50=10,2,14-W50)),3),IF(COUNTIF('12p'!$E45:$AB45,"DC")=2,INDEX(Table_10p,IF(W50=11,1,IF(W50=9,2,12-W50)),3),IF(COUNTIF('12p'!$E45:$AB45,"DC")&gt;=3,INDEX(Table_9p_or_less,10-W50,3),0))))</f>
        <v>0</v>
      </c>
      <c r="Y50" s="143">
        <f t="shared" si="82"/>
        <v>0</v>
      </c>
      <c r="Z50" s="189">
        <f t="shared" si="83"/>
        <v>0</v>
      </c>
      <c r="AA50" s="145">
        <f t="shared" si="84"/>
        <v>0</v>
      </c>
      <c r="AB50" s="161" t="str">
        <f>IF(COUNTIF('12p'!$E45:$AB45,"DC")&gt;=6, "[CRITIQUE] Trop de DC !", IF('12p'!Z45="", "", IF('12p'!Z45="DC", "OK", IF(AND('12p'!Z44&lt;&gt;"", '12p'!Z44&lt;&gt;"DC", '12p'!Z45='12p'!Z44, '12p'!Z45&lt;&gt;0), "[ALERTE] Score FIGÉ ?", IF(AND('12p'!Z44&lt;&gt;"", '12p'!Z44&lt;&gt;"DC", '12p'!Z45&lt;'12p'!Z44), "[ALERTE] Baisse anormale !", "OK")))))</f>
        <v/>
      </c>
      <c r="AC50" s="127">
        <f>'12p'!M45</f>
        <v>0</v>
      </c>
      <c r="AD50" s="142" cm="1">
        <f t="array" ref="AD50">IF(OR(AC50="",AC50="DC"), 0, AC50 - IFERROR(VLOOKUP("???",IF({1;0},"",INDEX(AC$11:AC49,MAX(IF(AC$11:AC49&lt;&gt;"",IF(AC$11:AC49&lt;&gt;"DC",ROW(AC$11:AC49)-MIN(ROW(AC$11:AC49))+1))))),1,FALSE),0))</f>
        <v>0</v>
      </c>
      <c r="AE50" s="197">
        <f>IF(OR('12p'!AG45="X", '12p'!AG45="DC", '12p'!AG45="", COUNTIF('12p'!$E45:$AB45,"DC")&gt;=6), 0, IFERROR(VLOOKUP('12p'!AG45, Bareme, IF(COUNTIF('12p'!$E45:$AB45,"DC")=2, 4, IF(COUNTIF('12p'!$E45:$AB45,"DC")=4, 6, 0)), FALSE), 0))</f>
        <v>0</v>
      </c>
      <c r="AF50" s="143">
        <f>IF(AND(AC50="DC", COUNTIF('12p'!$E45:$AB45,"DC")&lt;6), 1, 0)</f>
        <v>0</v>
      </c>
      <c r="AG50" s="144">
        <f>SUM('12p'!AG45, AE50, AF50)</f>
        <v>0</v>
      </c>
      <c r="AH50" s="145">
        <f>IF(AC50="DC", AH49+AF50, SUMIF(AC$11:AC50, "&gt;0") + SUM(AF$11:AF50))</f>
        <v>663</v>
      </c>
      <c r="AI50" s="161" t="str">
        <f>IF(COUNTIF('12p'!$E45:$AB45,"DC")&gt;=6, "[CRITIQUE] Trop de DC !", IF('12p'!AG45="", "", IF('12p'!AG45="DC", "OK", IF(AND('12p'!AG44&lt;&gt;"", '12p'!AG44&lt;&gt;"DC", '12p'!AG45='12p'!AG44, '12p'!AG45&lt;&gt;0), "[ALERTE] Score FIGÉ ?", IF(AND('12p'!AG44&lt;&gt;"", '12p'!AG44&lt;&gt;"DC", '12p'!AG45&lt;'12p'!AG44), "[ALERTE] Baisse anormale !", "OK")))))</f>
        <v/>
      </c>
      <c r="AJ50" s="127">
        <f>'12p'!O45</f>
        <v>0</v>
      </c>
      <c r="AK50" s="142" cm="1">
        <f t="array" ref="AK50">IF(OR(AJ50="",AJ50="DC"), 0, AJ50 - IFERROR(VLOOKUP("???",IF({1;0},"",INDEX(AJ$11:AJ49,MAX(IF(AJ$11:AJ49&lt;&gt;"",IF(AJ$11:AJ49&lt;&gt;"DC",ROW(AJ$11:AJ49)-MIN(ROW(AJ$11:AJ49))+1))))),1,FALSE),0))</f>
        <v>0</v>
      </c>
      <c r="AL50" s="197">
        <f>IF(OR('12p'!AN45="X", '12p'!AN45="DC", '12p'!AN45="", COUNTIF('12p'!$E45:$AB45,"DC")&gt;=6), 0, IFERROR(VLOOKUP('12p'!AN45, Bareme, IF(COUNTIF('12p'!$E45:$AB45,"DC")=2, 4, IF(COUNTIF('12p'!$E45:$AB45,"DC")=4, 6, 0)), FALSE), 0))</f>
        <v>0</v>
      </c>
      <c r="AM50" s="143">
        <f>IF(AND(AJ50="DC", COUNTIF('12p'!$E45:$AB45,"DC")&lt;6), 1, 0)</f>
        <v>0</v>
      </c>
      <c r="AN50" s="144">
        <f>SUM('12p'!AN45, AL50, AM50)</f>
        <v>0</v>
      </c>
      <c r="AO50" s="145">
        <f>IF(AJ50="DC", AO49+AM50, SUMIF(AJ$11:AJ50, "&gt;0") + SUM(AM$11:AM50))</f>
        <v>469</v>
      </c>
      <c r="AP50" s="161" t="str">
        <f>IF(COUNTIF('12p'!$E45:$AB45,"DC")&gt;=6, "[CRITIQUE] Trop de DC !", IF('12p'!AN45="", "", IF('12p'!AN45="DC", "OK", IF(AND('12p'!AN44&lt;&gt;"", '12p'!AN44&lt;&gt;"DC", '12p'!AN45='12p'!AN44, '12p'!AN45&lt;&gt;0), "[ALERTE] Score FIGÉ ?", IF(AND('12p'!AN44&lt;&gt;"", '12p'!AN44&lt;&gt;"DC", '12p'!AN45&lt;'12p'!AN44), "[ALERTE] Baisse anormale !", "OK")))))</f>
        <v/>
      </c>
      <c r="AQ50" s="127">
        <f>'12p'!Q45</f>
        <v>0</v>
      </c>
      <c r="AR50" s="142" cm="1">
        <f t="array" ref="AR50">IF(OR(AQ50="",AQ50="DC"), 0, AQ50 - IFERROR(VLOOKUP("???",IF({1;0},"",INDEX(AQ$11:AQ49,MAX(IF(AQ$11:AQ49&lt;&gt;"",IF(AQ$11:AQ49&lt;&gt;"DC",ROW(AQ$11:AQ49)-MIN(ROW(AQ$11:AQ49))+1))))),1,FALSE),0))</f>
        <v>0</v>
      </c>
      <c r="AS50" s="197">
        <f>IF(OR('12p'!AU45="X", '12p'!AU45="DC", '12p'!AU45="", COUNTIF('12p'!$E45:$AB45,"DC")&gt;=6), 0, IFERROR(VLOOKUP('12p'!AU45, Bareme, IF(COUNTIF('12p'!$E45:$AB45,"DC")=2, 4, IF(COUNTIF('12p'!$E45:$AB45,"DC")=4, 6, 0)), FALSE), 0))</f>
        <v>0</v>
      </c>
      <c r="AT50" s="143">
        <f>IF(AND(AQ50="DC", COUNTIF('12p'!$E45:$AB45,"DC")&lt;6), 1, 0)</f>
        <v>0</v>
      </c>
      <c r="AU50" s="144">
        <f>SUM('12p'!AU45, AS50, AT50)</f>
        <v>0</v>
      </c>
      <c r="AV50" s="145">
        <f>IF(AQ50="DC", AV49+AT50, SUMIF(AQ$11:AQ50, "&gt;0") + SUM(AT$11:AT50))</f>
        <v>654</v>
      </c>
      <c r="AW50" s="161" t="str">
        <f>IF(COUNTIF('12p'!$E45:$AB45,"DC")&gt;=6, "[CRITIQUE] Trop de DC !", IF('12p'!AU45="", "", IF('12p'!AU45="DC", "OK", IF(AND('12p'!AU44&lt;&gt;"", '12p'!AU44&lt;&gt;"DC", '12p'!AU45='12p'!AU44, '12p'!AU45&lt;&gt;0), "[ALERTE] Score FIGÉ ?", IF(AND('12p'!AU44&lt;&gt;"", '12p'!AU44&lt;&gt;"DC", '12p'!AU45&lt;'12p'!AU44), "[ALERTE] Baisse anormale !", "OK")))))</f>
        <v/>
      </c>
      <c r="AX50" s="127">
        <f>'12p'!S45</f>
        <v>0</v>
      </c>
      <c r="AY50" s="142" cm="1">
        <f t="array" ref="AY50">IF(OR(AX50="",AX50="DC"), 0, AX50 - IFERROR(VLOOKUP("???",IF({1;0},"",INDEX(AX$11:AX49,MAX(IF(AX$11:AX49&lt;&gt;"",IF(AX$11:AX49&lt;&gt;"DC",ROW(AX$11:AX49)-MIN(ROW(AX$11:AX49))+1))))),1,FALSE),0))</f>
        <v>0</v>
      </c>
      <c r="AZ50" s="197">
        <f>IF(OR('12p'!BB45="X", '12p'!BB45="DC", '12p'!BB45="", COUNTIF('12p'!$E45:$AB45,"DC")&gt;=6), 0, IFERROR(VLOOKUP('12p'!BB45, Bareme, IF(COUNTIF('12p'!$E45:$AB45,"DC")=2, 4, IF(COUNTIF('12p'!$E45:$AB45,"DC")=4, 6, 0)), FALSE), 0))</f>
        <v>0</v>
      </c>
      <c r="BA50" s="143">
        <f>IF(AND(AX50="DC", COUNTIF('12p'!$E45:$AB45,"DC")&lt;6), 1, 0)</f>
        <v>0</v>
      </c>
      <c r="BB50" s="144">
        <f>SUM('12p'!BB45, AZ50, BA50)</f>
        <v>0</v>
      </c>
      <c r="BC50" s="145">
        <f>IF(AX50="DC", BC49+BA50, SUMIF(AX$11:AX50, "&gt;0") + SUM(BA$11:BA50))</f>
        <v>239</v>
      </c>
      <c r="BD50" s="161" t="str">
        <f>IF(COUNTIF('12p'!$E45:$AB45,"DC")&gt;=6, "[CRITIQUE] Trop de DC !", IF('12p'!BB45="", "", IF('12p'!BB45="DC", "OK", IF(AND('12p'!BB44&lt;&gt;"", '12p'!BB44&lt;&gt;"DC", '12p'!BB45='12p'!BB44, '12p'!BB45&lt;&gt;0), "[ALERTE] Score FIGÉ ?", IF(AND('12p'!BB44&lt;&gt;"", '12p'!BB44&lt;&gt;"DC", '12p'!BB45&lt;'12p'!BB44), "[ALERTE] Baisse anormale !", "OK")))))</f>
        <v/>
      </c>
      <c r="BE50" s="127">
        <f>'12p'!U45</f>
        <v>0</v>
      </c>
      <c r="BF50" s="142" cm="1">
        <f t="array" ref="BF50">IF(OR(BE50="",BE50="DC"), 0, BE50 - IFERROR(VLOOKUP("???",IF({1;0},"",INDEX(BE$11:BE49,MAX(IF(BE$11:BE49&lt;&gt;"",IF(BE$11:BE49&lt;&gt;"DC",ROW(BE$11:BE49)-MIN(ROW(BE$11:BE49))+1))))),1,FALSE),0))</f>
        <v>0</v>
      </c>
      <c r="BG50" s="197">
        <f>IF(OR('12p'!BI45="X", '12p'!BI45="DC", '12p'!BI45="", COUNTIF('12p'!$E45:$AB45,"DC")&gt;=6), 0, IFERROR(VLOOKUP('12p'!BI45, Bareme, IF(COUNTIF('12p'!$E45:$AB45,"DC")=2, 4, IF(COUNTIF('12p'!$E45:$AB45,"DC")=4, 6, 0)), FALSE), 0))</f>
        <v>0</v>
      </c>
      <c r="BH50" s="143">
        <f>IF(AND(BE50="DC", COUNTIF('12p'!$E45:$AB45,"DC")&lt;6), 1, 0)</f>
        <v>0</v>
      </c>
      <c r="BI50" s="144">
        <f>SUM('12p'!BI45, BG50, BH50)</f>
        <v>0</v>
      </c>
      <c r="BJ50" s="145">
        <f>IF(BE50="DC", BJ49+BH50, SUMIF(BE$11:BE50, "&gt;0") + SUM(BH$11:BH50))</f>
        <v>445</v>
      </c>
      <c r="BK50" s="161" t="str">
        <f>IF(COUNTIF('12p'!$E45:$AB45,"DC")&gt;=6, "[CRITIQUE] Trop de DC !", IF('12p'!BI45="", "", IF('12p'!BI45="DC", "OK", IF(AND('12p'!BI44&lt;&gt;"", '12p'!BI44&lt;&gt;"DC", '12p'!BI45='12p'!BI44, '12p'!BI45&lt;&gt;0), "[ALERTE] Score FIGÉ ?", IF(AND('12p'!BI44&lt;&gt;"", '12p'!BI44&lt;&gt;"DC", '12p'!BI45&lt;'12p'!BI44), "[ALERTE] Baisse anormale !", "OK")))))</f>
        <v/>
      </c>
      <c r="BL50" s="127">
        <f>'12p'!W45</f>
        <v>0</v>
      </c>
      <c r="BM50" s="142" cm="1">
        <f t="array" ref="BM50">IF(OR(BL50="",BL50="DC"), 0, BL50 - IFERROR(VLOOKUP("???",IF({1;0},"",INDEX(BL$11:BL49,MAX(IF(BL$11:BL49&lt;&gt;"",IF(BL$11:BL49&lt;&gt;"DC",ROW(BL$11:BL49)-MIN(ROW(BL$11:BL49))+1))))),1,FALSE),0))</f>
        <v>0</v>
      </c>
      <c r="BN50" s="197">
        <f>IF(OR('12p'!BP45="X", '12p'!BP45="DC", '12p'!BP45="", COUNTIF('12p'!$E45:$AB45,"DC")&gt;=6), 0, IFERROR(VLOOKUP('12p'!BP45, Bareme, IF(COUNTIF('12p'!$E45:$AB45,"DC")=2, 4, IF(COUNTIF('12p'!$E45:$AB45,"DC")=4, 6, 0)), FALSE), 0))</f>
        <v>0</v>
      </c>
      <c r="BO50" s="143">
        <f>IF(AND(BL50="DC", COUNTIF('12p'!$E45:$AB45,"DC")&lt;6), 1, 0)</f>
        <v>0</v>
      </c>
      <c r="BP50" s="144">
        <f>SUM('12p'!BP45, BN50, BO50)</f>
        <v>0</v>
      </c>
      <c r="BQ50" s="145">
        <f>IF(BL50="DC", BQ49+BO50, SUMIF(BL$11:BL50, "&gt;0") + SUM(BO$11:BO50))</f>
        <v>384</v>
      </c>
      <c r="BR50" s="161" t="str">
        <f>IF(COUNTIF('12p'!$E45:$AB45,"DC")&gt;=6, "[CRITIQUE] Trop de DC !", IF('12p'!BP45="", "", IF('12p'!BP45="DC", "OK", IF(AND('12p'!BP44&lt;&gt;"", '12p'!BP44&lt;&gt;"DC", '12p'!BP45='12p'!BP44, '12p'!BP45&lt;&gt;0), "[ALERTE] Score FIGÉ ?", IF(AND('12p'!BP44&lt;&gt;"", '12p'!BP44&lt;&gt;"DC", '12p'!BP45&lt;'12p'!BP44), "[ALERTE] Baisse anormale !", "OK")))))</f>
        <v/>
      </c>
      <c r="BS50" s="127">
        <f>'12p'!Y45</f>
        <v>0</v>
      </c>
      <c r="BT50" s="142" cm="1">
        <f t="array" ref="BT50">IF(OR(BS50="",BS50="DC"), 0, BS50 - IFERROR(VLOOKUP("???",IF({1;0},"",INDEX(BS$11:BS49,MAX(IF(BS$11:BS49&lt;&gt;"",IF(BS$11:BS49&lt;&gt;"DC",ROW(BS$11:BS49)-MIN(ROW(BS$11:BS49))+1))))),1,FALSE),0))</f>
        <v>0</v>
      </c>
      <c r="BU50" s="197">
        <f>IF(OR('12p'!BW45="X", '12p'!BW45="DC", '12p'!BW45="", COUNTIF('12p'!$E45:$AB45,"DC")&gt;=6), 0, IFERROR(VLOOKUP('12p'!BW45, Bareme, IF(COUNTIF('12p'!$E45:$AB45,"DC")=2, 4, IF(COUNTIF('12p'!$E45:$AB45,"DC")=4, 6, 0)), FALSE), 0))</f>
        <v>0</v>
      </c>
      <c r="BV50" s="143">
        <f>IF(AND(BS50="DC", COUNTIF('12p'!$E45:$AB45,"DC")&lt;6), 1, 0)</f>
        <v>0</v>
      </c>
      <c r="BW50" s="144">
        <f>SUM('12p'!BW45, BU50, BV50)</f>
        <v>0</v>
      </c>
      <c r="BX50" s="145">
        <f>IF(BS50="DC", BX49+BV50, SUMIF(BS$11:BS50, "&gt;0") + SUM(BV$11:BV50))</f>
        <v>492</v>
      </c>
      <c r="BY50" s="161" t="str">
        <f>IF(COUNTIF('12p'!$E45:$AB45,"DC")&gt;=6, "[CRITIQUE] Trop de DC !", IF('12p'!BW45="", "", IF('12p'!BW45="DC", "OK", IF(AND('12p'!BW44&lt;&gt;"", '12p'!BW44&lt;&gt;"DC", '12p'!BW45='12p'!BW44, '12p'!BW45&lt;&gt;0), "[ALERTE] Score FIGÉ ?", IF(AND('12p'!BW44&lt;&gt;"", '12p'!BW44&lt;&gt;"DC", '12p'!BW45&lt;'12p'!BW44), "[ALERTE] Baisse anormale !", "OK")))))</f>
        <v/>
      </c>
      <c r="BZ50" s="127">
        <f>'12p'!AA45</f>
        <v>0</v>
      </c>
      <c r="CA50" s="142" cm="1">
        <f t="array" ref="CA50">IF(OR(BZ50="",BZ50="DC"), 0, BZ50 - IFERROR(VLOOKUP("???",IF({1;0},"",INDEX(BZ$11:BZ49,MAX(IF(BZ$11:BZ49&lt;&gt;"",IF(BZ$11:BZ49&lt;&gt;"DC",ROW(BZ$11:BZ49)-MIN(ROW(BZ$11:BZ49))+1))))),1,FALSE),0))</f>
        <v>0</v>
      </c>
      <c r="CB50" s="197">
        <f>IF(OR('12p'!CD45="X", '12p'!CD45="DC", '12p'!CD45="", COUNTIF('12p'!$E45:$AB45,"DC")&gt;=6), 0, IFERROR(VLOOKUP('12p'!CD45, Bareme, IF(COUNTIF('12p'!$E45:$AB45,"DC")=2, 4, IF(COUNTIF('12p'!$E45:$AB45,"DC")=4, 6, 0)), FALSE), 0))</f>
        <v>0</v>
      </c>
      <c r="CC50" s="143">
        <f>IF(AND(BZ50="DC", COUNTIF('12p'!$E45:$AB45,"DC")&lt;6), 1, 0)</f>
        <v>0</v>
      </c>
      <c r="CD50" s="144">
        <f>SUM('12p'!CD45, CB50, CC50)</f>
        <v>0</v>
      </c>
      <c r="CE50" s="145">
        <f>IF(BZ50="DC", CE49+CC50, SUMIF(BZ$11:BZ50, "&gt;0") + SUM(CC$11:CC50))</f>
        <v>614</v>
      </c>
      <c r="CF50" s="161" t="str">
        <f>IF(COUNTIF('12p'!$E45:$AB45,"DC")&gt;=6, "[CRITIQUE] Trop de DC !", IF('12p'!CD45="", "", IF('12p'!CD45="DC", "OK", IF(AND('12p'!CD44&lt;&gt;"", '12p'!CD44&lt;&gt;"DC", '12p'!CD45='12p'!CD44, '12p'!CD45&lt;&gt;0), "[ALERTE] Score FIGÉ ?", IF(AND('12p'!CD44&lt;&gt;"", '12p'!CD44&lt;&gt;"DC", '12p'!CD45&lt;'12p'!CD44), "[ALERTE] Baisse anormale !", "OK")))))</f>
        <v/>
      </c>
      <c r="CG50" s="108"/>
      <c r="CH50" s="108"/>
    </row>
    <row r="51" spans="1:86" ht="15" customHeight="1" x14ac:dyDescent="0.25">
      <c r="A51" s="127">
        <f>'12p'!E46</f>
        <v>0</v>
      </c>
      <c r="B51" s="142">
        <f t="shared" si="69"/>
        <v>0</v>
      </c>
      <c r="C51" s="197" cm="1">
        <f t="array" ref="C51">IF(OR(A51="DC",A51="",B51=0),0,IF(COUNTIF('12p'!$E46:$AB46,"DC")=1,INDEX(Table_11p,IF(B51=12,1,IF(B51=10,2,14-B51)),3),IF(COUNTIF('12p'!$E46:$AB46,"DC")=2,INDEX(Table_10p,IF(B51=11,1,IF(B51=9,2,12-B51)),3),IF(COUNTIF('12p'!$E46:$AB46,"DC")&gt;=3,INDEX(Table_9p_or_less,10-B51,3),0))))</f>
        <v>0</v>
      </c>
      <c r="D51" s="143">
        <f t="shared" si="70"/>
        <v>0</v>
      </c>
      <c r="E51" s="189">
        <f t="shared" si="71"/>
        <v>0</v>
      </c>
      <c r="F51" s="145">
        <f t="shared" si="72"/>
        <v>0</v>
      </c>
      <c r="G51" s="161" t="str">
        <f>IF(COUNTIF('12p'!$E46:$AB46,"DC")&gt;=6, "[CRITIQUE] Trop de DC !", IF('12p'!E46="", "", IF('12p'!E46="DC", "OK", IF(AND('12p'!E45&lt;&gt;"", '12p'!E45&lt;&gt;"DC", '12p'!E46='12p'!E45, '12p'!E46&lt;&gt;0), "[ALERTE] Score FIGÉ ?", IF(AND('12p'!E45&lt;&gt;"", '12p'!E45&lt;&gt;"DC", '12p'!E46&lt;'12p'!E45), "[ALERTE] Baisse anormale !", "OK")))))</f>
        <v/>
      </c>
      <c r="H51" s="127">
        <f>'12p'!G46</f>
        <v>0</v>
      </c>
      <c r="I51" s="142">
        <f t="shared" si="73"/>
        <v>0</v>
      </c>
      <c r="J51" s="197" cm="1">
        <f t="array" ref="J51">IF(OR(H51="DC",H51="",I51=0),0,IF(COUNTIF('12p'!$E46:$AB46,"DC")=1,INDEX(Table_11p,IF(I51=12,1,IF(I51=10,2,14-I51)),3),IF(COUNTIF('12p'!$E46:$AB46,"DC")=2,INDEX(Table_10p,IF(I51=11,1,IF(I51=9,2,12-I51)),3),IF(COUNTIF('12p'!$E46:$AB46,"DC")&gt;=3,INDEX(Table_9p_or_less,10-I51,3),0))))</f>
        <v>0</v>
      </c>
      <c r="K51" s="143">
        <f t="shared" si="74"/>
        <v>0</v>
      </c>
      <c r="L51" s="189">
        <f t="shared" si="75"/>
        <v>0</v>
      </c>
      <c r="M51" s="145">
        <f t="shared" si="76"/>
        <v>0</v>
      </c>
      <c r="N51" s="161" t="str">
        <f>IF(COUNTIF('12p'!$E46:$AB46,"DC")&gt;=6, "[CRITIQUE] Trop de DC !", IF('12p'!L46="", "", IF('12p'!L46="DC", "OK", IF(AND('12p'!L45&lt;&gt;"", '12p'!L45&lt;&gt;"DC", '12p'!L46='12p'!L45, '12p'!L46&lt;&gt;0), "[ALERTE] Score FIGÉ ?", IF(AND('12p'!L45&lt;&gt;"", '12p'!L45&lt;&gt;"DC", '12p'!L46&lt;'12p'!L45), "[ALERTE] Baisse anormale !", "OK")))))</f>
        <v/>
      </c>
      <c r="O51" s="127">
        <f>'12p'!I46</f>
        <v>0</v>
      </c>
      <c r="P51" s="142">
        <f t="shared" si="77"/>
        <v>0</v>
      </c>
      <c r="Q51" s="197" cm="1">
        <f t="array" ref="Q51">IF(OR(O51="DC",O51="",P51=0),0,IF(COUNTIF('12p'!$E46:$AB46,"DC")=1,INDEX(Table_11p,IF(P51=12,1,IF(P51=10,2,14-P51)),3),IF(COUNTIF('12p'!$E46:$AB46,"DC")=2,INDEX(Table_10p,IF(P51=11,1,IF(P51=9,2,12-P51)),3),IF(COUNTIF('12p'!$E46:$AB46,"DC")&gt;=3,INDEX(Table_9p_or_less,10-P51,3),0))))</f>
        <v>0</v>
      </c>
      <c r="R51" s="143">
        <f t="shared" si="78"/>
        <v>0</v>
      </c>
      <c r="S51" s="189">
        <f t="shared" si="79"/>
        <v>0</v>
      </c>
      <c r="T51" s="145">
        <f t="shared" si="80"/>
        <v>0</v>
      </c>
      <c r="U51" s="161" t="str">
        <f>IF(COUNTIF('12p'!$E46:$AB46,"DC")&gt;=6, "[CRITIQUE] Trop de DC !", IF('12p'!S46="", "", IF('12p'!S46="DC", "OK", IF(AND('12p'!S45&lt;&gt;"", '12p'!S45&lt;&gt;"DC", '12p'!S46='12p'!S45, '12p'!S46&lt;&gt;0), "[ALERTE] Score FIGÉ ?", IF(AND('12p'!S45&lt;&gt;"", '12p'!S45&lt;&gt;"DC", '12p'!S46&lt;'12p'!S45), "[ALERTE] Baisse anormale !", "OK")))))</f>
        <v/>
      </c>
      <c r="V51" s="127">
        <f>'12p'!K46</f>
        <v>0</v>
      </c>
      <c r="W51" s="142">
        <f t="shared" si="81"/>
        <v>0</v>
      </c>
      <c r="X51" s="197" cm="1">
        <f t="array" ref="X51">IF(OR(V51="DC",V51="",W51=0),0,IF(COUNTIF('12p'!$E46:$AB46,"DC")=1,INDEX(Table_11p,IF(W51=12,1,IF(W51=10,2,14-W51)),3),IF(COUNTIF('12p'!$E46:$AB46,"DC")=2,INDEX(Table_10p,IF(W51=11,1,IF(W51=9,2,12-W51)),3),IF(COUNTIF('12p'!$E46:$AB46,"DC")&gt;=3,INDEX(Table_9p_or_less,10-W51,3),0))))</f>
        <v>0</v>
      </c>
      <c r="Y51" s="143">
        <f t="shared" si="82"/>
        <v>0</v>
      </c>
      <c r="Z51" s="189">
        <f t="shared" si="83"/>
        <v>0</v>
      </c>
      <c r="AA51" s="145">
        <f t="shared" si="84"/>
        <v>0</v>
      </c>
      <c r="AB51" s="161" t="str">
        <f>IF(COUNTIF('12p'!$E46:$AB46,"DC")&gt;=6, "[CRITIQUE] Trop de DC !", IF('12p'!Z46="", "", IF('12p'!Z46="DC", "OK", IF(AND('12p'!Z45&lt;&gt;"", '12p'!Z45&lt;&gt;"DC", '12p'!Z46='12p'!Z45, '12p'!Z46&lt;&gt;0), "[ALERTE] Score FIGÉ ?", IF(AND('12p'!Z45&lt;&gt;"", '12p'!Z45&lt;&gt;"DC", '12p'!Z46&lt;'12p'!Z45), "[ALERTE] Baisse anormale !", "OK")))))</f>
        <v/>
      </c>
      <c r="AC51" s="127">
        <f>'12p'!M46</f>
        <v>0</v>
      </c>
      <c r="AD51" s="142" cm="1">
        <f t="array" ref="AD51">IF(OR(AC51="",AC51="DC"), 0, AC51 - IFERROR(VLOOKUP("???",IF({1;0},"",INDEX(AC$11:AC50,MAX(IF(AC$11:AC50&lt;&gt;"",IF(AC$11:AC50&lt;&gt;"DC",ROW(AC$11:AC50)-MIN(ROW(AC$11:AC50))+1))))),1,FALSE),0))</f>
        <v>0</v>
      </c>
      <c r="AE51" s="197">
        <f>IF(OR('12p'!AG46="X", '12p'!AG46="DC", '12p'!AG46="", COUNTIF('12p'!$E46:$AB46,"DC")&gt;=6), 0, IFERROR(VLOOKUP('12p'!AG46, Bareme, IF(COUNTIF('12p'!$E46:$AB46,"DC")=2, 4, IF(COUNTIF('12p'!$E46:$AB46,"DC")=4, 6, 0)), FALSE), 0))</f>
        <v>0</v>
      </c>
      <c r="AF51" s="143">
        <f>IF(AND(AC51="DC", COUNTIF('12p'!$E46:$AB46,"DC")&lt;6), 1, 0)</f>
        <v>0</v>
      </c>
      <c r="AG51" s="144">
        <f>SUM('12p'!AG46, AE51, AF51)</f>
        <v>0</v>
      </c>
      <c r="AH51" s="145">
        <f>IF(AC51="DC", AH50+AF51, SUMIF(AC$11:AC51, "&gt;0") + SUM(AF$11:AF51))</f>
        <v>663</v>
      </c>
      <c r="AI51" s="161" t="str">
        <f>IF(COUNTIF('12p'!$E46:$AB46,"DC")&gt;=6, "[CRITIQUE] Trop de DC !", IF('12p'!AG46="", "", IF('12p'!AG46="DC", "OK", IF(AND('12p'!AG45&lt;&gt;"", '12p'!AG45&lt;&gt;"DC", '12p'!AG46='12p'!AG45, '12p'!AG46&lt;&gt;0), "[ALERTE] Score FIGÉ ?", IF(AND('12p'!AG45&lt;&gt;"", '12p'!AG45&lt;&gt;"DC", '12p'!AG46&lt;'12p'!AG45), "[ALERTE] Baisse anormale !", "OK")))))</f>
        <v/>
      </c>
      <c r="AJ51" s="127">
        <f>'12p'!O46</f>
        <v>0</v>
      </c>
      <c r="AK51" s="142" cm="1">
        <f t="array" ref="AK51">IF(OR(AJ51="",AJ51="DC"), 0, AJ51 - IFERROR(VLOOKUP("???",IF({1;0},"",INDEX(AJ$11:AJ50,MAX(IF(AJ$11:AJ50&lt;&gt;"",IF(AJ$11:AJ50&lt;&gt;"DC",ROW(AJ$11:AJ50)-MIN(ROW(AJ$11:AJ50))+1))))),1,FALSE),0))</f>
        <v>0</v>
      </c>
      <c r="AL51" s="197">
        <f>IF(OR('12p'!AN46="X", '12p'!AN46="DC", '12p'!AN46="", COUNTIF('12p'!$E46:$AB46,"DC")&gt;=6), 0, IFERROR(VLOOKUP('12p'!AN46, Bareme, IF(COUNTIF('12p'!$E46:$AB46,"DC")=2, 4, IF(COUNTIF('12p'!$E46:$AB46,"DC")=4, 6, 0)), FALSE), 0))</f>
        <v>0</v>
      </c>
      <c r="AM51" s="143">
        <f>IF(AND(AJ51="DC", COUNTIF('12p'!$E46:$AB46,"DC")&lt;6), 1, 0)</f>
        <v>0</v>
      </c>
      <c r="AN51" s="144">
        <f>SUM('12p'!AN46, AL51, AM51)</f>
        <v>0</v>
      </c>
      <c r="AO51" s="145">
        <f>IF(AJ51="DC", AO50+AM51, SUMIF(AJ$11:AJ51, "&gt;0") + SUM(AM$11:AM51))</f>
        <v>469</v>
      </c>
      <c r="AP51" s="161" t="str">
        <f>IF(COUNTIF('12p'!$E46:$AB46,"DC")&gt;=6, "[CRITIQUE] Trop de DC !", IF('12p'!AN46="", "", IF('12p'!AN46="DC", "OK", IF(AND('12p'!AN45&lt;&gt;"", '12p'!AN45&lt;&gt;"DC", '12p'!AN46='12p'!AN45, '12p'!AN46&lt;&gt;0), "[ALERTE] Score FIGÉ ?", IF(AND('12p'!AN45&lt;&gt;"", '12p'!AN45&lt;&gt;"DC", '12p'!AN46&lt;'12p'!AN45), "[ALERTE] Baisse anormale !", "OK")))))</f>
        <v/>
      </c>
      <c r="AQ51" s="127">
        <f>'12p'!Q46</f>
        <v>0</v>
      </c>
      <c r="AR51" s="142" cm="1">
        <f t="array" ref="AR51">IF(OR(AQ51="",AQ51="DC"), 0, AQ51 - IFERROR(VLOOKUP("???",IF({1;0},"",INDEX(AQ$11:AQ50,MAX(IF(AQ$11:AQ50&lt;&gt;"",IF(AQ$11:AQ50&lt;&gt;"DC",ROW(AQ$11:AQ50)-MIN(ROW(AQ$11:AQ50))+1))))),1,FALSE),0))</f>
        <v>0</v>
      </c>
      <c r="AS51" s="197">
        <f>IF(OR('12p'!AU46="X", '12p'!AU46="DC", '12p'!AU46="", COUNTIF('12p'!$E46:$AB46,"DC")&gt;=6), 0, IFERROR(VLOOKUP('12p'!AU46, Bareme, IF(COUNTIF('12p'!$E46:$AB46,"DC")=2, 4, IF(COUNTIF('12p'!$E46:$AB46,"DC")=4, 6, 0)), FALSE), 0))</f>
        <v>0</v>
      </c>
      <c r="AT51" s="143">
        <f>IF(AND(AQ51="DC", COUNTIF('12p'!$E46:$AB46,"DC")&lt;6), 1, 0)</f>
        <v>0</v>
      </c>
      <c r="AU51" s="144">
        <f>SUM('12p'!AU46, AS51, AT51)</f>
        <v>0</v>
      </c>
      <c r="AV51" s="145">
        <f>IF(AQ51="DC", AV50+AT51, SUMIF(AQ$11:AQ51, "&gt;0") + SUM(AT$11:AT51))</f>
        <v>654</v>
      </c>
      <c r="AW51" s="161" t="str">
        <f>IF(COUNTIF('12p'!$E46:$AB46,"DC")&gt;=6, "[CRITIQUE] Trop de DC !", IF('12p'!AU46="", "", IF('12p'!AU46="DC", "OK", IF(AND('12p'!AU45&lt;&gt;"", '12p'!AU45&lt;&gt;"DC", '12p'!AU46='12p'!AU45, '12p'!AU46&lt;&gt;0), "[ALERTE] Score FIGÉ ?", IF(AND('12p'!AU45&lt;&gt;"", '12p'!AU45&lt;&gt;"DC", '12p'!AU46&lt;'12p'!AU45), "[ALERTE] Baisse anormale !", "OK")))))</f>
        <v/>
      </c>
      <c r="AX51" s="127">
        <f>'12p'!S46</f>
        <v>0</v>
      </c>
      <c r="AY51" s="142" cm="1">
        <f t="array" ref="AY51">IF(OR(AX51="",AX51="DC"), 0, AX51 - IFERROR(VLOOKUP("???",IF({1;0},"",INDEX(AX$11:AX50,MAX(IF(AX$11:AX50&lt;&gt;"",IF(AX$11:AX50&lt;&gt;"DC",ROW(AX$11:AX50)-MIN(ROW(AX$11:AX50))+1))))),1,FALSE),0))</f>
        <v>0</v>
      </c>
      <c r="AZ51" s="197">
        <f>IF(OR('12p'!BB46="X", '12p'!BB46="DC", '12p'!BB46="", COUNTIF('12p'!$E46:$AB46,"DC")&gt;=6), 0, IFERROR(VLOOKUP('12p'!BB46, Bareme, IF(COUNTIF('12p'!$E46:$AB46,"DC")=2, 4, IF(COUNTIF('12p'!$E46:$AB46,"DC")=4, 6, 0)), FALSE), 0))</f>
        <v>0</v>
      </c>
      <c r="BA51" s="143">
        <f>IF(AND(AX51="DC", COUNTIF('12p'!$E46:$AB46,"DC")&lt;6), 1, 0)</f>
        <v>0</v>
      </c>
      <c r="BB51" s="144">
        <f>SUM('12p'!BB46, AZ51, BA51)</f>
        <v>0</v>
      </c>
      <c r="BC51" s="145">
        <f>IF(AX51="DC", BC50+BA51, SUMIF(AX$11:AX51, "&gt;0") + SUM(BA$11:BA51))</f>
        <v>239</v>
      </c>
      <c r="BD51" s="161" t="str">
        <f>IF(COUNTIF('12p'!$E46:$AB46,"DC")&gt;=6, "[CRITIQUE] Trop de DC !", IF('12p'!BB46="", "", IF('12p'!BB46="DC", "OK", IF(AND('12p'!BB45&lt;&gt;"", '12p'!BB45&lt;&gt;"DC", '12p'!BB46='12p'!BB45, '12p'!BB46&lt;&gt;0), "[ALERTE] Score FIGÉ ?", IF(AND('12p'!BB45&lt;&gt;"", '12p'!BB45&lt;&gt;"DC", '12p'!BB46&lt;'12p'!BB45), "[ALERTE] Baisse anormale !", "OK")))))</f>
        <v/>
      </c>
      <c r="BE51" s="127">
        <f>'12p'!U46</f>
        <v>0</v>
      </c>
      <c r="BF51" s="142" cm="1">
        <f t="array" ref="BF51">IF(OR(BE51="",BE51="DC"), 0, BE51 - IFERROR(VLOOKUP("???",IF({1;0},"",INDEX(BE$11:BE50,MAX(IF(BE$11:BE50&lt;&gt;"",IF(BE$11:BE50&lt;&gt;"DC",ROW(BE$11:BE50)-MIN(ROW(BE$11:BE50))+1))))),1,FALSE),0))</f>
        <v>0</v>
      </c>
      <c r="BG51" s="197">
        <f>IF(OR('12p'!BI46="X", '12p'!BI46="DC", '12p'!BI46="", COUNTIF('12p'!$E46:$AB46,"DC")&gt;=6), 0, IFERROR(VLOOKUP('12p'!BI46, Bareme, IF(COUNTIF('12p'!$E46:$AB46,"DC")=2, 4, IF(COUNTIF('12p'!$E46:$AB46,"DC")=4, 6, 0)), FALSE), 0))</f>
        <v>0</v>
      </c>
      <c r="BH51" s="143">
        <f>IF(AND(BE51="DC", COUNTIF('12p'!$E46:$AB46,"DC")&lt;6), 1, 0)</f>
        <v>0</v>
      </c>
      <c r="BI51" s="144">
        <f>SUM('12p'!BI46, BG51, BH51)</f>
        <v>0</v>
      </c>
      <c r="BJ51" s="145">
        <f>IF(BE51="DC", BJ50+BH51, SUMIF(BE$11:BE51, "&gt;0") + SUM(BH$11:BH51))</f>
        <v>445</v>
      </c>
      <c r="BK51" s="161" t="str">
        <f>IF(COUNTIF('12p'!$E46:$AB46,"DC")&gt;=6, "[CRITIQUE] Trop de DC !", IF('12p'!BI46="", "", IF('12p'!BI46="DC", "OK", IF(AND('12p'!BI45&lt;&gt;"", '12p'!BI45&lt;&gt;"DC", '12p'!BI46='12p'!BI45, '12p'!BI46&lt;&gt;0), "[ALERTE] Score FIGÉ ?", IF(AND('12p'!BI45&lt;&gt;"", '12p'!BI45&lt;&gt;"DC", '12p'!BI46&lt;'12p'!BI45), "[ALERTE] Baisse anormale !", "OK")))))</f>
        <v/>
      </c>
      <c r="BL51" s="127">
        <f>'12p'!W46</f>
        <v>0</v>
      </c>
      <c r="BM51" s="142" cm="1">
        <f t="array" ref="BM51">IF(OR(BL51="",BL51="DC"), 0, BL51 - IFERROR(VLOOKUP("???",IF({1;0},"",INDEX(BL$11:BL50,MAX(IF(BL$11:BL50&lt;&gt;"",IF(BL$11:BL50&lt;&gt;"DC",ROW(BL$11:BL50)-MIN(ROW(BL$11:BL50))+1))))),1,FALSE),0))</f>
        <v>0</v>
      </c>
      <c r="BN51" s="197">
        <f>IF(OR('12p'!BP46="X", '12p'!BP46="DC", '12p'!BP46="", COUNTIF('12p'!$E46:$AB46,"DC")&gt;=6), 0, IFERROR(VLOOKUP('12p'!BP46, Bareme, IF(COUNTIF('12p'!$E46:$AB46,"DC")=2, 4, IF(COUNTIF('12p'!$E46:$AB46,"DC")=4, 6, 0)), FALSE), 0))</f>
        <v>0</v>
      </c>
      <c r="BO51" s="143">
        <f>IF(AND(BL51="DC", COUNTIF('12p'!$E46:$AB46,"DC")&lt;6), 1, 0)</f>
        <v>0</v>
      </c>
      <c r="BP51" s="144">
        <f>SUM('12p'!BP46, BN51, BO51)</f>
        <v>0</v>
      </c>
      <c r="BQ51" s="145">
        <f>IF(BL51="DC", BQ50+BO51, SUMIF(BL$11:BL51, "&gt;0") + SUM(BO$11:BO51))</f>
        <v>384</v>
      </c>
      <c r="BR51" s="161" t="str">
        <f>IF(COUNTIF('12p'!$E46:$AB46,"DC")&gt;=6, "[CRITIQUE] Trop de DC !", IF('12p'!BP46="", "", IF('12p'!BP46="DC", "OK", IF(AND('12p'!BP45&lt;&gt;"", '12p'!BP45&lt;&gt;"DC", '12p'!BP46='12p'!BP45, '12p'!BP46&lt;&gt;0), "[ALERTE] Score FIGÉ ?", IF(AND('12p'!BP45&lt;&gt;"", '12p'!BP45&lt;&gt;"DC", '12p'!BP46&lt;'12p'!BP45), "[ALERTE] Baisse anormale !", "OK")))))</f>
        <v/>
      </c>
      <c r="BS51" s="127">
        <f>'12p'!Y46</f>
        <v>0</v>
      </c>
      <c r="BT51" s="142" cm="1">
        <f t="array" ref="BT51">IF(OR(BS51="",BS51="DC"), 0, BS51 - IFERROR(VLOOKUP("???",IF({1;0},"",INDEX(BS$11:BS50,MAX(IF(BS$11:BS50&lt;&gt;"",IF(BS$11:BS50&lt;&gt;"DC",ROW(BS$11:BS50)-MIN(ROW(BS$11:BS50))+1))))),1,FALSE),0))</f>
        <v>0</v>
      </c>
      <c r="BU51" s="197">
        <f>IF(OR('12p'!BW46="X", '12p'!BW46="DC", '12p'!BW46="", COUNTIF('12p'!$E46:$AB46,"DC")&gt;=6), 0, IFERROR(VLOOKUP('12p'!BW46, Bareme, IF(COUNTIF('12p'!$E46:$AB46,"DC")=2, 4, IF(COUNTIF('12p'!$E46:$AB46,"DC")=4, 6, 0)), FALSE), 0))</f>
        <v>0</v>
      </c>
      <c r="BV51" s="143">
        <f>IF(AND(BS51="DC", COUNTIF('12p'!$E46:$AB46,"DC")&lt;6), 1, 0)</f>
        <v>0</v>
      </c>
      <c r="BW51" s="144">
        <f>SUM('12p'!BW46, BU51, BV51)</f>
        <v>0</v>
      </c>
      <c r="BX51" s="145">
        <f>IF(BS51="DC", BX50+BV51, SUMIF(BS$11:BS51, "&gt;0") + SUM(BV$11:BV51))</f>
        <v>492</v>
      </c>
      <c r="BY51" s="161" t="str">
        <f>IF(COUNTIF('12p'!$E46:$AB46,"DC")&gt;=6, "[CRITIQUE] Trop de DC !", IF('12p'!BW46="", "", IF('12p'!BW46="DC", "OK", IF(AND('12p'!BW45&lt;&gt;"", '12p'!BW45&lt;&gt;"DC", '12p'!BW46='12p'!BW45, '12p'!BW46&lt;&gt;0), "[ALERTE] Score FIGÉ ?", IF(AND('12p'!BW45&lt;&gt;"", '12p'!BW45&lt;&gt;"DC", '12p'!BW46&lt;'12p'!BW45), "[ALERTE] Baisse anormale !", "OK")))))</f>
        <v/>
      </c>
      <c r="BZ51" s="127">
        <f>'12p'!AA46</f>
        <v>0</v>
      </c>
      <c r="CA51" s="142" cm="1">
        <f t="array" ref="CA51">IF(OR(BZ51="",BZ51="DC"), 0, BZ51 - IFERROR(VLOOKUP("???",IF({1;0},"",INDEX(BZ$11:BZ50,MAX(IF(BZ$11:BZ50&lt;&gt;"",IF(BZ$11:BZ50&lt;&gt;"DC",ROW(BZ$11:BZ50)-MIN(ROW(BZ$11:BZ50))+1))))),1,FALSE),0))</f>
        <v>0</v>
      </c>
      <c r="CB51" s="197">
        <f>IF(OR('12p'!CD46="X", '12p'!CD46="DC", '12p'!CD46="", COUNTIF('12p'!$E46:$AB46,"DC")&gt;=6), 0, IFERROR(VLOOKUP('12p'!CD46, Bareme, IF(COUNTIF('12p'!$E46:$AB46,"DC")=2, 4, IF(COUNTIF('12p'!$E46:$AB46,"DC")=4, 6, 0)), FALSE), 0))</f>
        <v>0</v>
      </c>
      <c r="CC51" s="143">
        <f>IF(AND(BZ51="DC", COUNTIF('12p'!$E46:$AB46,"DC")&lt;6), 1, 0)</f>
        <v>0</v>
      </c>
      <c r="CD51" s="144">
        <f>SUM('12p'!CD46, CB51, CC51)</f>
        <v>0</v>
      </c>
      <c r="CE51" s="145">
        <f>IF(BZ51="DC", CE50+CC51, SUMIF(BZ$11:BZ51, "&gt;0") + SUM(CC$11:CC51))</f>
        <v>614</v>
      </c>
      <c r="CF51" s="161" t="str">
        <f>IF(COUNTIF('12p'!$E46:$AB46,"DC")&gt;=6, "[CRITIQUE] Trop de DC !", IF('12p'!CD46="", "", IF('12p'!CD46="DC", "OK", IF(AND('12p'!CD45&lt;&gt;"", '12p'!CD45&lt;&gt;"DC", '12p'!CD46='12p'!CD45, '12p'!CD46&lt;&gt;0), "[ALERTE] Score FIGÉ ?", IF(AND('12p'!CD45&lt;&gt;"", '12p'!CD45&lt;&gt;"DC", '12p'!CD46&lt;'12p'!CD45), "[ALERTE] Baisse anormale !", "OK")))))</f>
        <v/>
      </c>
      <c r="CG51" s="108"/>
      <c r="CH51" s="108"/>
    </row>
    <row r="52" spans="1:86" ht="15.75" customHeight="1" thickBot="1" x14ac:dyDescent="0.3">
      <c r="A52" s="127">
        <f>'12p'!E47</f>
        <v>0</v>
      </c>
      <c r="B52" s="142">
        <f t="shared" si="69"/>
        <v>0</v>
      </c>
      <c r="C52" s="197" cm="1">
        <f t="array" ref="C52">IF(OR(A52="DC",A52="",B52=0),0,IF(COUNTIF('12p'!$E47:$AB47,"DC")=1,INDEX(Table_11p,IF(B52=12,1,IF(B52=10,2,14-B52)),3),IF(COUNTIF('12p'!$E47:$AB47,"DC")=2,INDEX(Table_10p,IF(B52=11,1,IF(B52=9,2,12-B52)),3),IF(COUNTIF('12p'!$E47:$AB47,"DC")&gt;=3,INDEX(Table_9p_or_less,10-B52,3),0))))</f>
        <v>0</v>
      </c>
      <c r="D52" s="143">
        <f>IF(A52="DC",1,0)</f>
        <v>0</v>
      </c>
      <c r="E52" s="189">
        <f t="shared" si="71"/>
        <v>0</v>
      </c>
      <c r="F52" s="145">
        <f t="shared" si="72"/>
        <v>0</v>
      </c>
      <c r="G52" s="161" t="str">
        <f>IF(COUNTIF('12p'!$E47:$AB47,"DC")&gt;=6, "[CRITIQUE] Trop de DC !", IF('12p'!E47="", "", IF('12p'!E47="DC", "OK", IF(AND('12p'!E46&lt;&gt;"", '12p'!E46&lt;&gt;"DC", '12p'!E47='12p'!E46, '12p'!E47&lt;&gt;0), "[ALERTE] Score FIGÉ ?", IF(AND('12p'!E46&lt;&gt;"", '12p'!E46&lt;&gt;"DC", '12p'!E47&lt;'12p'!E46), "[ALERTE] Baisse anormale !", "OK")))))</f>
        <v/>
      </c>
      <c r="H52" s="127">
        <f>'12p'!G47</f>
        <v>0</v>
      </c>
      <c r="I52" s="142">
        <f t="shared" si="73"/>
        <v>0</v>
      </c>
      <c r="J52" s="197" cm="1">
        <f t="array" ref="J52">IF(OR(H52="DC",H52="",I52=0),0,IF(COUNTIF('12p'!$E47:$AB47,"DC")=1,INDEX(Table_11p,IF(I52=12,1,IF(I52=10,2,14-I52)),3),IF(COUNTIF('12p'!$E47:$AB47,"DC")=2,INDEX(Table_10p,IF(I52=11,1,IF(I52=9,2,12-I52)),3),IF(COUNTIF('12p'!$E47:$AB47,"DC")&gt;=3,INDEX(Table_9p_or_less,10-I52,3),0))))</f>
        <v>0</v>
      </c>
      <c r="K52" s="143">
        <f t="shared" si="74"/>
        <v>0</v>
      </c>
      <c r="L52" s="189">
        <f t="shared" si="75"/>
        <v>0</v>
      </c>
      <c r="M52" s="145">
        <f t="shared" si="76"/>
        <v>0</v>
      </c>
      <c r="N52" s="161" t="str">
        <f>IF(COUNTIF('12p'!$E47:$AB47,"DC")&gt;=6, "[CRITIQUE] Trop de DC !", IF('12p'!L47="", "", IF('12p'!L47="DC", "OK", IF(AND('12p'!L46&lt;&gt;"", '12p'!L46&lt;&gt;"DC", '12p'!L47='12p'!L46, '12p'!L47&lt;&gt;0), "[ALERTE] Score FIGÉ ?", IF(AND('12p'!L46&lt;&gt;"", '12p'!L46&lt;&gt;"DC", '12p'!L47&lt;'12p'!L46), "[ALERTE] Baisse anormale !", "OK")))))</f>
        <v/>
      </c>
      <c r="O52" s="127">
        <f>'12p'!I47</f>
        <v>0</v>
      </c>
      <c r="P52" s="142">
        <f t="shared" si="77"/>
        <v>0</v>
      </c>
      <c r="Q52" s="197" cm="1">
        <f t="array" ref="Q52">IF(OR(O52="DC",O52="",P52=0),0,IF(COUNTIF('12p'!$E47:$AB47,"DC")=1,INDEX(Table_11p,IF(P52=12,1,IF(P52=10,2,14-P52)),3),IF(COUNTIF('12p'!$E47:$AB47,"DC")=2,INDEX(Table_10p,IF(P52=11,1,IF(P52=9,2,12-P52)),3),IF(COUNTIF('12p'!$E47:$AB47,"DC")&gt;=3,INDEX(Table_9p_or_less,10-P52,3),0))))</f>
        <v>0</v>
      </c>
      <c r="R52" s="143">
        <f t="shared" si="78"/>
        <v>0</v>
      </c>
      <c r="S52" s="189">
        <f t="shared" si="79"/>
        <v>0</v>
      </c>
      <c r="T52" s="145">
        <f t="shared" si="80"/>
        <v>0</v>
      </c>
      <c r="U52" s="161" t="str">
        <f>IF(COUNTIF('12p'!$E47:$AB47,"DC")&gt;=6, "[CRITIQUE] Trop de DC !", IF('12p'!S47="", "", IF('12p'!S47="DC", "OK", IF(AND('12p'!S46&lt;&gt;"", '12p'!S46&lt;&gt;"DC", '12p'!S47='12p'!S46, '12p'!S47&lt;&gt;0), "[ALERTE] Score FIGÉ ?", IF(AND('12p'!S46&lt;&gt;"", '12p'!S46&lt;&gt;"DC", '12p'!S47&lt;'12p'!S46), "[ALERTE] Baisse anormale !", "OK")))))</f>
        <v/>
      </c>
      <c r="V52" s="127">
        <f>'12p'!K47</f>
        <v>0</v>
      </c>
      <c r="W52" s="142">
        <f t="shared" si="81"/>
        <v>0</v>
      </c>
      <c r="X52" s="197" cm="1">
        <f t="array" ref="X52">IF(OR(V52="DC",V52="",W52=0),0,IF(COUNTIF('12p'!$E47:$AB47,"DC")=1,INDEX(Table_11p,IF(W52=12,1,IF(W52=10,2,14-W52)),3),IF(COUNTIF('12p'!$E47:$AB47,"DC")=2,INDEX(Table_10p,IF(W52=11,1,IF(W52=9,2,12-W52)),3),IF(COUNTIF('12p'!$E47:$AB47,"DC")&gt;=3,INDEX(Table_9p_or_less,10-W52,3),0))))</f>
        <v>0</v>
      </c>
      <c r="Y52" s="143">
        <f t="shared" si="82"/>
        <v>0</v>
      </c>
      <c r="Z52" s="189">
        <f t="shared" si="83"/>
        <v>0</v>
      </c>
      <c r="AA52" s="145">
        <f t="shared" si="84"/>
        <v>0</v>
      </c>
      <c r="AB52" s="161" t="str">
        <f>IF(COUNTIF('12p'!$E47:$AB47,"DC")&gt;=6, "[CRITIQUE] Trop de DC !", IF('12p'!Z47="", "", IF('12p'!Z47="DC", "OK", IF(AND('12p'!Z46&lt;&gt;"", '12p'!Z46&lt;&gt;"DC", '12p'!Z47='12p'!Z46, '12p'!Z47&lt;&gt;0), "[ALERTE] Score FIGÉ ?", IF(AND('12p'!Z46&lt;&gt;"", '12p'!Z46&lt;&gt;"DC", '12p'!Z47&lt;'12p'!Z46), "[ALERTE] Baisse anormale !", "OK")))))</f>
        <v/>
      </c>
      <c r="AC52" s="127">
        <f>'12p'!M47</f>
        <v>0</v>
      </c>
      <c r="AD52" s="142" cm="1">
        <f t="array" ref="AD52">IF(OR(AC52="",AC52="DC"), 0, AC52 - IFERROR(VLOOKUP("???",IF({1;0},"",INDEX(AC$11:AC51,MAX(IF(AC$11:AC51&lt;&gt;"",IF(AC$11:AC51&lt;&gt;"DC",ROW(AC$11:AC51)-MIN(ROW(AC$11:AC51))+1))))),1,FALSE),0))</f>
        <v>0</v>
      </c>
      <c r="AE52" s="197">
        <f>IF(OR('12p'!AG47="X", '12p'!AG47="DC", '12p'!AG47="", COUNTIF('12p'!$E47:$AB47,"DC")&gt;=6), 0, IFERROR(VLOOKUP('12p'!AG47, Bareme, IF(COUNTIF('12p'!$E47:$AB47,"DC")=2, 4, IF(COUNTIF('12p'!$E47:$AB47,"DC")=4, 6, 0)), FALSE), 0))</f>
        <v>0</v>
      </c>
      <c r="AF52" s="143">
        <f>IF(AND(AC52="DC", COUNTIF('12p'!$E47:$AB47,"DC")&lt;6), 1, 0)</f>
        <v>0</v>
      </c>
      <c r="AG52" s="144">
        <f>SUM('12p'!AG47, AE52, AF52)</f>
        <v>0</v>
      </c>
      <c r="AH52" s="145">
        <f>IF(AC52="DC", AH51+AF52, SUMIF(AC$11:AC52, "&gt;0") + SUM(AF$11:AF52))</f>
        <v>663</v>
      </c>
      <c r="AI52" s="161" t="str">
        <f>IF(COUNTIF('12p'!$E47:$AB47,"DC")&gt;=6, "[CRITIQUE] Trop de DC !", IF('12p'!AG47="", "", IF('12p'!AG47="DC", "OK", IF(AND('12p'!AG46&lt;&gt;"", '12p'!AG46&lt;&gt;"DC", '12p'!AG47='12p'!AG46, '12p'!AG47&lt;&gt;0), "[ALERTE] Score FIGÉ ?", IF(AND('12p'!AG46&lt;&gt;"", '12p'!AG46&lt;&gt;"DC", '12p'!AG47&lt;'12p'!AG46), "[ALERTE] Baisse anormale !", "OK")))))</f>
        <v/>
      </c>
      <c r="AJ52" s="127">
        <f>'12p'!O47</f>
        <v>0</v>
      </c>
      <c r="AK52" s="142" cm="1">
        <f t="array" ref="AK52">IF(OR(AJ52="",AJ52="DC"), 0, AJ52 - IFERROR(VLOOKUP("???",IF({1;0},"",INDEX(AJ$11:AJ51,MAX(IF(AJ$11:AJ51&lt;&gt;"",IF(AJ$11:AJ51&lt;&gt;"DC",ROW(AJ$11:AJ51)-MIN(ROW(AJ$11:AJ51))+1))))),1,FALSE),0))</f>
        <v>0</v>
      </c>
      <c r="AL52" s="197">
        <f>IF(OR('12p'!AN47="X", '12p'!AN47="DC", '12p'!AN47="", COUNTIF('12p'!$E47:$AB47,"DC")&gt;=6), 0, IFERROR(VLOOKUP('12p'!AN47, Bareme, IF(COUNTIF('12p'!$E47:$AB47,"DC")=2, 4, IF(COUNTIF('12p'!$E47:$AB47,"DC")=4, 6, 0)), FALSE), 0))</f>
        <v>0</v>
      </c>
      <c r="AM52" s="143">
        <f>IF(AND(AJ52="DC", COUNTIF('12p'!$E47:$AB47,"DC")&lt;6), 1, 0)</f>
        <v>0</v>
      </c>
      <c r="AN52" s="144">
        <f>SUM('12p'!AN47, AL52, AM52)</f>
        <v>0</v>
      </c>
      <c r="AO52" s="145">
        <f>IF(AJ52="DC", AO51+AM52, SUMIF(AJ$11:AJ52, "&gt;0") + SUM(AM$11:AM52))</f>
        <v>469</v>
      </c>
      <c r="AP52" s="161" t="str">
        <f>IF(COUNTIF('12p'!$E47:$AB47,"DC")&gt;=6, "[CRITIQUE] Trop de DC !", IF('12p'!AN47="", "", IF('12p'!AN47="DC", "OK", IF(AND('12p'!AN46&lt;&gt;"", '12p'!AN46&lt;&gt;"DC", '12p'!AN47='12p'!AN46, '12p'!AN47&lt;&gt;0), "[ALERTE] Score FIGÉ ?", IF(AND('12p'!AN46&lt;&gt;"", '12p'!AN46&lt;&gt;"DC", '12p'!AN47&lt;'12p'!AN46), "[ALERTE] Baisse anormale !", "OK")))))</f>
        <v/>
      </c>
      <c r="AQ52" s="127">
        <f>'12p'!Q47</f>
        <v>0</v>
      </c>
      <c r="AR52" s="142" cm="1">
        <f t="array" ref="AR52">IF(OR(AQ52="",AQ52="DC"), 0, AQ52 - IFERROR(VLOOKUP("???",IF({1;0},"",INDEX(AQ$11:AQ51,MAX(IF(AQ$11:AQ51&lt;&gt;"",IF(AQ$11:AQ51&lt;&gt;"DC",ROW(AQ$11:AQ51)-MIN(ROW(AQ$11:AQ51))+1))))),1,FALSE),0))</f>
        <v>0</v>
      </c>
      <c r="AS52" s="197">
        <f>IF(OR('12p'!AU47="X", '12p'!AU47="DC", '12p'!AU47="", COUNTIF('12p'!$E47:$AB47,"DC")&gt;=6), 0, IFERROR(VLOOKUP('12p'!AU47, Bareme, IF(COUNTIF('12p'!$E47:$AB47,"DC")=2, 4, IF(COUNTIF('12p'!$E47:$AB47,"DC")=4, 6, 0)), FALSE), 0))</f>
        <v>0</v>
      </c>
      <c r="AT52" s="143">
        <f>IF(AND(AQ52="DC", COUNTIF('12p'!$E47:$AB47,"DC")&lt;6), 1, 0)</f>
        <v>0</v>
      </c>
      <c r="AU52" s="144">
        <f>SUM('12p'!AU47, AS52, AT52)</f>
        <v>0</v>
      </c>
      <c r="AV52" s="145">
        <f>IF(AQ52="DC", AV51+AT52, SUMIF(AQ$11:AQ52, "&gt;0") + SUM(AT$11:AT52))</f>
        <v>654</v>
      </c>
      <c r="AW52" s="161" t="str">
        <f>IF(COUNTIF('12p'!$E47:$AB47,"DC")&gt;=6, "[CRITIQUE] Trop de DC !", IF('12p'!AU47="", "", IF('12p'!AU47="DC", "OK", IF(AND('12p'!AU46&lt;&gt;"", '12p'!AU46&lt;&gt;"DC", '12p'!AU47='12p'!AU46, '12p'!AU47&lt;&gt;0), "[ALERTE] Score FIGÉ ?", IF(AND('12p'!AU46&lt;&gt;"", '12p'!AU46&lt;&gt;"DC", '12p'!AU47&lt;'12p'!AU46), "[ALERTE] Baisse anormale !", "OK")))))</f>
        <v/>
      </c>
      <c r="AX52" s="127">
        <f>'12p'!S47</f>
        <v>0</v>
      </c>
      <c r="AY52" s="142" cm="1">
        <f t="array" ref="AY52">IF(OR(AX52="",AX52="DC"), 0, AX52 - IFERROR(VLOOKUP("???",IF({1;0},"",INDEX(AX$11:AX51,MAX(IF(AX$11:AX51&lt;&gt;"",IF(AX$11:AX51&lt;&gt;"DC",ROW(AX$11:AX51)-MIN(ROW(AX$11:AX51))+1))))),1,FALSE),0))</f>
        <v>0</v>
      </c>
      <c r="AZ52" s="197">
        <f>IF(OR('12p'!BB47="X", '12p'!BB47="DC", '12p'!BB47="", COUNTIF('12p'!$E47:$AB47,"DC")&gt;=6), 0, IFERROR(VLOOKUP('12p'!BB47, Bareme, IF(COUNTIF('12p'!$E47:$AB47,"DC")=2, 4, IF(COUNTIF('12p'!$E47:$AB47,"DC")=4, 6, 0)), FALSE), 0))</f>
        <v>0</v>
      </c>
      <c r="BA52" s="143">
        <f>IF(AND(AX52="DC", COUNTIF('12p'!$E47:$AB47,"DC")&lt;6), 1, 0)</f>
        <v>0</v>
      </c>
      <c r="BB52" s="144">
        <f>SUM('12p'!BB47, AZ52, BA52)</f>
        <v>0</v>
      </c>
      <c r="BC52" s="145">
        <f>IF(AX52="DC", BC51+BA52, SUMIF(AX$11:AX52, "&gt;0") + SUM(BA$11:BA52))</f>
        <v>239</v>
      </c>
      <c r="BD52" s="161" t="str">
        <f>IF(COUNTIF('12p'!$E47:$AB47,"DC")&gt;=6, "[CRITIQUE] Trop de DC !", IF('12p'!BB47="", "", IF('12p'!BB47="DC", "OK", IF(AND('12p'!BB46&lt;&gt;"", '12p'!BB46&lt;&gt;"DC", '12p'!BB47='12p'!BB46, '12p'!BB47&lt;&gt;0), "[ALERTE] Score FIGÉ ?", IF(AND('12p'!BB46&lt;&gt;"", '12p'!BB46&lt;&gt;"DC", '12p'!BB47&lt;'12p'!BB46), "[ALERTE] Baisse anormale !", "OK")))))</f>
        <v/>
      </c>
      <c r="BE52" s="127">
        <f>'12p'!U47</f>
        <v>0</v>
      </c>
      <c r="BF52" s="142" cm="1">
        <f t="array" ref="BF52">IF(OR(BE52="",BE52="DC"), 0, BE52 - IFERROR(VLOOKUP("???",IF({1;0},"",INDEX(BE$11:BE51,MAX(IF(BE$11:BE51&lt;&gt;"",IF(BE$11:BE51&lt;&gt;"DC",ROW(BE$11:BE51)-MIN(ROW(BE$11:BE51))+1))))),1,FALSE),0))</f>
        <v>0</v>
      </c>
      <c r="BG52" s="197">
        <f>IF(OR('12p'!BI47="X", '12p'!BI47="DC", '12p'!BI47="", COUNTIF('12p'!$E47:$AB47,"DC")&gt;=6), 0, IFERROR(VLOOKUP('12p'!BI47, Bareme, IF(COUNTIF('12p'!$E47:$AB47,"DC")=2, 4, IF(COUNTIF('12p'!$E47:$AB47,"DC")=4, 6, 0)), FALSE), 0))</f>
        <v>0</v>
      </c>
      <c r="BH52" s="143">
        <f>IF(AND(BE52="DC", COUNTIF('12p'!$E47:$AB47,"DC")&lt;6), 1, 0)</f>
        <v>0</v>
      </c>
      <c r="BI52" s="144">
        <f>SUM('12p'!BI47, BG52, BH52)</f>
        <v>0</v>
      </c>
      <c r="BJ52" s="145">
        <f>IF(BE52="DC", BJ51+BH52, SUMIF(BE$11:BE52, "&gt;0") + SUM(BH$11:BH52))</f>
        <v>445</v>
      </c>
      <c r="BK52" s="161" t="str">
        <f>IF(COUNTIF('12p'!$E47:$AB47,"DC")&gt;=6, "[CRITIQUE] Trop de DC !", IF('12p'!BI47="", "", IF('12p'!BI47="DC", "OK", IF(AND('12p'!BI46&lt;&gt;"", '12p'!BI46&lt;&gt;"DC", '12p'!BI47='12p'!BI46, '12p'!BI47&lt;&gt;0), "[ALERTE] Score FIGÉ ?", IF(AND('12p'!BI46&lt;&gt;"", '12p'!BI46&lt;&gt;"DC", '12p'!BI47&lt;'12p'!BI46), "[ALERTE] Baisse anormale !", "OK")))))</f>
        <v/>
      </c>
      <c r="BL52" s="146">
        <f>'12p'!W47</f>
        <v>0</v>
      </c>
      <c r="BM52" s="142" cm="1">
        <f t="array" ref="BM52">IF(OR(BL52="",BL52="DC"), 0, BL52 - IFERROR(VLOOKUP("???",IF({1;0},"",INDEX(BL$11:BL51,MAX(IF(BL$11:BL51&lt;&gt;"",IF(BL$11:BL51&lt;&gt;"DC",ROW(BL$11:BL51)-MIN(ROW(BL$11:BL51))+1))))),1,FALSE),0))</f>
        <v>0</v>
      </c>
      <c r="BN52" s="197">
        <f>IF(OR('12p'!BP47="X", '12p'!BP47="DC", '12p'!BP47="", COUNTIF('12p'!$E47:$AB47,"DC")&gt;=6), 0, IFERROR(VLOOKUP('12p'!BP47, Bareme, IF(COUNTIF('12p'!$E47:$AB47,"DC")=2, 4, IF(COUNTIF('12p'!$E47:$AB47,"DC")=4, 6, 0)), FALSE), 0))</f>
        <v>0</v>
      </c>
      <c r="BO52" s="143">
        <f>IF(AND(BL52="DC", COUNTIF('12p'!$E47:$AB47,"DC")&lt;6), 1, 0)</f>
        <v>0</v>
      </c>
      <c r="BP52" s="144">
        <f>SUM('12p'!BP47, BN52, BO52)</f>
        <v>0</v>
      </c>
      <c r="BQ52" s="145">
        <f>IF(BL52="DC", BQ51+BO52, SUMIF(BL$11:BL52, "&gt;0") + SUM(BO$11:BO52))</f>
        <v>384</v>
      </c>
      <c r="BR52" s="161" t="str">
        <f>IF(COUNTIF('12p'!$E47:$AB47,"DC")&gt;=6, "[CRITIQUE] Trop de DC !", IF('12p'!BP47="", "", IF('12p'!BP47="DC", "OK", IF(AND('12p'!BP46&lt;&gt;"", '12p'!BP46&lt;&gt;"DC", '12p'!BP47='12p'!BP46, '12p'!BP47&lt;&gt;0), "[ALERTE] Score FIGÉ ?", IF(AND('12p'!BP46&lt;&gt;"", '12p'!BP46&lt;&gt;"DC", '12p'!BP47&lt;'12p'!BP46), "[ALERTE] Baisse anormale !", "OK")))))</f>
        <v/>
      </c>
      <c r="BS52" s="146">
        <f>'12p'!Y47</f>
        <v>0</v>
      </c>
      <c r="BT52" s="142" cm="1">
        <f t="array" ref="BT52">IF(OR(BS52="",BS52="DC"), 0, BS52 - IFERROR(VLOOKUP("???",IF({1;0},"",INDEX(BS$11:BS51,MAX(IF(BS$11:BS51&lt;&gt;"",IF(BS$11:BS51&lt;&gt;"DC",ROW(BS$11:BS51)-MIN(ROW(BS$11:BS51))+1))))),1,FALSE),0))</f>
        <v>0</v>
      </c>
      <c r="BU52" s="197">
        <f>IF(OR('12p'!BW47="X", '12p'!BW47="DC", '12p'!BW47="", COUNTIF('12p'!$E47:$AB47,"DC")&gt;=6), 0, IFERROR(VLOOKUP('12p'!BW47, Bareme, IF(COUNTIF('12p'!$E47:$AB47,"DC")=2, 4, IF(COUNTIF('12p'!$E47:$AB47,"DC")=4, 6, 0)), FALSE), 0))</f>
        <v>0</v>
      </c>
      <c r="BV52" s="143">
        <f>IF(AND(BS52="DC", COUNTIF('12p'!$E47:$AB47,"DC")&lt;6), 1, 0)</f>
        <v>0</v>
      </c>
      <c r="BW52" s="144">
        <f>SUM('12p'!BW47, BU52, BV52)</f>
        <v>0</v>
      </c>
      <c r="BX52" s="145">
        <f>IF(BS52="DC", BX51+BV52, SUMIF(BS$11:BS52, "&gt;0") + SUM(BV$11:BV52))</f>
        <v>492</v>
      </c>
      <c r="BY52" s="161" t="str">
        <f>IF(COUNTIF('12p'!$E47:$AB47,"DC")&gt;=6, "[CRITIQUE] Trop de DC !", IF('12p'!BW47="", "", IF('12p'!BW47="DC", "OK", IF(AND('12p'!BW46&lt;&gt;"", '12p'!BW46&lt;&gt;"DC", '12p'!BW47='12p'!BW46, '12p'!BW47&lt;&gt;0), "[ALERTE] Score FIGÉ ?", IF(AND('12p'!BW46&lt;&gt;"", '12p'!BW46&lt;&gt;"DC", '12p'!BW47&lt;'12p'!BW46), "[ALERTE] Baisse anormale !", "OK")))))</f>
        <v/>
      </c>
      <c r="BZ52" s="146">
        <f>'12p'!AA47</f>
        <v>0</v>
      </c>
      <c r="CA52" s="142" cm="1">
        <f t="array" ref="CA52">IF(OR(BZ52="",BZ52="DC"), 0, BZ52 - IFERROR(VLOOKUP("???",IF({1;0},"",INDEX(BZ$11:BZ51,MAX(IF(BZ$11:BZ51&lt;&gt;"",IF(BZ$11:BZ51&lt;&gt;"DC",ROW(BZ$11:BZ51)-MIN(ROW(BZ$11:BZ51))+1))))),1,FALSE),0))</f>
        <v>0</v>
      </c>
      <c r="CB52" s="197">
        <f>IF(OR('12p'!CD47="X", '12p'!CD47="DC", '12p'!CD47="", COUNTIF('12p'!$E47:$AB47,"DC")&gt;=6), 0, IFERROR(VLOOKUP('12p'!CD47, Bareme, IF(COUNTIF('12p'!$E47:$AB47,"DC")=2, 4, IF(COUNTIF('12p'!$E47:$AB47,"DC")=4, 6, 0)), FALSE), 0))</f>
        <v>0</v>
      </c>
      <c r="CC52" s="143">
        <f>IF(AND(BZ52="DC", COUNTIF('12p'!$E47:$AB47,"DC")&lt;6), 1, 0)</f>
        <v>0</v>
      </c>
      <c r="CD52" s="144">
        <f>SUM('12p'!CD47, CB52, CC52)</f>
        <v>0</v>
      </c>
      <c r="CE52" s="145">
        <f>IF(BZ52="DC", CE51+CC52, SUMIF(BZ$11:BZ52, "&gt;0") + SUM(CC$11:CC52))</f>
        <v>614</v>
      </c>
      <c r="CF52" s="161" t="str">
        <f>IF(COUNTIF('12p'!$E47:$AB47,"DC")&gt;=6, "[CRITIQUE] Trop de DC !", IF('12p'!CD47="", "", IF('12p'!CD47="DC", "OK", IF(AND('12p'!CD46&lt;&gt;"", '12p'!CD46&lt;&gt;"DC", '12p'!CD47='12p'!CD46, '12p'!CD47&lt;&gt;0), "[ALERTE] Score FIGÉ ?", IF(AND('12p'!CD46&lt;&gt;"", '12p'!CD46&lt;&gt;"DC", '12p'!CD47&lt;'12p'!CD46), "[ALERTE] Baisse anormale !", "OK")))))</f>
        <v/>
      </c>
      <c r="CG52" s="108"/>
      <c r="CH52" s="108"/>
    </row>
    <row r="53" spans="1:86" ht="15" customHeight="1" x14ac:dyDescent="0.25">
      <c r="A53" s="430" t="s">
        <v>34</v>
      </c>
      <c r="B53" s="431"/>
      <c r="C53" s="431"/>
      <c r="D53" s="431"/>
      <c r="E53" s="431"/>
      <c r="F53" s="431"/>
      <c r="G53" s="431"/>
      <c r="H53" s="431"/>
      <c r="I53" s="431"/>
      <c r="J53" s="431"/>
      <c r="K53" s="431"/>
      <c r="L53" s="431"/>
      <c r="M53" s="431"/>
      <c r="N53" s="431"/>
      <c r="O53" s="431"/>
      <c r="P53" s="431"/>
      <c r="Q53" s="431"/>
      <c r="R53" s="431"/>
      <c r="S53" s="431"/>
      <c r="T53" s="431"/>
      <c r="U53" s="431"/>
      <c r="V53" s="431"/>
      <c r="W53" s="431"/>
      <c r="X53" s="431"/>
      <c r="Y53" s="431"/>
      <c r="Z53" s="431"/>
      <c r="AA53" s="431"/>
      <c r="AB53" s="431"/>
      <c r="AC53" s="431"/>
      <c r="AD53" s="431"/>
      <c r="AE53" s="431"/>
      <c r="AF53" s="431"/>
      <c r="AG53" s="431"/>
      <c r="AH53" s="431"/>
      <c r="AI53" s="431"/>
      <c r="AJ53" s="431"/>
      <c r="AK53" s="431"/>
      <c r="AL53" s="431"/>
      <c r="AM53" s="431"/>
      <c r="AN53" s="431"/>
      <c r="AO53" s="431"/>
      <c r="AP53" s="431"/>
      <c r="AQ53" s="431"/>
      <c r="AR53" s="431"/>
      <c r="AS53" s="431"/>
      <c r="AT53" s="431"/>
      <c r="AU53" s="431"/>
      <c r="AV53" s="431"/>
      <c r="AW53" s="431"/>
      <c r="AX53" s="431"/>
      <c r="AY53" s="431"/>
      <c r="AZ53" s="431"/>
      <c r="BA53" s="431"/>
      <c r="BB53" s="431"/>
      <c r="BC53" s="431"/>
      <c r="BD53" s="431"/>
      <c r="BE53" s="431"/>
      <c r="BF53" s="431"/>
      <c r="BG53" s="431"/>
      <c r="BH53" s="431"/>
      <c r="BI53" s="431"/>
      <c r="BJ53" s="431"/>
      <c r="BK53" s="431"/>
      <c r="BL53" s="431"/>
      <c r="BM53" s="431"/>
      <c r="BN53" s="431"/>
      <c r="BO53" s="431"/>
      <c r="BP53" s="431"/>
      <c r="BQ53" s="431"/>
      <c r="BR53" s="431"/>
      <c r="BS53" s="431"/>
      <c r="BT53" s="431"/>
      <c r="BU53" s="431"/>
      <c r="BV53" s="431"/>
      <c r="BW53" s="431"/>
      <c r="BX53" s="431"/>
      <c r="BY53" s="431"/>
      <c r="BZ53" s="431"/>
      <c r="CA53" s="431"/>
      <c r="CB53" s="431"/>
      <c r="CC53" s="431"/>
      <c r="CD53" s="431"/>
      <c r="CE53" s="431"/>
      <c r="CF53" s="432"/>
      <c r="CG53" s="108"/>
      <c r="CH53" s="108"/>
    </row>
    <row r="54" spans="1:86" ht="15.75" customHeight="1" thickBot="1" x14ac:dyDescent="0.3">
      <c r="A54" s="433"/>
      <c r="B54" s="434"/>
      <c r="C54" s="434"/>
      <c r="D54" s="434"/>
      <c r="E54" s="434"/>
      <c r="F54" s="434"/>
      <c r="G54" s="434"/>
      <c r="H54" s="434"/>
      <c r="I54" s="434"/>
      <c r="J54" s="434"/>
      <c r="K54" s="434"/>
      <c r="L54" s="434"/>
      <c r="M54" s="434"/>
      <c r="N54" s="434"/>
      <c r="O54" s="434"/>
      <c r="P54" s="434"/>
      <c r="Q54" s="434"/>
      <c r="R54" s="434"/>
      <c r="S54" s="434"/>
      <c r="T54" s="434"/>
      <c r="U54" s="434"/>
      <c r="V54" s="434"/>
      <c r="W54" s="434"/>
      <c r="X54" s="434"/>
      <c r="Y54" s="434"/>
      <c r="Z54" s="434"/>
      <c r="AA54" s="434"/>
      <c r="AB54" s="434"/>
      <c r="AC54" s="434"/>
      <c r="AD54" s="434"/>
      <c r="AE54" s="434"/>
      <c r="AF54" s="434"/>
      <c r="AG54" s="434"/>
      <c r="AH54" s="434"/>
      <c r="AI54" s="434"/>
      <c r="AJ54" s="434"/>
      <c r="AK54" s="434"/>
      <c r="AL54" s="434"/>
      <c r="AM54" s="434"/>
      <c r="AN54" s="434"/>
      <c r="AO54" s="434"/>
      <c r="AP54" s="434"/>
      <c r="AQ54" s="434"/>
      <c r="AR54" s="434"/>
      <c r="AS54" s="434"/>
      <c r="AT54" s="434"/>
      <c r="AU54" s="434"/>
      <c r="AV54" s="434"/>
      <c r="AW54" s="434"/>
      <c r="AX54" s="434"/>
      <c r="AY54" s="434"/>
      <c r="AZ54" s="434"/>
      <c r="BA54" s="434"/>
      <c r="BB54" s="434"/>
      <c r="BC54" s="434"/>
      <c r="BD54" s="434"/>
      <c r="BE54" s="434"/>
      <c r="BF54" s="434"/>
      <c r="BG54" s="434"/>
      <c r="BH54" s="434"/>
      <c r="BI54" s="434"/>
      <c r="BJ54" s="434"/>
      <c r="BK54" s="434"/>
      <c r="BL54" s="434"/>
      <c r="BM54" s="434"/>
      <c r="BN54" s="434"/>
      <c r="BO54" s="434"/>
      <c r="BP54" s="434"/>
      <c r="BQ54" s="434"/>
      <c r="BR54" s="434"/>
      <c r="BS54" s="434"/>
      <c r="BT54" s="434"/>
      <c r="BU54" s="434"/>
      <c r="BV54" s="434"/>
      <c r="BW54" s="434"/>
      <c r="BX54" s="434"/>
      <c r="BY54" s="434"/>
      <c r="BZ54" s="434"/>
      <c r="CA54" s="434"/>
      <c r="CB54" s="434"/>
      <c r="CC54" s="434"/>
      <c r="CD54" s="434"/>
      <c r="CE54" s="434"/>
      <c r="CF54" s="435"/>
      <c r="CG54" s="108"/>
      <c r="CH54" s="108"/>
    </row>
    <row r="55" spans="1:86" ht="15" customHeight="1" x14ac:dyDescent="0.25">
      <c r="A55" s="412"/>
      <c r="B55" s="413"/>
      <c r="C55" s="413"/>
      <c r="D55" s="413"/>
      <c r="E55" s="413"/>
      <c r="F55" s="413"/>
      <c r="G55" s="414"/>
      <c r="H55" s="412"/>
      <c r="I55" s="413"/>
      <c r="J55" s="413"/>
      <c r="K55" s="413"/>
      <c r="L55" s="413"/>
      <c r="M55" s="413"/>
      <c r="N55" s="414"/>
      <c r="O55" s="412"/>
      <c r="P55" s="413"/>
      <c r="Q55" s="413"/>
      <c r="R55" s="413"/>
      <c r="S55" s="413"/>
      <c r="T55" s="413"/>
      <c r="U55" s="414"/>
      <c r="V55" s="412"/>
      <c r="W55" s="413"/>
      <c r="X55" s="413"/>
      <c r="Y55" s="413"/>
      <c r="Z55" s="413"/>
      <c r="AA55" s="413"/>
      <c r="AB55" s="414"/>
      <c r="AC55" s="412"/>
      <c r="AD55" s="413"/>
      <c r="AE55" s="413"/>
      <c r="AF55" s="413"/>
      <c r="AG55" s="413"/>
      <c r="AH55" s="413"/>
      <c r="AI55" s="414"/>
      <c r="AJ55" s="412"/>
      <c r="AK55" s="413"/>
      <c r="AL55" s="413"/>
      <c r="AM55" s="413"/>
      <c r="AN55" s="413"/>
      <c r="AO55" s="413"/>
      <c r="AP55" s="414"/>
      <c r="AQ55" s="412"/>
      <c r="AR55" s="413"/>
      <c r="AS55" s="413"/>
      <c r="AT55" s="413"/>
      <c r="AU55" s="413"/>
      <c r="AV55" s="413"/>
      <c r="AW55" s="414"/>
      <c r="AX55" s="412"/>
      <c r="AY55" s="413"/>
      <c r="AZ55" s="413"/>
      <c r="BA55" s="413"/>
      <c r="BB55" s="413"/>
      <c r="BC55" s="413"/>
      <c r="BD55" s="414"/>
      <c r="BE55" s="412"/>
      <c r="BF55" s="413"/>
      <c r="BG55" s="413"/>
      <c r="BH55" s="413"/>
      <c r="BI55" s="413"/>
      <c r="BJ55" s="413"/>
      <c r="BK55" s="414"/>
      <c r="BL55" s="412"/>
      <c r="BM55" s="413"/>
      <c r="BN55" s="413"/>
      <c r="BO55" s="413"/>
      <c r="BP55" s="413"/>
      <c r="BQ55" s="413"/>
      <c r="BR55" s="414"/>
      <c r="BS55" s="412"/>
      <c r="BT55" s="413"/>
      <c r="BU55" s="413"/>
      <c r="BV55" s="413"/>
      <c r="BW55" s="413"/>
      <c r="BX55" s="413"/>
      <c r="BY55" s="414"/>
      <c r="BZ55" s="412"/>
      <c r="CA55" s="413"/>
      <c r="CB55" s="413"/>
      <c r="CC55" s="413"/>
      <c r="CD55" s="413"/>
      <c r="CE55" s="413"/>
      <c r="CF55" s="414"/>
      <c r="CG55" s="108"/>
      <c r="CH55" s="108"/>
    </row>
    <row r="56" spans="1:86" ht="15" customHeight="1" x14ac:dyDescent="0.25">
      <c r="A56" s="415"/>
      <c r="B56" s="416"/>
      <c r="C56" s="416"/>
      <c r="D56" s="416"/>
      <c r="E56" s="416"/>
      <c r="F56" s="416"/>
      <c r="G56" s="417"/>
      <c r="H56" s="415"/>
      <c r="I56" s="416"/>
      <c r="J56" s="416"/>
      <c r="K56" s="416"/>
      <c r="L56" s="416"/>
      <c r="M56" s="416"/>
      <c r="N56" s="417"/>
      <c r="O56" s="415"/>
      <c r="P56" s="416"/>
      <c r="Q56" s="416"/>
      <c r="R56" s="416"/>
      <c r="S56" s="416"/>
      <c r="T56" s="416"/>
      <c r="U56" s="417"/>
      <c r="V56" s="415"/>
      <c r="W56" s="416"/>
      <c r="X56" s="416"/>
      <c r="Y56" s="416"/>
      <c r="Z56" s="416"/>
      <c r="AA56" s="416"/>
      <c r="AB56" s="417"/>
      <c r="AC56" s="415"/>
      <c r="AD56" s="416"/>
      <c r="AE56" s="416"/>
      <c r="AF56" s="416"/>
      <c r="AG56" s="416"/>
      <c r="AH56" s="416"/>
      <c r="AI56" s="417"/>
      <c r="AJ56" s="415"/>
      <c r="AK56" s="416"/>
      <c r="AL56" s="416"/>
      <c r="AM56" s="416"/>
      <c r="AN56" s="416"/>
      <c r="AO56" s="416"/>
      <c r="AP56" s="417"/>
      <c r="AQ56" s="415"/>
      <c r="AR56" s="416"/>
      <c r="AS56" s="416"/>
      <c r="AT56" s="416"/>
      <c r="AU56" s="416"/>
      <c r="AV56" s="416"/>
      <c r="AW56" s="417"/>
      <c r="AX56" s="415"/>
      <c r="AY56" s="416"/>
      <c r="AZ56" s="416"/>
      <c r="BA56" s="416"/>
      <c r="BB56" s="416"/>
      <c r="BC56" s="416"/>
      <c r="BD56" s="417"/>
      <c r="BE56" s="415"/>
      <c r="BF56" s="416"/>
      <c r="BG56" s="416"/>
      <c r="BH56" s="416"/>
      <c r="BI56" s="416"/>
      <c r="BJ56" s="416"/>
      <c r="BK56" s="417"/>
      <c r="BL56" s="415"/>
      <c r="BM56" s="416"/>
      <c r="BN56" s="416"/>
      <c r="BO56" s="416"/>
      <c r="BP56" s="416"/>
      <c r="BQ56" s="416"/>
      <c r="BR56" s="417"/>
      <c r="BS56" s="415"/>
      <c r="BT56" s="416"/>
      <c r="BU56" s="416"/>
      <c r="BV56" s="416"/>
      <c r="BW56" s="416"/>
      <c r="BX56" s="416"/>
      <c r="BY56" s="417"/>
      <c r="BZ56" s="415"/>
      <c r="CA56" s="416"/>
      <c r="CB56" s="416"/>
      <c r="CC56" s="416"/>
      <c r="CD56" s="416"/>
      <c r="CE56" s="416"/>
      <c r="CF56" s="417"/>
      <c r="CG56" s="108"/>
      <c r="CH56" s="108"/>
    </row>
    <row r="57" spans="1:86" ht="15.75" customHeight="1" thickBot="1" x14ac:dyDescent="0.3">
      <c r="A57" s="418"/>
      <c r="B57" s="419"/>
      <c r="C57" s="419"/>
      <c r="D57" s="419"/>
      <c r="E57" s="419"/>
      <c r="F57" s="419"/>
      <c r="G57" s="420"/>
      <c r="H57" s="418"/>
      <c r="I57" s="419"/>
      <c r="J57" s="419"/>
      <c r="K57" s="419"/>
      <c r="L57" s="419"/>
      <c r="M57" s="419"/>
      <c r="N57" s="420"/>
      <c r="O57" s="418"/>
      <c r="P57" s="419"/>
      <c r="Q57" s="419"/>
      <c r="R57" s="419"/>
      <c r="S57" s="419"/>
      <c r="T57" s="419"/>
      <c r="U57" s="420"/>
      <c r="V57" s="418"/>
      <c r="W57" s="419"/>
      <c r="X57" s="419"/>
      <c r="Y57" s="419"/>
      <c r="Z57" s="419"/>
      <c r="AA57" s="419"/>
      <c r="AB57" s="420"/>
      <c r="AC57" s="418"/>
      <c r="AD57" s="419"/>
      <c r="AE57" s="419"/>
      <c r="AF57" s="419"/>
      <c r="AG57" s="419"/>
      <c r="AH57" s="419"/>
      <c r="AI57" s="420"/>
      <c r="AJ57" s="418"/>
      <c r="AK57" s="419"/>
      <c r="AL57" s="419"/>
      <c r="AM57" s="419"/>
      <c r="AN57" s="419"/>
      <c r="AO57" s="419"/>
      <c r="AP57" s="420"/>
      <c r="AQ57" s="418"/>
      <c r="AR57" s="419"/>
      <c r="AS57" s="419"/>
      <c r="AT57" s="419"/>
      <c r="AU57" s="419"/>
      <c r="AV57" s="419"/>
      <c r="AW57" s="420"/>
      <c r="AX57" s="418"/>
      <c r="AY57" s="419"/>
      <c r="AZ57" s="419"/>
      <c r="BA57" s="419"/>
      <c r="BB57" s="419"/>
      <c r="BC57" s="419"/>
      <c r="BD57" s="420"/>
      <c r="BE57" s="418"/>
      <c r="BF57" s="419"/>
      <c r="BG57" s="419"/>
      <c r="BH57" s="419"/>
      <c r="BI57" s="419"/>
      <c r="BJ57" s="419"/>
      <c r="BK57" s="420"/>
      <c r="BL57" s="418"/>
      <c r="BM57" s="419"/>
      <c r="BN57" s="419"/>
      <c r="BO57" s="419"/>
      <c r="BP57" s="419"/>
      <c r="BQ57" s="419"/>
      <c r="BR57" s="420"/>
      <c r="BS57" s="418"/>
      <c r="BT57" s="419"/>
      <c r="BU57" s="419"/>
      <c r="BV57" s="419"/>
      <c r="BW57" s="419"/>
      <c r="BX57" s="419"/>
      <c r="BY57" s="420"/>
      <c r="BZ57" s="418"/>
      <c r="CA57" s="419"/>
      <c r="CB57" s="419"/>
      <c r="CC57" s="419"/>
      <c r="CD57" s="419"/>
      <c r="CE57" s="419"/>
      <c r="CF57" s="420"/>
      <c r="CG57" s="108"/>
      <c r="CH57" s="108"/>
    </row>
    <row r="58" spans="1:86" x14ac:dyDescent="0.25">
      <c r="A58" s="151"/>
      <c r="B58" s="152"/>
      <c r="C58" s="151"/>
      <c r="D58" s="151"/>
      <c r="E58" s="151"/>
      <c r="F58" s="151"/>
      <c r="G58" s="151"/>
      <c r="H58" s="151"/>
      <c r="I58" s="152"/>
      <c r="J58" s="151"/>
      <c r="K58" s="151"/>
      <c r="L58" s="151"/>
      <c r="M58" s="151"/>
      <c r="N58" s="152"/>
      <c r="O58" s="151"/>
      <c r="P58" s="151"/>
      <c r="Q58" s="151"/>
      <c r="R58" s="151"/>
      <c r="S58" s="152"/>
      <c r="T58" s="151"/>
      <c r="U58" s="151"/>
      <c r="V58" s="151"/>
      <c r="W58" s="151"/>
      <c r="X58" s="152"/>
      <c r="Y58" s="151"/>
      <c r="Z58" s="151"/>
      <c r="AA58" s="151"/>
      <c r="AB58" s="151"/>
      <c r="AC58" s="152"/>
      <c r="AD58" s="151"/>
      <c r="AE58" s="151"/>
      <c r="AF58" s="151"/>
      <c r="AG58" s="151"/>
      <c r="AH58" s="152"/>
      <c r="AI58" s="151"/>
      <c r="AJ58" s="151"/>
      <c r="AK58" s="151"/>
      <c r="AL58" s="151"/>
      <c r="AM58" s="152"/>
      <c r="AN58" s="151"/>
      <c r="AO58" s="151"/>
      <c r="AP58" s="151"/>
      <c r="AQ58" s="151"/>
      <c r="AR58" s="152"/>
      <c r="AS58" s="151"/>
      <c r="AT58" s="151"/>
      <c r="AU58" s="151"/>
      <c r="AV58" s="151"/>
      <c r="AW58" s="152"/>
      <c r="AX58" s="151"/>
      <c r="AY58" s="151"/>
      <c r="AZ58" s="151"/>
      <c r="BA58" s="151"/>
      <c r="BB58" s="152"/>
      <c r="BC58" s="151"/>
      <c r="BD58" s="151"/>
      <c r="BE58" s="151"/>
      <c r="BF58" s="151"/>
      <c r="BG58" s="152"/>
      <c r="BH58" s="151"/>
      <c r="BI58" s="151"/>
      <c r="BJ58" s="151"/>
      <c r="BK58" s="108"/>
      <c r="BL58" s="108"/>
      <c r="BM58" s="108"/>
      <c r="BN58" s="108"/>
      <c r="BO58" s="108"/>
      <c r="BP58" s="108"/>
      <c r="BQ58" s="108"/>
      <c r="BR58" s="108"/>
      <c r="BS58" s="108"/>
      <c r="BT58" s="108"/>
      <c r="BU58" s="108"/>
      <c r="BV58" s="108"/>
      <c r="BW58" s="108"/>
      <c r="BX58" s="108"/>
      <c r="BY58" s="108"/>
      <c r="BZ58" s="108"/>
      <c r="CA58" s="108"/>
      <c r="CB58" s="108"/>
      <c r="CC58" s="108"/>
      <c r="CD58" s="108"/>
      <c r="CE58" s="108"/>
      <c r="CF58" s="108"/>
      <c r="CG58" s="108"/>
      <c r="CH58" s="108"/>
    </row>
    <row r="59" spans="1:86" x14ac:dyDescent="0.25">
      <c r="A59" s="151"/>
      <c r="B59" s="152"/>
      <c r="C59" s="151"/>
      <c r="D59" s="151"/>
      <c r="E59" s="151"/>
      <c r="F59" s="151"/>
      <c r="G59" s="151"/>
      <c r="H59" s="151"/>
      <c r="I59" s="152"/>
      <c r="J59" s="151"/>
      <c r="K59" s="151"/>
      <c r="L59" s="151"/>
      <c r="M59" s="151"/>
      <c r="N59" s="152"/>
      <c r="O59" s="151"/>
      <c r="P59" s="151"/>
      <c r="Q59" s="151"/>
      <c r="R59" s="151"/>
      <c r="S59" s="152"/>
      <c r="T59" s="151"/>
      <c r="U59" s="151"/>
      <c r="V59" s="151"/>
      <c r="W59" s="151"/>
      <c r="X59" s="152"/>
      <c r="Y59" s="151"/>
      <c r="Z59" s="151"/>
      <c r="AA59" s="151"/>
      <c r="AB59" s="151"/>
      <c r="AC59" s="152"/>
      <c r="AD59" s="151"/>
      <c r="AE59" s="151"/>
      <c r="AF59" s="151"/>
      <c r="AG59" s="151"/>
      <c r="AH59" s="152"/>
      <c r="AI59" s="151"/>
      <c r="AJ59" s="151"/>
      <c r="AK59" s="151"/>
      <c r="AL59" s="151"/>
      <c r="AM59" s="152"/>
      <c r="AN59" s="151"/>
      <c r="AO59" s="151"/>
      <c r="AP59" s="151"/>
      <c r="AQ59" s="151"/>
      <c r="AR59" s="152"/>
      <c r="AS59" s="151"/>
      <c r="AT59" s="151"/>
      <c r="AU59" s="151"/>
      <c r="AV59" s="151"/>
      <c r="AW59" s="152"/>
      <c r="AX59" s="151"/>
      <c r="AY59" s="151"/>
      <c r="AZ59" s="151"/>
      <c r="BA59" s="151"/>
      <c r="BB59" s="152"/>
      <c r="BC59" s="151"/>
      <c r="BD59" s="151"/>
      <c r="BE59" s="151"/>
      <c r="BF59" s="151"/>
      <c r="BG59" s="152"/>
      <c r="BH59" s="151"/>
      <c r="BI59" s="151"/>
      <c r="BJ59" s="151"/>
      <c r="BK59" s="108"/>
      <c r="BL59" s="108"/>
      <c r="BM59" s="108"/>
      <c r="BN59" s="108"/>
      <c r="BO59" s="108"/>
      <c r="BP59" s="108"/>
      <c r="BQ59" s="108"/>
      <c r="BR59" s="108"/>
      <c r="BS59" s="108"/>
      <c r="BT59" s="108"/>
      <c r="BU59" s="108"/>
      <c r="BV59" s="108"/>
      <c r="BW59" s="108"/>
      <c r="BX59" s="108"/>
      <c r="BY59" s="108"/>
      <c r="BZ59" s="108"/>
      <c r="CA59" s="108"/>
      <c r="CB59" s="108"/>
      <c r="CC59" s="108"/>
      <c r="CD59" s="108"/>
      <c r="CE59" s="108"/>
      <c r="CF59" s="108"/>
      <c r="CG59" s="108"/>
      <c r="CH59" s="108"/>
    </row>
    <row r="60" spans="1:86" x14ac:dyDescent="0.25">
      <c r="A60" s="151"/>
      <c r="B60" s="152"/>
      <c r="C60" s="151"/>
      <c r="D60" s="151"/>
      <c r="E60" s="151"/>
      <c r="F60" s="151"/>
      <c r="G60" s="151"/>
      <c r="H60" s="151"/>
      <c r="I60" s="152"/>
      <c r="J60" s="151"/>
      <c r="K60" s="151"/>
      <c r="L60" s="151"/>
      <c r="M60" s="151"/>
      <c r="N60" s="152"/>
      <c r="O60" s="151"/>
      <c r="P60" s="151"/>
      <c r="Q60" s="151"/>
      <c r="R60" s="151"/>
      <c r="S60" s="152"/>
      <c r="T60" s="151"/>
      <c r="U60" s="151"/>
      <c r="V60" s="151"/>
      <c r="W60" s="151"/>
      <c r="X60" s="152"/>
      <c r="Y60" s="151"/>
      <c r="Z60" s="151"/>
      <c r="AA60" s="151"/>
      <c r="AB60" s="151"/>
      <c r="AC60" s="152"/>
      <c r="AD60" s="151"/>
      <c r="AE60" s="151"/>
      <c r="AF60" s="151"/>
      <c r="AG60" s="151"/>
      <c r="AH60" s="152"/>
      <c r="AI60" s="151"/>
      <c r="AJ60" s="151"/>
      <c r="AK60" s="151"/>
      <c r="AL60" s="151"/>
      <c r="AM60" s="152"/>
      <c r="AN60" s="151"/>
      <c r="AO60" s="151"/>
      <c r="AP60" s="151"/>
      <c r="AQ60" s="151"/>
      <c r="AR60" s="152"/>
      <c r="AS60" s="151"/>
      <c r="AT60" s="151"/>
      <c r="AU60" s="151"/>
      <c r="AV60" s="151"/>
      <c r="AW60" s="152"/>
      <c r="AX60" s="151"/>
      <c r="AY60" s="151"/>
      <c r="AZ60" s="151"/>
      <c r="BA60" s="151"/>
      <c r="BB60" s="152"/>
      <c r="BC60" s="151"/>
      <c r="BD60" s="151"/>
      <c r="BE60" s="151"/>
      <c r="BF60" s="151"/>
      <c r="BG60" s="152"/>
      <c r="BH60" s="151"/>
      <c r="BI60" s="151"/>
      <c r="BJ60" s="151"/>
      <c r="BK60" s="108"/>
      <c r="BL60" s="108"/>
      <c r="BM60" s="108"/>
      <c r="BN60" s="108"/>
      <c r="BO60" s="108"/>
      <c r="BP60" s="108"/>
      <c r="BQ60" s="108"/>
      <c r="BR60" s="108"/>
      <c r="BS60" s="108"/>
      <c r="BT60" s="108"/>
      <c r="BU60" s="108"/>
      <c r="BV60" s="108"/>
      <c r="BW60" s="108"/>
      <c r="BX60" s="108"/>
      <c r="BY60" s="108"/>
      <c r="BZ60" s="108"/>
      <c r="CA60" s="108"/>
      <c r="CB60" s="108"/>
      <c r="CC60" s="108"/>
      <c r="CD60" s="108"/>
      <c r="CE60" s="108"/>
      <c r="CF60" s="108"/>
      <c r="CG60" s="108"/>
      <c r="CH60" s="108"/>
    </row>
    <row r="61" spans="1:86" x14ac:dyDescent="0.25">
      <c r="A61" s="151"/>
      <c r="B61" s="152"/>
      <c r="C61" s="151"/>
      <c r="D61" s="151"/>
      <c r="E61" s="151"/>
      <c r="F61" s="151"/>
      <c r="G61" s="151"/>
      <c r="H61" s="151"/>
      <c r="I61" s="152"/>
      <c r="J61" s="151"/>
      <c r="K61" s="151"/>
      <c r="L61" s="151"/>
      <c r="M61" s="151"/>
      <c r="N61" s="152"/>
      <c r="O61" s="151"/>
      <c r="P61" s="151"/>
      <c r="Q61" s="151"/>
      <c r="R61" s="151"/>
      <c r="S61" s="152"/>
      <c r="T61" s="151"/>
      <c r="U61" s="151"/>
      <c r="V61" s="151"/>
      <c r="W61" s="151"/>
      <c r="X61" s="152"/>
      <c r="Y61" s="151"/>
      <c r="Z61" s="151"/>
      <c r="AA61" s="151"/>
      <c r="AB61" s="151"/>
      <c r="AC61" s="152"/>
      <c r="AD61" s="151"/>
      <c r="AE61" s="151"/>
      <c r="AF61" s="151"/>
      <c r="AG61" s="151"/>
      <c r="AH61" s="152"/>
      <c r="AI61" s="151"/>
      <c r="AJ61" s="151"/>
      <c r="AK61" s="151"/>
      <c r="AL61" s="151"/>
      <c r="AM61" s="152"/>
      <c r="AN61" s="151"/>
      <c r="AO61" s="151"/>
      <c r="AP61" s="151"/>
      <c r="AQ61" s="151"/>
      <c r="AR61" s="152"/>
      <c r="AS61" s="151"/>
      <c r="AT61" s="151"/>
      <c r="AU61" s="151"/>
      <c r="AV61" s="151"/>
      <c r="AW61" s="152"/>
      <c r="AX61" s="151"/>
      <c r="AY61" s="151"/>
      <c r="AZ61" s="151"/>
      <c r="BA61" s="151"/>
      <c r="BB61" s="152"/>
      <c r="BC61" s="151"/>
      <c r="BD61" s="151"/>
      <c r="BE61" s="151"/>
      <c r="BF61" s="151"/>
      <c r="BG61" s="152"/>
      <c r="BH61" s="151"/>
      <c r="BI61" s="151"/>
      <c r="BJ61" s="151"/>
      <c r="BK61" s="108"/>
      <c r="BL61" s="108"/>
      <c r="BM61" s="108"/>
      <c r="BN61" s="108"/>
      <c r="BO61" s="108"/>
      <c r="BP61" s="108"/>
      <c r="BQ61" s="108"/>
      <c r="BR61" s="108"/>
      <c r="BS61" s="108"/>
      <c r="BT61" s="108"/>
      <c r="BU61" s="108"/>
      <c r="BV61" s="108"/>
      <c r="BW61" s="108"/>
      <c r="BX61" s="108"/>
      <c r="BY61" s="108"/>
      <c r="BZ61" s="108"/>
      <c r="CA61" s="108"/>
      <c r="CB61" s="108"/>
      <c r="CC61" s="108"/>
      <c r="CD61" s="108"/>
      <c r="CE61" s="108"/>
      <c r="CF61" s="108"/>
      <c r="CG61" s="108"/>
      <c r="CH61" s="108"/>
    </row>
    <row r="62" spans="1:86" ht="15.75" thickBot="1" x14ac:dyDescent="0.3">
      <c r="A62" s="151"/>
      <c r="B62" s="152"/>
      <c r="C62" s="151"/>
      <c r="D62" s="151"/>
      <c r="E62" s="151"/>
      <c r="F62" s="151"/>
      <c r="G62" s="151"/>
      <c r="H62" s="151"/>
      <c r="I62" s="152"/>
      <c r="J62" s="151"/>
      <c r="K62" s="151"/>
      <c r="L62" s="151"/>
      <c r="M62" s="151"/>
      <c r="N62" s="152"/>
      <c r="O62" s="151"/>
      <c r="P62" s="151"/>
      <c r="Q62" s="151"/>
      <c r="R62" s="151"/>
      <c r="S62" s="152"/>
      <c r="T62" s="151"/>
      <c r="U62" s="151"/>
      <c r="V62" s="151"/>
      <c r="W62" s="151"/>
      <c r="X62" s="152"/>
      <c r="Y62" s="151"/>
      <c r="Z62" s="151"/>
      <c r="AA62" s="151"/>
      <c r="AB62" s="151"/>
      <c r="AC62" s="152"/>
      <c r="AD62" s="151"/>
      <c r="AE62" s="151"/>
      <c r="AF62" s="151"/>
      <c r="AG62" s="151"/>
      <c r="AH62" s="152"/>
      <c r="AI62" s="151"/>
      <c r="AJ62" s="151"/>
      <c r="AK62" s="151"/>
      <c r="AL62" s="151"/>
      <c r="AM62" s="152"/>
      <c r="AN62" s="151"/>
      <c r="AO62" s="151"/>
      <c r="AP62" s="151"/>
      <c r="AQ62" s="151"/>
      <c r="AR62" s="152"/>
      <c r="AS62" s="151"/>
      <c r="AT62" s="151"/>
      <c r="AU62" s="151"/>
      <c r="AV62" s="151"/>
      <c r="AW62" s="152"/>
      <c r="AX62" s="151"/>
      <c r="AY62" s="151"/>
      <c r="AZ62" s="151"/>
      <c r="BA62" s="151"/>
      <c r="BB62" s="152"/>
      <c r="BC62" s="151"/>
      <c r="BD62" s="151"/>
      <c r="BE62" s="151"/>
      <c r="BF62" s="151"/>
      <c r="BG62" s="152"/>
      <c r="BH62" s="151"/>
      <c r="BI62" s="151"/>
      <c r="BJ62" s="151"/>
      <c r="BK62" s="108"/>
      <c r="BL62" s="108"/>
      <c r="BM62" s="108"/>
      <c r="BN62" s="108"/>
      <c r="BO62" s="108"/>
      <c r="BP62" s="108"/>
      <c r="BQ62" s="108"/>
      <c r="BR62" s="108"/>
      <c r="BS62" s="108"/>
      <c r="BT62" s="108"/>
      <c r="BU62" s="108"/>
      <c r="BV62" s="108"/>
      <c r="BW62" s="108"/>
      <c r="BX62" s="108"/>
      <c r="BY62" s="108"/>
      <c r="BZ62" s="108"/>
      <c r="CA62" s="108"/>
      <c r="CB62" s="108"/>
      <c r="CC62" s="108"/>
      <c r="CD62" s="108"/>
      <c r="CE62" s="108"/>
      <c r="CF62" s="108"/>
      <c r="CG62" s="108"/>
      <c r="CH62" s="108"/>
    </row>
    <row r="63" spans="1:86" ht="15" customHeight="1" x14ac:dyDescent="0.25">
      <c r="A63" s="421" t="s">
        <v>180</v>
      </c>
      <c r="B63" s="422"/>
      <c r="C63" s="422"/>
      <c r="D63" s="422"/>
      <c r="E63" s="422"/>
      <c r="F63" s="422"/>
      <c r="G63" s="422"/>
      <c r="H63" s="422"/>
      <c r="I63" s="422"/>
      <c r="J63" s="422"/>
      <c r="K63" s="422"/>
      <c r="L63" s="422"/>
      <c r="M63" s="422"/>
      <c r="N63" s="422"/>
      <c r="O63" s="422"/>
      <c r="P63" s="422"/>
      <c r="Q63" s="422"/>
      <c r="R63" s="422"/>
      <c r="S63" s="422"/>
      <c r="T63" s="422"/>
      <c r="U63" s="422"/>
      <c r="V63" s="422"/>
      <c r="W63" s="422"/>
      <c r="X63" s="422"/>
      <c r="Y63" s="422"/>
      <c r="Z63" s="422"/>
      <c r="AA63" s="422"/>
      <c r="AB63" s="422"/>
      <c r="AC63" s="422"/>
      <c r="AD63" s="422"/>
      <c r="AE63" s="422"/>
      <c r="AF63" s="422"/>
      <c r="AG63" s="422"/>
      <c r="AH63" s="422"/>
      <c r="AI63" s="422"/>
      <c r="AJ63" s="422"/>
      <c r="AK63" s="422"/>
      <c r="AL63" s="422"/>
      <c r="AM63" s="422"/>
      <c r="AN63" s="422"/>
      <c r="AO63" s="422"/>
      <c r="AP63" s="422"/>
      <c r="AQ63" s="422"/>
      <c r="AR63" s="422"/>
      <c r="AS63" s="422"/>
      <c r="AT63" s="422"/>
      <c r="AU63" s="422"/>
      <c r="AV63" s="422"/>
      <c r="AW63" s="422"/>
      <c r="AX63" s="422"/>
      <c r="AY63" s="422"/>
      <c r="AZ63" s="422"/>
      <c r="BA63" s="422"/>
      <c r="BB63" s="422"/>
      <c r="BC63" s="422"/>
      <c r="BD63" s="422"/>
      <c r="BE63" s="422"/>
      <c r="BF63" s="422"/>
      <c r="BG63" s="422"/>
      <c r="BH63" s="422"/>
      <c r="BI63" s="422"/>
      <c r="BJ63" s="422"/>
      <c r="BK63" s="422"/>
      <c r="BL63" s="422"/>
      <c r="BM63" s="422"/>
      <c r="BN63" s="422"/>
      <c r="BO63" s="422"/>
      <c r="BP63" s="422"/>
      <c r="BQ63" s="422"/>
      <c r="BR63" s="422"/>
      <c r="BS63" s="422"/>
      <c r="BT63" s="422"/>
      <c r="BU63" s="422"/>
      <c r="BV63" s="422"/>
      <c r="BW63" s="422"/>
      <c r="BX63" s="422"/>
      <c r="BY63" s="422"/>
      <c r="BZ63" s="422"/>
      <c r="CA63" s="422"/>
      <c r="CB63" s="422"/>
      <c r="CC63" s="422"/>
      <c r="CD63" s="422"/>
      <c r="CE63" s="422"/>
      <c r="CF63" s="423"/>
      <c r="CG63" s="108"/>
      <c r="CH63" s="108"/>
    </row>
    <row r="64" spans="1:86" ht="15" customHeight="1" x14ac:dyDescent="0.25">
      <c r="A64" s="424"/>
      <c r="B64" s="425"/>
      <c r="C64" s="425"/>
      <c r="D64" s="425"/>
      <c r="E64" s="425"/>
      <c r="F64" s="425"/>
      <c r="G64" s="425"/>
      <c r="H64" s="425"/>
      <c r="I64" s="425"/>
      <c r="J64" s="425"/>
      <c r="K64" s="425"/>
      <c r="L64" s="425"/>
      <c r="M64" s="425"/>
      <c r="N64" s="425"/>
      <c r="O64" s="425"/>
      <c r="P64" s="425"/>
      <c r="Q64" s="425"/>
      <c r="R64" s="425"/>
      <c r="S64" s="425"/>
      <c r="T64" s="425"/>
      <c r="U64" s="425"/>
      <c r="V64" s="425"/>
      <c r="W64" s="425"/>
      <c r="X64" s="425"/>
      <c r="Y64" s="425"/>
      <c r="Z64" s="425"/>
      <c r="AA64" s="425"/>
      <c r="AB64" s="425"/>
      <c r="AC64" s="425"/>
      <c r="AD64" s="425"/>
      <c r="AE64" s="425"/>
      <c r="AF64" s="425"/>
      <c r="AG64" s="425"/>
      <c r="AH64" s="425"/>
      <c r="AI64" s="425"/>
      <c r="AJ64" s="425"/>
      <c r="AK64" s="425"/>
      <c r="AL64" s="425"/>
      <c r="AM64" s="425"/>
      <c r="AN64" s="425"/>
      <c r="AO64" s="425"/>
      <c r="AP64" s="425"/>
      <c r="AQ64" s="425"/>
      <c r="AR64" s="425"/>
      <c r="AS64" s="425"/>
      <c r="AT64" s="425"/>
      <c r="AU64" s="425"/>
      <c r="AV64" s="425"/>
      <c r="AW64" s="425"/>
      <c r="AX64" s="425"/>
      <c r="AY64" s="425"/>
      <c r="AZ64" s="425"/>
      <c r="BA64" s="425"/>
      <c r="BB64" s="425"/>
      <c r="BC64" s="425"/>
      <c r="BD64" s="425"/>
      <c r="BE64" s="425"/>
      <c r="BF64" s="425"/>
      <c r="BG64" s="425"/>
      <c r="BH64" s="425"/>
      <c r="BI64" s="425"/>
      <c r="BJ64" s="425"/>
      <c r="BK64" s="425"/>
      <c r="BL64" s="425"/>
      <c r="BM64" s="425"/>
      <c r="BN64" s="425"/>
      <c r="BO64" s="425"/>
      <c r="BP64" s="425"/>
      <c r="BQ64" s="425"/>
      <c r="BR64" s="425"/>
      <c r="BS64" s="425"/>
      <c r="BT64" s="425"/>
      <c r="BU64" s="425"/>
      <c r="BV64" s="425"/>
      <c r="BW64" s="425"/>
      <c r="BX64" s="425"/>
      <c r="BY64" s="425"/>
      <c r="BZ64" s="425"/>
      <c r="CA64" s="425"/>
      <c r="CB64" s="425"/>
      <c r="CC64" s="425"/>
      <c r="CD64" s="425"/>
      <c r="CE64" s="425"/>
      <c r="CF64" s="426"/>
      <c r="CG64" s="108"/>
      <c r="CH64" s="108"/>
    </row>
    <row r="65" spans="1:86" ht="15" customHeight="1" x14ac:dyDescent="0.25">
      <c r="A65" s="424"/>
      <c r="B65" s="425"/>
      <c r="C65" s="425"/>
      <c r="D65" s="425"/>
      <c r="E65" s="425"/>
      <c r="F65" s="425"/>
      <c r="G65" s="425"/>
      <c r="H65" s="425"/>
      <c r="I65" s="425"/>
      <c r="J65" s="425"/>
      <c r="K65" s="425"/>
      <c r="L65" s="425"/>
      <c r="M65" s="425"/>
      <c r="N65" s="425"/>
      <c r="O65" s="425"/>
      <c r="P65" s="425"/>
      <c r="Q65" s="425"/>
      <c r="R65" s="425"/>
      <c r="S65" s="425"/>
      <c r="T65" s="425"/>
      <c r="U65" s="425"/>
      <c r="V65" s="425"/>
      <c r="W65" s="425"/>
      <c r="X65" s="425"/>
      <c r="Y65" s="425"/>
      <c r="Z65" s="425"/>
      <c r="AA65" s="425"/>
      <c r="AB65" s="425"/>
      <c r="AC65" s="425"/>
      <c r="AD65" s="425"/>
      <c r="AE65" s="425"/>
      <c r="AF65" s="425"/>
      <c r="AG65" s="425"/>
      <c r="AH65" s="425"/>
      <c r="AI65" s="425"/>
      <c r="AJ65" s="425"/>
      <c r="AK65" s="425"/>
      <c r="AL65" s="425"/>
      <c r="AM65" s="425"/>
      <c r="AN65" s="425"/>
      <c r="AO65" s="425"/>
      <c r="AP65" s="425"/>
      <c r="AQ65" s="425"/>
      <c r="AR65" s="425"/>
      <c r="AS65" s="425"/>
      <c r="AT65" s="425"/>
      <c r="AU65" s="425"/>
      <c r="AV65" s="425"/>
      <c r="AW65" s="425"/>
      <c r="AX65" s="425"/>
      <c r="AY65" s="425"/>
      <c r="AZ65" s="425"/>
      <c r="BA65" s="425"/>
      <c r="BB65" s="425"/>
      <c r="BC65" s="425"/>
      <c r="BD65" s="425"/>
      <c r="BE65" s="425"/>
      <c r="BF65" s="425"/>
      <c r="BG65" s="425"/>
      <c r="BH65" s="425"/>
      <c r="BI65" s="425"/>
      <c r="BJ65" s="425"/>
      <c r="BK65" s="425"/>
      <c r="BL65" s="425"/>
      <c r="BM65" s="425"/>
      <c r="BN65" s="425"/>
      <c r="BO65" s="425"/>
      <c r="BP65" s="425"/>
      <c r="BQ65" s="425"/>
      <c r="BR65" s="425"/>
      <c r="BS65" s="425"/>
      <c r="BT65" s="425"/>
      <c r="BU65" s="425"/>
      <c r="BV65" s="425"/>
      <c r="BW65" s="425"/>
      <c r="BX65" s="425"/>
      <c r="BY65" s="425"/>
      <c r="BZ65" s="425"/>
      <c r="CA65" s="425"/>
      <c r="CB65" s="425"/>
      <c r="CC65" s="425"/>
      <c r="CD65" s="425"/>
      <c r="CE65" s="425"/>
      <c r="CF65" s="426"/>
      <c r="CG65" s="108"/>
      <c r="CH65" s="108"/>
    </row>
    <row r="66" spans="1:86" ht="15" customHeight="1" x14ac:dyDescent="0.25">
      <c r="A66" s="424"/>
      <c r="B66" s="425"/>
      <c r="C66" s="425"/>
      <c r="D66" s="425"/>
      <c r="E66" s="425"/>
      <c r="F66" s="425"/>
      <c r="G66" s="425"/>
      <c r="H66" s="425"/>
      <c r="I66" s="425"/>
      <c r="J66" s="425"/>
      <c r="K66" s="425"/>
      <c r="L66" s="425"/>
      <c r="M66" s="425"/>
      <c r="N66" s="425"/>
      <c r="O66" s="425"/>
      <c r="P66" s="425"/>
      <c r="Q66" s="425"/>
      <c r="R66" s="425"/>
      <c r="S66" s="425"/>
      <c r="T66" s="425"/>
      <c r="U66" s="425"/>
      <c r="V66" s="425"/>
      <c r="W66" s="425"/>
      <c r="X66" s="425"/>
      <c r="Y66" s="425"/>
      <c r="Z66" s="425"/>
      <c r="AA66" s="425"/>
      <c r="AB66" s="425"/>
      <c r="AC66" s="425"/>
      <c r="AD66" s="425"/>
      <c r="AE66" s="425"/>
      <c r="AF66" s="425"/>
      <c r="AG66" s="425"/>
      <c r="AH66" s="425"/>
      <c r="AI66" s="425"/>
      <c r="AJ66" s="425"/>
      <c r="AK66" s="425"/>
      <c r="AL66" s="425"/>
      <c r="AM66" s="425"/>
      <c r="AN66" s="425"/>
      <c r="AO66" s="425"/>
      <c r="AP66" s="425"/>
      <c r="AQ66" s="425"/>
      <c r="AR66" s="425"/>
      <c r="AS66" s="425"/>
      <c r="AT66" s="425"/>
      <c r="AU66" s="425"/>
      <c r="AV66" s="425"/>
      <c r="AW66" s="425"/>
      <c r="AX66" s="425"/>
      <c r="AY66" s="425"/>
      <c r="AZ66" s="425"/>
      <c r="BA66" s="425"/>
      <c r="BB66" s="425"/>
      <c r="BC66" s="425"/>
      <c r="BD66" s="425"/>
      <c r="BE66" s="425"/>
      <c r="BF66" s="425"/>
      <c r="BG66" s="425"/>
      <c r="BH66" s="425"/>
      <c r="BI66" s="425"/>
      <c r="BJ66" s="425"/>
      <c r="BK66" s="425"/>
      <c r="BL66" s="425"/>
      <c r="BM66" s="425"/>
      <c r="BN66" s="425"/>
      <c r="BO66" s="425"/>
      <c r="BP66" s="425"/>
      <c r="BQ66" s="425"/>
      <c r="BR66" s="425"/>
      <c r="BS66" s="425"/>
      <c r="BT66" s="425"/>
      <c r="BU66" s="425"/>
      <c r="BV66" s="425"/>
      <c r="BW66" s="425"/>
      <c r="BX66" s="425"/>
      <c r="BY66" s="425"/>
      <c r="BZ66" s="425"/>
      <c r="CA66" s="425"/>
      <c r="CB66" s="425"/>
      <c r="CC66" s="425"/>
      <c r="CD66" s="425"/>
      <c r="CE66" s="425"/>
      <c r="CF66" s="426"/>
      <c r="CG66" s="108"/>
      <c r="CH66" s="108"/>
    </row>
    <row r="67" spans="1:86" ht="15.75" customHeight="1" thickBot="1" x14ac:dyDescent="0.3">
      <c r="A67" s="427"/>
      <c r="B67" s="428"/>
      <c r="C67" s="428"/>
      <c r="D67" s="428"/>
      <c r="E67" s="428"/>
      <c r="F67" s="428"/>
      <c r="G67" s="428"/>
      <c r="H67" s="428"/>
      <c r="I67" s="428"/>
      <c r="J67" s="428"/>
      <c r="K67" s="428"/>
      <c r="L67" s="428"/>
      <c r="M67" s="428"/>
      <c r="N67" s="428"/>
      <c r="O67" s="428"/>
      <c r="P67" s="428"/>
      <c r="Q67" s="428"/>
      <c r="R67" s="428"/>
      <c r="S67" s="428"/>
      <c r="T67" s="428"/>
      <c r="U67" s="428"/>
      <c r="V67" s="428"/>
      <c r="W67" s="428"/>
      <c r="X67" s="428"/>
      <c r="Y67" s="428"/>
      <c r="Z67" s="428"/>
      <c r="AA67" s="428"/>
      <c r="AB67" s="428"/>
      <c r="AC67" s="428"/>
      <c r="AD67" s="428"/>
      <c r="AE67" s="428"/>
      <c r="AF67" s="428"/>
      <c r="AG67" s="428"/>
      <c r="AH67" s="428"/>
      <c r="AI67" s="428"/>
      <c r="AJ67" s="428"/>
      <c r="AK67" s="428"/>
      <c r="AL67" s="428"/>
      <c r="AM67" s="428"/>
      <c r="AN67" s="428"/>
      <c r="AO67" s="428"/>
      <c r="AP67" s="428"/>
      <c r="AQ67" s="428"/>
      <c r="AR67" s="428"/>
      <c r="AS67" s="428"/>
      <c r="AT67" s="428"/>
      <c r="AU67" s="428"/>
      <c r="AV67" s="428"/>
      <c r="AW67" s="428"/>
      <c r="AX67" s="428"/>
      <c r="AY67" s="428"/>
      <c r="AZ67" s="428"/>
      <c r="BA67" s="428"/>
      <c r="BB67" s="428"/>
      <c r="BC67" s="428"/>
      <c r="BD67" s="428"/>
      <c r="BE67" s="428"/>
      <c r="BF67" s="428"/>
      <c r="BG67" s="428"/>
      <c r="BH67" s="428"/>
      <c r="BI67" s="428"/>
      <c r="BJ67" s="428"/>
      <c r="BK67" s="428"/>
      <c r="BL67" s="428"/>
      <c r="BM67" s="428"/>
      <c r="BN67" s="428"/>
      <c r="BO67" s="428"/>
      <c r="BP67" s="428"/>
      <c r="BQ67" s="428"/>
      <c r="BR67" s="428"/>
      <c r="BS67" s="428"/>
      <c r="BT67" s="428"/>
      <c r="BU67" s="428"/>
      <c r="BV67" s="428"/>
      <c r="BW67" s="428"/>
      <c r="BX67" s="428"/>
      <c r="BY67" s="428"/>
      <c r="BZ67" s="428"/>
      <c r="CA67" s="428"/>
      <c r="CB67" s="428"/>
      <c r="CC67" s="428"/>
      <c r="CD67" s="428"/>
      <c r="CE67" s="428"/>
      <c r="CF67" s="429"/>
      <c r="CG67" s="108"/>
      <c r="CH67" s="108"/>
    </row>
    <row r="68" spans="1:86" ht="15" customHeight="1" x14ac:dyDescent="0.25">
      <c r="A68" s="421"/>
      <c r="B68" s="422"/>
      <c r="C68" s="422"/>
      <c r="D68" s="422"/>
      <c r="E68" s="422"/>
      <c r="F68" s="422"/>
      <c r="G68" s="423"/>
      <c r="H68" s="421"/>
      <c r="I68" s="422"/>
      <c r="J68" s="422"/>
      <c r="K68" s="422"/>
      <c r="L68" s="422"/>
      <c r="M68" s="422"/>
      <c r="N68" s="423"/>
      <c r="O68" s="421"/>
      <c r="P68" s="422"/>
      <c r="Q68" s="422"/>
      <c r="R68" s="422"/>
      <c r="S68" s="422"/>
      <c r="T68" s="422"/>
      <c r="U68" s="423"/>
      <c r="V68" s="421"/>
      <c r="W68" s="422"/>
      <c r="X68" s="422"/>
      <c r="Y68" s="422"/>
      <c r="Z68" s="422"/>
      <c r="AA68" s="422"/>
      <c r="AB68" s="423"/>
      <c r="AC68" s="421"/>
      <c r="AD68" s="422"/>
      <c r="AE68" s="422"/>
      <c r="AF68" s="422"/>
      <c r="AG68" s="422"/>
      <c r="AH68" s="422"/>
      <c r="AI68" s="423"/>
      <c r="AJ68" s="421"/>
      <c r="AK68" s="422"/>
      <c r="AL68" s="422"/>
      <c r="AM68" s="422"/>
      <c r="AN68" s="422"/>
      <c r="AO68" s="422"/>
      <c r="AP68" s="423"/>
      <c r="AQ68" s="421"/>
      <c r="AR68" s="422"/>
      <c r="AS68" s="422"/>
      <c r="AT68" s="422"/>
      <c r="AU68" s="422"/>
      <c r="AV68" s="422"/>
      <c r="AW68" s="423"/>
      <c r="AX68" s="421"/>
      <c r="AY68" s="422"/>
      <c r="AZ68" s="422"/>
      <c r="BA68" s="422"/>
      <c r="BB68" s="422"/>
      <c r="BC68" s="422"/>
      <c r="BD68" s="423"/>
      <c r="BE68" s="421"/>
      <c r="BF68" s="422"/>
      <c r="BG68" s="422"/>
      <c r="BH68" s="422"/>
      <c r="BI68" s="422"/>
      <c r="BJ68" s="422"/>
      <c r="BK68" s="423"/>
      <c r="BL68" s="421"/>
      <c r="BM68" s="422"/>
      <c r="BN68" s="422"/>
      <c r="BO68" s="422"/>
      <c r="BP68" s="422"/>
      <c r="BQ68" s="422"/>
      <c r="BR68" s="423"/>
      <c r="BS68" s="421"/>
      <c r="BT68" s="422"/>
      <c r="BU68" s="422"/>
      <c r="BV68" s="422"/>
      <c r="BW68" s="422"/>
      <c r="BX68" s="422"/>
      <c r="BY68" s="423"/>
      <c r="BZ68" s="421"/>
      <c r="CA68" s="422"/>
      <c r="CB68" s="422"/>
      <c r="CC68" s="422"/>
      <c r="CD68" s="422"/>
      <c r="CE68" s="422"/>
      <c r="CF68" s="423"/>
      <c r="CG68" s="108"/>
      <c r="CH68" s="108"/>
    </row>
    <row r="69" spans="1:86" ht="15" customHeight="1" thickBot="1" x14ac:dyDescent="0.3">
      <c r="A69" s="427"/>
      <c r="B69" s="428"/>
      <c r="C69" s="428"/>
      <c r="D69" s="428"/>
      <c r="E69" s="428"/>
      <c r="F69" s="428"/>
      <c r="G69" s="429"/>
      <c r="H69" s="427"/>
      <c r="I69" s="428"/>
      <c r="J69" s="428"/>
      <c r="K69" s="428"/>
      <c r="L69" s="428"/>
      <c r="M69" s="428"/>
      <c r="N69" s="429"/>
      <c r="O69" s="427"/>
      <c r="P69" s="428"/>
      <c r="Q69" s="428"/>
      <c r="R69" s="428"/>
      <c r="S69" s="428"/>
      <c r="T69" s="428"/>
      <c r="U69" s="429"/>
      <c r="V69" s="427"/>
      <c r="W69" s="428"/>
      <c r="X69" s="428"/>
      <c r="Y69" s="428"/>
      <c r="Z69" s="428"/>
      <c r="AA69" s="428"/>
      <c r="AB69" s="429"/>
      <c r="AC69" s="427"/>
      <c r="AD69" s="428"/>
      <c r="AE69" s="428"/>
      <c r="AF69" s="428"/>
      <c r="AG69" s="428"/>
      <c r="AH69" s="428"/>
      <c r="AI69" s="429"/>
      <c r="AJ69" s="427"/>
      <c r="AK69" s="428"/>
      <c r="AL69" s="428"/>
      <c r="AM69" s="428"/>
      <c r="AN69" s="428"/>
      <c r="AO69" s="428"/>
      <c r="AP69" s="429"/>
      <c r="AQ69" s="427"/>
      <c r="AR69" s="428"/>
      <c r="AS69" s="428"/>
      <c r="AT69" s="428"/>
      <c r="AU69" s="428"/>
      <c r="AV69" s="428"/>
      <c r="AW69" s="429"/>
      <c r="AX69" s="427"/>
      <c r="AY69" s="428"/>
      <c r="AZ69" s="428"/>
      <c r="BA69" s="428"/>
      <c r="BB69" s="428"/>
      <c r="BC69" s="428"/>
      <c r="BD69" s="429"/>
      <c r="BE69" s="427"/>
      <c r="BF69" s="428"/>
      <c r="BG69" s="428"/>
      <c r="BH69" s="428"/>
      <c r="BI69" s="428"/>
      <c r="BJ69" s="428"/>
      <c r="BK69" s="429"/>
      <c r="BL69" s="427"/>
      <c r="BM69" s="428"/>
      <c r="BN69" s="428"/>
      <c r="BO69" s="428"/>
      <c r="BP69" s="428"/>
      <c r="BQ69" s="428"/>
      <c r="BR69" s="429"/>
      <c r="BS69" s="427"/>
      <c r="BT69" s="428"/>
      <c r="BU69" s="428"/>
      <c r="BV69" s="428"/>
      <c r="BW69" s="428"/>
      <c r="BX69" s="428"/>
      <c r="BY69" s="429"/>
      <c r="BZ69" s="427"/>
      <c r="CA69" s="428"/>
      <c r="CB69" s="428"/>
      <c r="CC69" s="428"/>
      <c r="CD69" s="428"/>
      <c r="CE69" s="428"/>
      <c r="CF69" s="429"/>
      <c r="CG69" s="108"/>
      <c r="CH69" s="108"/>
    </row>
    <row r="70" spans="1:86" ht="15" customHeight="1" thickBot="1" x14ac:dyDescent="0.3">
      <c r="A70" s="163" t="s">
        <v>63</v>
      </c>
      <c r="B70" s="164" t="s">
        <v>56</v>
      </c>
      <c r="C70" s="164" t="s">
        <v>174</v>
      </c>
      <c r="D70" s="164" t="s">
        <v>175</v>
      </c>
      <c r="E70" s="164" t="s">
        <v>176</v>
      </c>
      <c r="F70" s="164" t="s">
        <v>177</v>
      </c>
      <c r="G70" s="165" t="s">
        <v>178</v>
      </c>
      <c r="H70" s="163" t="s">
        <v>63</v>
      </c>
      <c r="I70" s="164" t="s">
        <v>56</v>
      </c>
      <c r="J70" s="164" t="s">
        <v>174</v>
      </c>
      <c r="K70" s="164" t="s">
        <v>175</v>
      </c>
      <c r="L70" s="164" t="s">
        <v>176</v>
      </c>
      <c r="M70" s="164" t="s">
        <v>177</v>
      </c>
      <c r="N70" s="165" t="s">
        <v>178</v>
      </c>
      <c r="O70" s="163" t="s">
        <v>63</v>
      </c>
      <c r="P70" s="164" t="s">
        <v>56</v>
      </c>
      <c r="Q70" s="164" t="s">
        <v>174</v>
      </c>
      <c r="R70" s="164" t="s">
        <v>175</v>
      </c>
      <c r="S70" s="164" t="s">
        <v>176</v>
      </c>
      <c r="T70" s="164" t="s">
        <v>177</v>
      </c>
      <c r="U70" s="165" t="s">
        <v>178</v>
      </c>
      <c r="V70" s="163" t="s">
        <v>63</v>
      </c>
      <c r="W70" s="164" t="s">
        <v>56</v>
      </c>
      <c r="X70" s="164" t="s">
        <v>174</v>
      </c>
      <c r="Y70" s="164" t="s">
        <v>175</v>
      </c>
      <c r="Z70" s="164" t="s">
        <v>176</v>
      </c>
      <c r="AA70" s="164" t="s">
        <v>177</v>
      </c>
      <c r="AB70" s="165" t="s">
        <v>178</v>
      </c>
      <c r="AC70" s="163" t="s">
        <v>63</v>
      </c>
      <c r="AD70" s="164" t="s">
        <v>56</v>
      </c>
      <c r="AE70" s="164" t="s">
        <v>174</v>
      </c>
      <c r="AF70" s="164" t="s">
        <v>175</v>
      </c>
      <c r="AG70" s="164" t="s">
        <v>176</v>
      </c>
      <c r="AH70" s="164" t="s">
        <v>177</v>
      </c>
      <c r="AI70" s="165" t="s">
        <v>178</v>
      </c>
      <c r="AJ70" s="163" t="s">
        <v>63</v>
      </c>
      <c r="AK70" s="164" t="s">
        <v>56</v>
      </c>
      <c r="AL70" s="164" t="s">
        <v>174</v>
      </c>
      <c r="AM70" s="164" t="s">
        <v>175</v>
      </c>
      <c r="AN70" s="164" t="s">
        <v>176</v>
      </c>
      <c r="AO70" s="164" t="s">
        <v>177</v>
      </c>
      <c r="AP70" s="165" t="s">
        <v>178</v>
      </c>
      <c r="AQ70" s="163" t="s">
        <v>63</v>
      </c>
      <c r="AR70" s="164" t="s">
        <v>56</v>
      </c>
      <c r="AS70" s="164" t="s">
        <v>174</v>
      </c>
      <c r="AT70" s="164" t="s">
        <v>175</v>
      </c>
      <c r="AU70" s="164" t="s">
        <v>176</v>
      </c>
      <c r="AV70" s="164" t="s">
        <v>177</v>
      </c>
      <c r="AW70" s="165" t="s">
        <v>178</v>
      </c>
      <c r="AX70" s="163" t="s">
        <v>63</v>
      </c>
      <c r="AY70" s="164" t="s">
        <v>56</v>
      </c>
      <c r="AZ70" s="164" t="s">
        <v>174</v>
      </c>
      <c r="BA70" s="164" t="s">
        <v>175</v>
      </c>
      <c r="BB70" s="164" t="s">
        <v>176</v>
      </c>
      <c r="BC70" s="164" t="s">
        <v>177</v>
      </c>
      <c r="BD70" s="165" t="s">
        <v>178</v>
      </c>
      <c r="BE70" s="163" t="s">
        <v>63</v>
      </c>
      <c r="BF70" s="164" t="s">
        <v>56</v>
      </c>
      <c r="BG70" s="164" t="s">
        <v>174</v>
      </c>
      <c r="BH70" s="164" t="s">
        <v>175</v>
      </c>
      <c r="BI70" s="164" t="s">
        <v>176</v>
      </c>
      <c r="BJ70" s="164" t="s">
        <v>177</v>
      </c>
      <c r="BK70" s="165" t="s">
        <v>178</v>
      </c>
      <c r="BL70" s="72" t="s">
        <v>63</v>
      </c>
      <c r="BM70" t="s">
        <v>56</v>
      </c>
      <c r="BN70" t="s">
        <v>174</v>
      </c>
      <c r="BO70" t="s">
        <v>175</v>
      </c>
      <c r="BP70" t="s">
        <v>176</v>
      </c>
      <c r="BQ70" t="s">
        <v>177</v>
      </c>
      <c r="BR70" s="166" t="s">
        <v>178</v>
      </c>
      <c r="BS70" s="72" t="s">
        <v>63</v>
      </c>
      <c r="BT70" t="s">
        <v>56</v>
      </c>
      <c r="BU70" t="s">
        <v>174</v>
      </c>
      <c r="BV70" t="s">
        <v>175</v>
      </c>
      <c r="BW70" t="s">
        <v>176</v>
      </c>
      <c r="BX70" t="s">
        <v>177</v>
      </c>
      <c r="BY70" s="166" t="s">
        <v>178</v>
      </c>
      <c r="BZ70" s="72" t="s">
        <v>63</v>
      </c>
      <c r="CA70" t="s">
        <v>56</v>
      </c>
      <c r="CB70" t="s">
        <v>174</v>
      </c>
      <c r="CC70" t="s">
        <v>175</v>
      </c>
      <c r="CD70" t="s">
        <v>176</v>
      </c>
      <c r="CE70" t="s">
        <v>177</v>
      </c>
      <c r="CF70" s="166" t="s">
        <v>178</v>
      </c>
      <c r="CG70" s="108"/>
      <c r="CH70" s="108"/>
    </row>
    <row r="71" spans="1:86" ht="15" customHeight="1" x14ac:dyDescent="0.25">
      <c r="A71" s="127"/>
      <c r="B71" s="142"/>
      <c r="C71" s="197"/>
      <c r="D71" s="143"/>
      <c r="E71" s="144"/>
      <c r="F71" s="145"/>
      <c r="G71" s="161"/>
      <c r="H71" s="127"/>
      <c r="I71" s="142"/>
      <c r="J71" s="197"/>
      <c r="K71" s="143"/>
      <c r="L71" s="144"/>
      <c r="M71" s="145"/>
      <c r="N71" s="161"/>
      <c r="O71" s="127"/>
      <c r="P71" s="142"/>
      <c r="Q71" s="197"/>
      <c r="R71" s="143"/>
      <c r="S71" s="144"/>
      <c r="T71" s="145"/>
      <c r="U71" s="161"/>
      <c r="V71" s="127"/>
      <c r="W71" s="142"/>
      <c r="X71" s="197"/>
      <c r="Y71" s="143"/>
      <c r="Z71" s="144"/>
      <c r="AA71" s="145"/>
      <c r="AB71" s="161"/>
      <c r="AC71" s="127"/>
      <c r="AD71" s="142"/>
      <c r="AE71" s="197"/>
      <c r="AF71" s="143"/>
      <c r="AG71" s="144"/>
      <c r="AH71" s="145"/>
      <c r="AI71" s="161"/>
      <c r="AJ71" s="127"/>
      <c r="AK71" s="142"/>
      <c r="AL71" s="197"/>
      <c r="AM71" s="143"/>
      <c r="AN71" s="144"/>
      <c r="AO71" s="145"/>
      <c r="AP71" s="161"/>
      <c r="AQ71" s="127"/>
      <c r="AR71" s="142"/>
      <c r="AS71" s="197"/>
      <c r="AT71" s="143"/>
      <c r="AU71" s="144"/>
      <c r="AV71" s="145"/>
      <c r="AW71" s="161"/>
      <c r="AX71" s="127"/>
      <c r="AY71" s="142"/>
      <c r="AZ71" s="197"/>
      <c r="BA71" s="143"/>
      <c r="BB71" s="144"/>
      <c r="BC71" s="145"/>
      <c r="BD71" s="161"/>
      <c r="BE71" s="127"/>
      <c r="BF71" s="142"/>
      <c r="BG71" s="197"/>
      <c r="BH71" s="143"/>
      <c r="BI71" s="144"/>
      <c r="BJ71" s="145"/>
      <c r="BK71" s="161"/>
      <c r="BL71" s="137"/>
      <c r="BM71" s="138"/>
      <c r="BN71" s="196"/>
      <c r="BO71" s="139"/>
      <c r="BP71" s="140"/>
      <c r="BQ71" s="141"/>
      <c r="BR71" s="200"/>
      <c r="BS71" s="137"/>
      <c r="BT71" s="138"/>
      <c r="BU71" s="196"/>
      <c r="BV71" s="139"/>
      <c r="BW71" s="140"/>
      <c r="BX71" s="141"/>
      <c r="BY71" s="200"/>
      <c r="BZ71" s="137"/>
      <c r="CA71" s="138"/>
      <c r="CB71" s="196"/>
      <c r="CC71" s="139"/>
      <c r="CD71" s="140"/>
      <c r="CE71" s="141"/>
      <c r="CF71" s="200"/>
      <c r="CG71" s="108"/>
      <c r="CH71" s="108"/>
    </row>
    <row r="72" spans="1:86" x14ac:dyDescent="0.25">
      <c r="A72" s="127"/>
      <c r="B72" s="142"/>
      <c r="C72" s="197"/>
      <c r="D72" s="143"/>
      <c r="E72" s="144"/>
      <c r="F72" s="145"/>
      <c r="G72" s="161"/>
      <c r="H72" s="127"/>
      <c r="I72" s="142"/>
      <c r="J72" s="197"/>
      <c r="K72" s="143"/>
      <c r="L72" s="144"/>
      <c r="M72" s="145"/>
      <c r="N72" s="161"/>
      <c r="O72" s="127"/>
      <c r="P72" s="142"/>
      <c r="Q72" s="197"/>
      <c r="R72" s="143"/>
      <c r="S72" s="144"/>
      <c r="T72" s="145"/>
      <c r="U72" s="161"/>
      <c r="V72" s="127"/>
      <c r="W72" s="142"/>
      <c r="X72" s="197"/>
      <c r="Y72" s="143"/>
      <c r="Z72" s="144"/>
      <c r="AA72" s="145"/>
      <c r="AB72" s="161"/>
      <c r="AC72" s="127"/>
      <c r="AD72" s="142"/>
      <c r="AE72" s="197"/>
      <c r="AF72" s="143"/>
      <c r="AG72" s="144"/>
      <c r="AH72" s="145"/>
      <c r="AI72" s="161"/>
      <c r="AJ72" s="127"/>
      <c r="AK72" s="142"/>
      <c r="AL72" s="197"/>
      <c r="AM72" s="143"/>
      <c r="AN72" s="144"/>
      <c r="AO72" s="145"/>
      <c r="AP72" s="161"/>
      <c r="AQ72" s="127"/>
      <c r="AR72" s="142"/>
      <c r="AS72" s="197"/>
      <c r="AT72" s="143"/>
      <c r="AU72" s="144"/>
      <c r="AV72" s="145"/>
      <c r="AW72" s="161"/>
      <c r="AX72" s="127"/>
      <c r="AY72" s="142"/>
      <c r="AZ72" s="197"/>
      <c r="BA72" s="143"/>
      <c r="BB72" s="144"/>
      <c r="BC72" s="145"/>
      <c r="BD72" s="161"/>
      <c r="BE72" s="127"/>
      <c r="BF72" s="142"/>
      <c r="BG72" s="197"/>
      <c r="BH72" s="143"/>
      <c r="BI72" s="144"/>
      <c r="BJ72" s="145"/>
      <c r="BK72" s="161"/>
      <c r="BL72" s="127"/>
      <c r="BM72" s="142"/>
      <c r="BN72" s="197"/>
      <c r="BO72" s="143"/>
      <c r="BP72" s="144"/>
      <c r="BQ72" s="145"/>
      <c r="BR72" s="162"/>
      <c r="BS72" s="127"/>
      <c r="BT72" s="142"/>
      <c r="BU72" s="197"/>
      <c r="BV72" s="143"/>
      <c r="BW72" s="144"/>
      <c r="BX72" s="145"/>
      <c r="BY72" s="162"/>
      <c r="BZ72" s="127"/>
      <c r="CA72" s="142"/>
      <c r="CB72" s="197"/>
      <c r="CC72" s="143"/>
      <c r="CD72" s="144"/>
      <c r="CE72" s="145"/>
      <c r="CF72" s="162"/>
      <c r="CG72" s="108"/>
      <c r="CH72" s="108"/>
    </row>
    <row r="73" spans="1:86" x14ac:dyDescent="0.25">
      <c r="A73" s="127"/>
      <c r="B73" s="142"/>
      <c r="C73" s="197"/>
      <c r="D73" s="143"/>
      <c r="E73" s="144"/>
      <c r="F73" s="145"/>
      <c r="G73" s="161"/>
      <c r="H73" s="127"/>
      <c r="I73" s="142"/>
      <c r="J73" s="197"/>
      <c r="K73" s="143"/>
      <c r="L73" s="144"/>
      <c r="M73" s="145"/>
      <c r="N73" s="161"/>
      <c r="O73" s="127"/>
      <c r="P73" s="142"/>
      <c r="Q73" s="197"/>
      <c r="R73" s="143"/>
      <c r="S73" s="144"/>
      <c r="T73" s="145"/>
      <c r="U73" s="161"/>
      <c r="V73" s="127"/>
      <c r="W73" s="142"/>
      <c r="X73" s="197"/>
      <c r="Y73" s="143"/>
      <c r="Z73" s="144"/>
      <c r="AA73" s="145"/>
      <c r="AB73" s="161"/>
      <c r="AC73" s="127"/>
      <c r="AD73" s="142"/>
      <c r="AE73" s="197"/>
      <c r="AF73" s="143"/>
      <c r="AG73" s="144"/>
      <c r="AH73" s="145"/>
      <c r="AI73" s="161"/>
      <c r="AJ73" s="127"/>
      <c r="AK73" s="142"/>
      <c r="AL73" s="197"/>
      <c r="AM73" s="143"/>
      <c r="AN73" s="144"/>
      <c r="AO73" s="145"/>
      <c r="AP73" s="161"/>
      <c r="AQ73" s="127"/>
      <c r="AR73" s="142"/>
      <c r="AS73" s="197"/>
      <c r="AT73" s="143"/>
      <c r="AU73" s="144"/>
      <c r="AV73" s="145"/>
      <c r="AW73" s="161"/>
      <c r="AX73" s="127"/>
      <c r="AY73" s="142"/>
      <c r="AZ73" s="197"/>
      <c r="BA73" s="143"/>
      <c r="BB73" s="144"/>
      <c r="BC73" s="145"/>
      <c r="BD73" s="161"/>
      <c r="BE73" s="127"/>
      <c r="BF73" s="142"/>
      <c r="BG73" s="197"/>
      <c r="BH73" s="143"/>
      <c r="BI73" s="144"/>
      <c r="BJ73" s="145"/>
      <c r="BK73" s="161"/>
      <c r="BL73" s="127"/>
      <c r="BM73" s="142"/>
      <c r="BN73" s="197"/>
      <c r="BO73" s="143"/>
      <c r="BP73" s="144"/>
      <c r="BQ73" s="145"/>
      <c r="BR73" s="162"/>
      <c r="BS73" s="127"/>
      <c r="BT73" s="142"/>
      <c r="BU73" s="197"/>
      <c r="BV73" s="143"/>
      <c r="BW73" s="144"/>
      <c r="BX73" s="145"/>
      <c r="BY73" s="162"/>
      <c r="BZ73" s="127"/>
      <c r="CA73" s="142"/>
      <c r="CB73" s="197"/>
      <c r="CC73" s="143"/>
      <c r="CD73" s="144"/>
      <c r="CE73" s="145"/>
      <c r="CF73" s="162"/>
      <c r="CG73" s="108"/>
      <c r="CH73" s="108"/>
    </row>
    <row r="74" spans="1:86" x14ac:dyDescent="0.25">
      <c r="A74" s="127"/>
      <c r="B74" s="142"/>
      <c r="C74" s="197"/>
      <c r="D74" s="143"/>
      <c r="E74" s="144"/>
      <c r="F74" s="145"/>
      <c r="G74" s="161"/>
      <c r="H74" s="127"/>
      <c r="I74" s="142"/>
      <c r="J74" s="197"/>
      <c r="K74" s="143"/>
      <c r="L74" s="144"/>
      <c r="M74" s="145"/>
      <c r="N74" s="161"/>
      <c r="O74" s="127"/>
      <c r="P74" s="142"/>
      <c r="Q74" s="197"/>
      <c r="R74" s="143"/>
      <c r="S74" s="144"/>
      <c r="T74" s="145"/>
      <c r="U74" s="161"/>
      <c r="V74" s="127"/>
      <c r="W74" s="142"/>
      <c r="X74" s="197"/>
      <c r="Y74" s="143"/>
      <c r="Z74" s="144"/>
      <c r="AA74" s="145"/>
      <c r="AB74" s="161"/>
      <c r="AC74" s="127"/>
      <c r="AD74" s="142"/>
      <c r="AE74" s="197"/>
      <c r="AF74" s="143"/>
      <c r="AG74" s="144"/>
      <c r="AH74" s="145"/>
      <c r="AI74" s="161"/>
      <c r="AJ74" s="127"/>
      <c r="AK74" s="142"/>
      <c r="AL74" s="197"/>
      <c r="AM74" s="143"/>
      <c r="AN74" s="144"/>
      <c r="AO74" s="145"/>
      <c r="AP74" s="161"/>
      <c r="AQ74" s="127"/>
      <c r="AR74" s="142"/>
      <c r="AS74" s="197"/>
      <c r="AT74" s="143"/>
      <c r="AU74" s="144"/>
      <c r="AV74" s="145"/>
      <c r="AW74" s="161"/>
      <c r="AX74" s="127"/>
      <c r="AY74" s="142"/>
      <c r="AZ74" s="197"/>
      <c r="BA74" s="143"/>
      <c r="BB74" s="144"/>
      <c r="BC74" s="145"/>
      <c r="BD74" s="161"/>
      <c r="BE74" s="127"/>
      <c r="BF74" s="142"/>
      <c r="BG74" s="197"/>
      <c r="BH74" s="143"/>
      <c r="BI74" s="144"/>
      <c r="BJ74" s="145"/>
      <c r="BK74" s="161"/>
      <c r="BL74" s="127"/>
      <c r="BM74" s="142"/>
      <c r="BN74" s="197"/>
      <c r="BO74" s="143"/>
      <c r="BP74" s="144"/>
      <c r="BQ74" s="145"/>
      <c r="BR74" s="162"/>
      <c r="BS74" s="127"/>
      <c r="BT74" s="142"/>
      <c r="BU74" s="197"/>
      <c r="BV74" s="143"/>
      <c r="BW74" s="144"/>
      <c r="BX74" s="145"/>
      <c r="BY74" s="162"/>
      <c r="BZ74" s="127"/>
      <c r="CA74" s="142"/>
      <c r="CB74" s="197"/>
      <c r="CC74" s="143"/>
      <c r="CD74" s="144"/>
      <c r="CE74" s="145"/>
      <c r="CF74" s="162"/>
      <c r="CG74" s="108"/>
      <c r="CH74" s="108"/>
    </row>
    <row r="75" spans="1:86" x14ac:dyDescent="0.25">
      <c r="A75" s="127"/>
      <c r="B75" s="142"/>
      <c r="C75" s="197"/>
      <c r="D75" s="143"/>
      <c r="E75" s="144"/>
      <c r="F75" s="145"/>
      <c r="G75" s="161"/>
      <c r="H75" s="127"/>
      <c r="I75" s="142"/>
      <c r="J75" s="197"/>
      <c r="K75" s="143"/>
      <c r="L75" s="144"/>
      <c r="M75" s="145"/>
      <c r="N75" s="161"/>
      <c r="O75" s="127"/>
      <c r="P75" s="142"/>
      <c r="Q75" s="197"/>
      <c r="R75" s="143"/>
      <c r="S75" s="144"/>
      <c r="T75" s="145"/>
      <c r="U75" s="161"/>
      <c r="V75" s="127"/>
      <c r="W75" s="142"/>
      <c r="X75" s="197"/>
      <c r="Y75" s="143"/>
      <c r="Z75" s="144"/>
      <c r="AA75" s="145"/>
      <c r="AB75" s="161"/>
      <c r="AC75" s="127"/>
      <c r="AD75" s="142"/>
      <c r="AE75" s="197"/>
      <c r="AF75" s="143"/>
      <c r="AG75" s="144"/>
      <c r="AH75" s="145"/>
      <c r="AI75" s="161"/>
      <c r="AJ75" s="127"/>
      <c r="AK75" s="142"/>
      <c r="AL75" s="197"/>
      <c r="AM75" s="143"/>
      <c r="AN75" s="144"/>
      <c r="AO75" s="145"/>
      <c r="AP75" s="161"/>
      <c r="AQ75" s="127"/>
      <c r="AR75" s="142"/>
      <c r="AS75" s="197"/>
      <c r="AT75" s="143"/>
      <c r="AU75" s="144"/>
      <c r="AV75" s="145"/>
      <c r="AW75" s="161"/>
      <c r="AX75" s="127"/>
      <c r="AY75" s="142"/>
      <c r="AZ75" s="197"/>
      <c r="BA75" s="143"/>
      <c r="BB75" s="144"/>
      <c r="BC75" s="145"/>
      <c r="BD75" s="161"/>
      <c r="BE75" s="127"/>
      <c r="BF75" s="142"/>
      <c r="BG75" s="197"/>
      <c r="BH75" s="143"/>
      <c r="BI75" s="144"/>
      <c r="BJ75" s="145"/>
      <c r="BK75" s="161"/>
      <c r="BL75" s="127"/>
      <c r="BM75" s="142"/>
      <c r="BN75" s="197"/>
      <c r="BO75" s="143"/>
      <c r="BP75" s="144"/>
      <c r="BQ75" s="145"/>
      <c r="BR75" s="162"/>
      <c r="BS75" s="127"/>
      <c r="BT75" s="142"/>
      <c r="BU75" s="197"/>
      <c r="BV75" s="143"/>
      <c r="BW75" s="144"/>
      <c r="BX75" s="145"/>
      <c r="BY75" s="162"/>
      <c r="BZ75" s="127"/>
      <c r="CA75" s="142"/>
      <c r="CB75" s="197"/>
      <c r="CC75" s="143"/>
      <c r="CD75" s="144"/>
      <c r="CE75" s="145"/>
      <c r="CF75" s="162"/>
      <c r="CG75" s="108"/>
      <c r="CH75" s="108"/>
    </row>
    <row r="76" spans="1:86" x14ac:dyDescent="0.25">
      <c r="A76" s="127"/>
      <c r="B76" s="142"/>
      <c r="C76" s="197"/>
      <c r="D76" s="143"/>
      <c r="E76" s="144"/>
      <c r="F76" s="145"/>
      <c r="G76" s="161"/>
      <c r="H76" s="127"/>
      <c r="I76" s="142"/>
      <c r="J76" s="197"/>
      <c r="K76" s="143"/>
      <c r="L76" s="144"/>
      <c r="M76" s="145"/>
      <c r="N76" s="161"/>
      <c r="O76" s="127"/>
      <c r="P76" s="142"/>
      <c r="Q76" s="197"/>
      <c r="R76" s="143"/>
      <c r="S76" s="144"/>
      <c r="T76" s="145"/>
      <c r="U76" s="161"/>
      <c r="V76" s="127"/>
      <c r="W76" s="142"/>
      <c r="X76" s="197"/>
      <c r="Y76" s="143"/>
      <c r="Z76" s="144"/>
      <c r="AA76" s="145"/>
      <c r="AB76" s="161"/>
      <c r="AC76" s="127"/>
      <c r="AD76" s="142"/>
      <c r="AE76" s="197"/>
      <c r="AF76" s="143"/>
      <c r="AG76" s="144"/>
      <c r="AH76" s="145"/>
      <c r="AI76" s="161"/>
      <c r="AJ76" s="127"/>
      <c r="AK76" s="142"/>
      <c r="AL76" s="197"/>
      <c r="AM76" s="143"/>
      <c r="AN76" s="144"/>
      <c r="AO76" s="145"/>
      <c r="AP76" s="161"/>
      <c r="AQ76" s="127"/>
      <c r="AR76" s="142"/>
      <c r="AS76" s="197"/>
      <c r="AT76" s="143"/>
      <c r="AU76" s="144"/>
      <c r="AV76" s="145"/>
      <c r="AW76" s="161"/>
      <c r="AX76" s="127"/>
      <c r="AY76" s="142"/>
      <c r="AZ76" s="197"/>
      <c r="BA76" s="143"/>
      <c r="BB76" s="144"/>
      <c r="BC76" s="145"/>
      <c r="BD76" s="161"/>
      <c r="BE76" s="127"/>
      <c r="BF76" s="142"/>
      <c r="BG76" s="197"/>
      <c r="BH76" s="143"/>
      <c r="BI76" s="144"/>
      <c r="BJ76" s="145"/>
      <c r="BK76" s="161"/>
      <c r="BL76" s="127"/>
      <c r="BM76" s="142"/>
      <c r="BN76" s="197"/>
      <c r="BO76" s="143"/>
      <c r="BP76" s="144"/>
      <c r="BQ76" s="145"/>
      <c r="BR76" s="162"/>
      <c r="BS76" s="127"/>
      <c r="BT76" s="142"/>
      <c r="BU76" s="197"/>
      <c r="BV76" s="143"/>
      <c r="BW76" s="144"/>
      <c r="BX76" s="145"/>
      <c r="BY76" s="162"/>
      <c r="BZ76" s="127"/>
      <c r="CA76" s="142"/>
      <c r="CB76" s="197"/>
      <c r="CC76" s="143"/>
      <c r="CD76" s="144"/>
      <c r="CE76" s="145"/>
      <c r="CF76" s="162"/>
      <c r="CG76" s="108"/>
      <c r="CH76" s="108"/>
    </row>
    <row r="77" spans="1:86" x14ac:dyDescent="0.25">
      <c r="A77" s="127"/>
      <c r="B77" s="142"/>
      <c r="C77" s="197"/>
      <c r="D77" s="143"/>
      <c r="E77" s="144"/>
      <c r="F77" s="145"/>
      <c r="G77" s="161"/>
      <c r="H77" s="127"/>
      <c r="I77" s="142"/>
      <c r="J77" s="197"/>
      <c r="K77" s="143"/>
      <c r="L77" s="144"/>
      <c r="M77" s="145"/>
      <c r="N77" s="161"/>
      <c r="O77" s="127"/>
      <c r="P77" s="142"/>
      <c r="Q77" s="197"/>
      <c r="R77" s="143"/>
      <c r="S77" s="144"/>
      <c r="T77" s="145"/>
      <c r="U77" s="161"/>
      <c r="V77" s="127"/>
      <c r="W77" s="142"/>
      <c r="X77" s="197"/>
      <c r="Y77" s="143"/>
      <c r="Z77" s="144"/>
      <c r="AA77" s="145"/>
      <c r="AB77" s="161"/>
      <c r="AC77" s="127"/>
      <c r="AD77" s="142"/>
      <c r="AE77" s="197"/>
      <c r="AF77" s="143"/>
      <c r="AG77" s="144"/>
      <c r="AH77" s="145"/>
      <c r="AI77" s="161"/>
      <c r="AJ77" s="127"/>
      <c r="AK77" s="142"/>
      <c r="AL77" s="197"/>
      <c r="AM77" s="143"/>
      <c r="AN77" s="144"/>
      <c r="AO77" s="145"/>
      <c r="AP77" s="161"/>
      <c r="AQ77" s="127"/>
      <c r="AR77" s="142"/>
      <c r="AS77" s="197"/>
      <c r="AT77" s="143"/>
      <c r="AU77" s="144"/>
      <c r="AV77" s="145"/>
      <c r="AW77" s="161"/>
      <c r="AX77" s="127"/>
      <c r="AY77" s="142"/>
      <c r="AZ77" s="197"/>
      <c r="BA77" s="143"/>
      <c r="BB77" s="144"/>
      <c r="BC77" s="145"/>
      <c r="BD77" s="161"/>
      <c r="BE77" s="127"/>
      <c r="BF77" s="142"/>
      <c r="BG77" s="197"/>
      <c r="BH77" s="143"/>
      <c r="BI77" s="144"/>
      <c r="BJ77" s="145"/>
      <c r="BK77" s="161"/>
      <c r="BL77" s="127"/>
      <c r="BM77" s="142"/>
      <c r="BN77" s="197"/>
      <c r="BO77" s="143"/>
      <c r="BP77" s="144"/>
      <c r="BQ77" s="145"/>
      <c r="BR77" s="162"/>
      <c r="BS77" s="127"/>
      <c r="BT77" s="142"/>
      <c r="BU77" s="197"/>
      <c r="BV77" s="143"/>
      <c r="BW77" s="144"/>
      <c r="BX77" s="145"/>
      <c r="BY77" s="162"/>
      <c r="BZ77" s="127"/>
      <c r="CA77" s="142"/>
      <c r="CB77" s="197"/>
      <c r="CC77" s="143"/>
      <c r="CD77" s="144"/>
      <c r="CE77" s="145"/>
      <c r="CF77" s="162"/>
      <c r="CG77" s="108"/>
      <c r="CH77" s="108"/>
    </row>
    <row r="78" spans="1:86" x14ac:dyDescent="0.25">
      <c r="A78" s="127"/>
      <c r="B78" s="142"/>
      <c r="C78" s="197"/>
      <c r="D78" s="143"/>
      <c r="E78" s="144"/>
      <c r="F78" s="145"/>
      <c r="G78" s="161"/>
      <c r="H78" s="127"/>
      <c r="I78" s="142"/>
      <c r="J78" s="197"/>
      <c r="K78" s="143"/>
      <c r="L78" s="144"/>
      <c r="M78" s="145"/>
      <c r="N78" s="161"/>
      <c r="O78" s="127"/>
      <c r="P78" s="142"/>
      <c r="Q78" s="197"/>
      <c r="R78" s="143"/>
      <c r="S78" s="144"/>
      <c r="T78" s="145"/>
      <c r="U78" s="161"/>
      <c r="V78" s="127"/>
      <c r="W78" s="142"/>
      <c r="X78" s="197"/>
      <c r="Y78" s="143"/>
      <c r="Z78" s="144"/>
      <c r="AA78" s="145"/>
      <c r="AB78" s="161"/>
      <c r="AC78" s="127"/>
      <c r="AD78" s="142"/>
      <c r="AE78" s="197"/>
      <c r="AF78" s="143"/>
      <c r="AG78" s="144"/>
      <c r="AH78" s="145"/>
      <c r="AI78" s="161"/>
      <c r="AJ78" s="127"/>
      <c r="AK78" s="142"/>
      <c r="AL78" s="197"/>
      <c r="AM78" s="143"/>
      <c r="AN78" s="144"/>
      <c r="AO78" s="145"/>
      <c r="AP78" s="161"/>
      <c r="AQ78" s="127"/>
      <c r="AR78" s="142"/>
      <c r="AS78" s="197"/>
      <c r="AT78" s="143"/>
      <c r="AU78" s="144"/>
      <c r="AV78" s="145"/>
      <c r="AW78" s="161"/>
      <c r="AX78" s="127"/>
      <c r="AY78" s="142"/>
      <c r="AZ78" s="197"/>
      <c r="BA78" s="143"/>
      <c r="BB78" s="144"/>
      <c r="BC78" s="145"/>
      <c r="BD78" s="161"/>
      <c r="BE78" s="127"/>
      <c r="BF78" s="142"/>
      <c r="BG78" s="197"/>
      <c r="BH78" s="143"/>
      <c r="BI78" s="144"/>
      <c r="BJ78" s="145"/>
      <c r="BK78" s="161"/>
      <c r="BL78" s="127"/>
      <c r="BM78" s="142"/>
      <c r="BN78" s="197"/>
      <c r="BO78" s="143"/>
      <c r="BP78" s="144"/>
      <c r="BQ78" s="145"/>
      <c r="BR78" s="162"/>
      <c r="BS78" s="127"/>
      <c r="BT78" s="142"/>
      <c r="BU78" s="197"/>
      <c r="BV78" s="143"/>
      <c r="BW78" s="144"/>
      <c r="BX78" s="145"/>
      <c r="BY78" s="162"/>
      <c r="BZ78" s="127"/>
      <c r="CA78" s="142"/>
      <c r="CB78" s="197"/>
      <c r="CC78" s="143"/>
      <c r="CD78" s="144"/>
      <c r="CE78" s="145"/>
      <c r="CF78" s="162"/>
      <c r="CG78" s="108"/>
      <c r="CH78" s="108"/>
    </row>
    <row r="79" spans="1:86" x14ac:dyDescent="0.25">
      <c r="A79" s="127"/>
      <c r="B79" s="142"/>
      <c r="C79" s="197"/>
      <c r="D79" s="143"/>
      <c r="E79" s="144"/>
      <c r="F79" s="145"/>
      <c r="G79" s="161"/>
      <c r="H79" s="127"/>
      <c r="I79" s="142"/>
      <c r="J79" s="197"/>
      <c r="K79" s="143"/>
      <c r="L79" s="144"/>
      <c r="M79" s="145"/>
      <c r="N79" s="161"/>
      <c r="O79" s="127"/>
      <c r="P79" s="142"/>
      <c r="Q79" s="197"/>
      <c r="R79" s="143"/>
      <c r="S79" s="144"/>
      <c r="T79" s="145"/>
      <c r="U79" s="161"/>
      <c r="V79" s="127"/>
      <c r="W79" s="142"/>
      <c r="X79" s="197"/>
      <c r="Y79" s="143"/>
      <c r="Z79" s="144"/>
      <c r="AA79" s="145"/>
      <c r="AB79" s="161"/>
      <c r="AC79" s="127"/>
      <c r="AD79" s="142"/>
      <c r="AE79" s="197"/>
      <c r="AF79" s="143"/>
      <c r="AG79" s="144"/>
      <c r="AH79" s="145"/>
      <c r="AI79" s="161"/>
      <c r="AJ79" s="127"/>
      <c r="AK79" s="142"/>
      <c r="AL79" s="197"/>
      <c r="AM79" s="143"/>
      <c r="AN79" s="144"/>
      <c r="AO79" s="145"/>
      <c r="AP79" s="161"/>
      <c r="AQ79" s="127"/>
      <c r="AR79" s="142"/>
      <c r="AS79" s="197"/>
      <c r="AT79" s="143"/>
      <c r="AU79" s="144"/>
      <c r="AV79" s="145"/>
      <c r="AW79" s="161"/>
      <c r="AX79" s="127"/>
      <c r="AY79" s="142"/>
      <c r="AZ79" s="197"/>
      <c r="BA79" s="143"/>
      <c r="BB79" s="144"/>
      <c r="BC79" s="145"/>
      <c r="BD79" s="161"/>
      <c r="BE79" s="127"/>
      <c r="BF79" s="142"/>
      <c r="BG79" s="197"/>
      <c r="BH79" s="143"/>
      <c r="BI79" s="144"/>
      <c r="BJ79" s="145"/>
      <c r="BK79" s="161"/>
      <c r="BL79" s="127"/>
      <c r="BM79" s="142"/>
      <c r="BN79" s="197"/>
      <c r="BO79" s="143"/>
      <c r="BP79" s="144"/>
      <c r="BQ79" s="145"/>
      <c r="BR79" s="162"/>
      <c r="BS79" s="127"/>
      <c r="BT79" s="142"/>
      <c r="BU79" s="197"/>
      <c r="BV79" s="143"/>
      <c r="BW79" s="144"/>
      <c r="BX79" s="145"/>
      <c r="BY79" s="162"/>
      <c r="BZ79" s="127"/>
      <c r="CA79" s="142"/>
      <c r="CB79" s="197"/>
      <c r="CC79" s="143"/>
      <c r="CD79" s="144"/>
      <c r="CE79" s="145"/>
      <c r="CF79" s="162"/>
      <c r="CG79" s="108"/>
      <c r="CH79" s="108"/>
    </row>
    <row r="80" spans="1:86" x14ac:dyDescent="0.25">
      <c r="A80" s="127"/>
      <c r="B80" s="142"/>
      <c r="C80" s="197"/>
      <c r="D80" s="143"/>
      <c r="E80" s="144"/>
      <c r="F80" s="145"/>
      <c r="G80" s="161"/>
      <c r="H80" s="127"/>
      <c r="I80" s="142"/>
      <c r="J80" s="197"/>
      <c r="K80" s="143"/>
      <c r="L80" s="144"/>
      <c r="M80" s="145"/>
      <c r="N80" s="161"/>
      <c r="O80" s="127"/>
      <c r="P80" s="142"/>
      <c r="Q80" s="197"/>
      <c r="R80" s="143"/>
      <c r="S80" s="144"/>
      <c r="T80" s="145"/>
      <c r="U80" s="161"/>
      <c r="V80" s="127"/>
      <c r="W80" s="142"/>
      <c r="X80" s="197"/>
      <c r="Y80" s="143"/>
      <c r="Z80" s="144"/>
      <c r="AA80" s="145"/>
      <c r="AB80" s="161"/>
      <c r="AC80" s="127"/>
      <c r="AD80" s="142"/>
      <c r="AE80" s="197"/>
      <c r="AF80" s="143"/>
      <c r="AG80" s="144"/>
      <c r="AH80" s="145"/>
      <c r="AI80" s="161"/>
      <c r="AJ80" s="127"/>
      <c r="AK80" s="142"/>
      <c r="AL80" s="197"/>
      <c r="AM80" s="143"/>
      <c r="AN80" s="144"/>
      <c r="AO80" s="145"/>
      <c r="AP80" s="161"/>
      <c r="AQ80" s="127"/>
      <c r="AR80" s="142"/>
      <c r="AS80" s="197"/>
      <c r="AT80" s="143"/>
      <c r="AU80" s="144"/>
      <c r="AV80" s="145"/>
      <c r="AW80" s="161"/>
      <c r="AX80" s="127"/>
      <c r="AY80" s="142"/>
      <c r="AZ80" s="197"/>
      <c r="BA80" s="143"/>
      <c r="BB80" s="144"/>
      <c r="BC80" s="145"/>
      <c r="BD80" s="161"/>
      <c r="BE80" s="127"/>
      <c r="BF80" s="142"/>
      <c r="BG80" s="197"/>
      <c r="BH80" s="143"/>
      <c r="BI80" s="144"/>
      <c r="BJ80" s="145"/>
      <c r="BK80" s="161"/>
      <c r="BL80" s="127"/>
      <c r="BM80" s="142"/>
      <c r="BN80" s="197"/>
      <c r="BO80" s="143"/>
      <c r="BP80" s="144"/>
      <c r="BQ80" s="145"/>
      <c r="BR80" s="162"/>
      <c r="BS80" s="127"/>
      <c r="BT80" s="142"/>
      <c r="BU80" s="197"/>
      <c r="BV80" s="143"/>
      <c r="BW80" s="144"/>
      <c r="BX80" s="145"/>
      <c r="BY80" s="162"/>
      <c r="BZ80" s="127"/>
      <c r="CA80" s="142"/>
      <c r="CB80" s="197"/>
      <c r="CC80" s="143"/>
      <c r="CD80" s="144"/>
      <c r="CE80" s="145"/>
      <c r="CF80" s="162"/>
      <c r="CG80" s="108"/>
      <c r="CH80" s="108"/>
    </row>
    <row r="81" spans="1:86" x14ac:dyDescent="0.25">
      <c r="A81" s="127"/>
      <c r="B81" s="142"/>
      <c r="C81" s="197"/>
      <c r="D81" s="143"/>
      <c r="E81" s="144"/>
      <c r="F81" s="145"/>
      <c r="G81" s="161"/>
      <c r="H81" s="127"/>
      <c r="I81" s="142"/>
      <c r="J81" s="197"/>
      <c r="K81" s="143"/>
      <c r="L81" s="144"/>
      <c r="M81" s="145"/>
      <c r="N81" s="161"/>
      <c r="O81" s="127"/>
      <c r="P81" s="142"/>
      <c r="Q81" s="197"/>
      <c r="R81" s="143"/>
      <c r="S81" s="144"/>
      <c r="T81" s="145"/>
      <c r="U81" s="161"/>
      <c r="V81" s="127"/>
      <c r="W81" s="142"/>
      <c r="X81" s="197"/>
      <c r="Y81" s="143"/>
      <c r="Z81" s="144"/>
      <c r="AA81" s="145"/>
      <c r="AB81" s="161"/>
      <c r="AC81" s="127"/>
      <c r="AD81" s="142"/>
      <c r="AE81" s="197"/>
      <c r="AF81" s="143"/>
      <c r="AG81" s="144"/>
      <c r="AH81" s="145"/>
      <c r="AI81" s="161"/>
      <c r="AJ81" s="127"/>
      <c r="AK81" s="142"/>
      <c r="AL81" s="197"/>
      <c r="AM81" s="143"/>
      <c r="AN81" s="144"/>
      <c r="AO81" s="145"/>
      <c r="AP81" s="161"/>
      <c r="AQ81" s="127"/>
      <c r="AR81" s="142"/>
      <c r="AS81" s="197"/>
      <c r="AT81" s="143"/>
      <c r="AU81" s="144"/>
      <c r="AV81" s="145"/>
      <c r="AW81" s="161"/>
      <c r="AX81" s="127"/>
      <c r="AY81" s="142"/>
      <c r="AZ81" s="197"/>
      <c r="BA81" s="143"/>
      <c r="BB81" s="144"/>
      <c r="BC81" s="145"/>
      <c r="BD81" s="161"/>
      <c r="BE81" s="127"/>
      <c r="BF81" s="142"/>
      <c r="BG81" s="197"/>
      <c r="BH81" s="143"/>
      <c r="BI81" s="144"/>
      <c r="BJ81" s="145"/>
      <c r="BK81" s="161"/>
      <c r="BL81" s="127"/>
      <c r="BM81" s="142"/>
      <c r="BN81" s="197"/>
      <c r="BO81" s="143"/>
      <c r="BP81" s="144"/>
      <c r="BQ81" s="145"/>
      <c r="BR81" s="162"/>
      <c r="BS81" s="127"/>
      <c r="BT81" s="142"/>
      <c r="BU81" s="197"/>
      <c r="BV81" s="143"/>
      <c r="BW81" s="144"/>
      <c r="BX81" s="145"/>
      <c r="BY81" s="162"/>
      <c r="BZ81" s="127"/>
      <c r="CA81" s="142"/>
      <c r="CB81" s="197"/>
      <c r="CC81" s="143"/>
      <c r="CD81" s="144"/>
      <c r="CE81" s="145"/>
      <c r="CF81" s="162"/>
      <c r="CG81" s="108"/>
      <c r="CH81" s="108"/>
    </row>
    <row r="82" spans="1:86" ht="15.75" thickBot="1" x14ac:dyDescent="0.3">
      <c r="A82" s="127"/>
      <c r="B82" s="142"/>
      <c r="C82" s="197"/>
      <c r="D82" s="143"/>
      <c r="E82" s="144"/>
      <c r="F82" s="145"/>
      <c r="G82" s="161"/>
      <c r="H82" s="127"/>
      <c r="I82" s="142"/>
      <c r="J82" s="197"/>
      <c r="K82" s="143"/>
      <c r="L82" s="144"/>
      <c r="M82" s="145"/>
      <c r="N82" s="161"/>
      <c r="O82" s="127"/>
      <c r="P82" s="142"/>
      <c r="Q82" s="197"/>
      <c r="R82" s="143"/>
      <c r="S82" s="144"/>
      <c r="T82" s="145"/>
      <c r="U82" s="161"/>
      <c r="V82" s="127"/>
      <c r="W82" s="142"/>
      <c r="X82" s="197"/>
      <c r="Y82" s="143"/>
      <c r="Z82" s="144"/>
      <c r="AA82" s="145"/>
      <c r="AB82" s="161"/>
      <c r="AC82" s="127"/>
      <c r="AD82" s="142"/>
      <c r="AE82" s="197"/>
      <c r="AF82" s="143"/>
      <c r="AG82" s="144"/>
      <c r="AH82" s="145"/>
      <c r="AI82" s="161"/>
      <c r="AJ82" s="127"/>
      <c r="AK82" s="142"/>
      <c r="AL82" s="197"/>
      <c r="AM82" s="143"/>
      <c r="AN82" s="144"/>
      <c r="AO82" s="145"/>
      <c r="AP82" s="161"/>
      <c r="AQ82" s="127"/>
      <c r="AR82" s="142"/>
      <c r="AS82" s="197"/>
      <c r="AT82" s="143"/>
      <c r="AU82" s="144"/>
      <c r="AV82" s="145"/>
      <c r="AW82" s="161"/>
      <c r="AX82" s="127"/>
      <c r="AY82" s="142"/>
      <c r="AZ82" s="197"/>
      <c r="BA82" s="143"/>
      <c r="BB82" s="144"/>
      <c r="BC82" s="145"/>
      <c r="BD82" s="161"/>
      <c r="BE82" s="127"/>
      <c r="BF82" s="142"/>
      <c r="BG82" s="197"/>
      <c r="BH82" s="143"/>
      <c r="BI82" s="144"/>
      <c r="BJ82" s="145"/>
      <c r="BK82" s="161"/>
      <c r="BL82" s="146"/>
      <c r="BM82" s="147"/>
      <c r="BN82" s="198"/>
      <c r="BO82" s="148"/>
      <c r="BP82" s="149"/>
      <c r="BQ82" s="150"/>
      <c r="BR82" s="201"/>
      <c r="BS82" s="146"/>
      <c r="BT82" s="147"/>
      <c r="BU82" s="198"/>
      <c r="BV82" s="148"/>
      <c r="BW82" s="149"/>
      <c r="BX82" s="150"/>
      <c r="BY82" s="201"/>
      <c r="BZ82" s="146"/>
      <c r="CA82" s="147"/>
      <c r="CB82" s="198"/>
      <c r="CC82" s="148"/>
      <c r="CD82" s="149"/>
      <c r="CE82" s="150"/>
      <c r="CF82" s="201"/>
      <c r="CG82" s="108"/>
      <c r="CH82" s="108"/>
    </row>
    <row r="83" spans="1:86" ht="15" customHeight="1" x14ac:dyDescent="0.25">
      <c r="A83" s="430" t="s">
        <v>34</v>
      </c>
      <c r="B83" s="431"/>
      <c r="C83" s="431"/>
      <c r="D83" s="431"/>
      <c r="E83" s="431"/>
      <c r="F83" s="431"/>
      <c r="G83" s="431"/>
      <c r="H83" s="431"/>
      <c r="I83" s="431"/>
      <c r="J83" s="431"/>
      <c r="K83" s="431"/>
      <c r="L83" s="431"/>
      <c r="M83" s="431"/>
      <c r="N83" s="431"/>
      <c r="O83" s="431"/>
      <c r="P83" s="431"/>
      <c r="Q83" s="431"/>
      <c r="R83" s="431"/>
      <c r="S83" s="431"/>
      <c r="T83" s="431"/>
      <c r="U83" s="431"/>
      <c r="V83" s="431"/>
      <c r="W83" s="431"/>
      <c r="X83" s="431"/>
      <c r="Y83" s="431"/>
      <c r="Z83" s="431"/>
      <c r="AA83" s="431"/>
      <c r="AB83" s="431"/>
      <c r="AC83" s="431"/>
      <c r="AD83" s="431"/>
      <c r="AE83" s="431"/>
      <c r="AF83" s="431"/>
      <c r="AG83" s="431"/>
      <c r="AH83" s="431"/>
      <c r="AI83" s="431"/>
      <c r="AJ83" s="431"/>
      <c r="AK83" s="431"/>
      <c r="AL83" s="431"/>
      <c r="AM83" s="431"/>
      <c r="AN83" s="431"/>
      <c r="AO83" s="431"/>
      <c r="AP83" s="431"/>
      <c r="AQ83" s="431"/>
      <c r="AR83" s="431"/>
      <c r="AS83" s="431"/>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2"/>
      <c r="CG83" s="108"/>
      <c r="CH83" s="108"/>
    </row>
    <row r="84" spans="1:86" ht="15.75" customHeight="1" thickBot="1" x14ac:dyDescent="0.3">
      <c r="A84" s="433"/>
      <c r="B84" s="434"/>
      <c r="C84" s="434"/>
      <c r="D84" s="434"/>
      <c r="E84" s="434"/>
      <c r="F84" s="434"/>
      <c r="G84" s="434"/>
      <c r="H84" s="434"/>
      <c r="I84" s="434"/>
      <c r="J84" s="434"/>
      <c r="K84" s="434"/>
      <c r="L84" s="434"/>
      <c r="M84" s="434"/>
      <c r="N84" s="434"/>
      <c r="O84" s="434"/>
      <c r="P84" s="434"/>
      <c r="Q84" s="434"/>
      <c r="R84" s="434"/>
      <c r="S84" s="434"/>
      <c r="T84" s="434"/>
      <c r="U84" s="434"/>
      <c r="V84" s="434"/>
      <c r="W84" s="434"/>
      <c r="X84" s="434"/>
      <c r="Y84" s="434"/>
      <c r="Z84" s="434"/>
      <c r="AA84" s="434"/>
      <c r="AB84" s="434"/>
      <c r="AC84" s="434"/>
      <c r="AD84" s="434"/>
      <c r="AE84" s="434"/>
      <c r="AF84" s="434"/>
      <c r="AG84" s="434"/>
      <c r="AH84" s="434"/>
      <c r="AI84" s="434"/>
      <c r="AJ84" s="434"/>
      <c r="AK84" s="434"/>
      <c r="AL84" s="434"/>
      <c r="AM84" s="434"/>
      <c r="AN84" s="434"/>
      <c r="AO84" s="434"/>
      <c r="AP84" s="434"/>
      <c r="AQ84" s="434"/>
      <c r="AR84" s="434"/>
      <c r="AS84" s="434"/>
      <c r="AT84" s="434"/>
      <c r="AU84" s="434"/>
      <c r="AV84" s="434"/>
      <c r="AW84" s="434"/>
      <c r="AX84" s="434"/>
      <c r="AY84" s="434"/>
      <c r="AZ84" s="434"/>
      <c r="BA84" s="434"/>
      <c r="BB84" s="434"/>
      <c r="BC84" s="434"/>
      <c r="BD84" s="434"/>
      <c r="BE84" s="434"/>
      <c r="BF84" s="434"/>
      <c r="BG84" s="434"/>
      <c r="BH84" s="434"/>
      <c r="BI84" s="434"/>
      <c r="BJ84" s="434"/>
      <c r="BK84" s="434"/>
      <c r="BL84" s="434"/>
      <c r="BM84" s="434"/>
      <c r="BN84" s="434"/>
      <c r="BO84" s="434"/>
      <c r="BP84" s="434"/>
      <c r="BQ84" s="434"/>
      <c r="BR84" s="434"/>
      <c r="BS84" s="434"/>
      <c r="BT84" s="434"/>
      <c r="BU84" s="434"/>
      <c r="BV84" s="434"/>
      <c r="BW84" s="434"/>
      <c r="BX84" s="434"/>
      <c r="BY84" s="434"/>
      <c r="BZ84" s="434"/>
      <c r="CA84" s="434"/>
      <c r="CB84" s="434"/>
      <c r="CC84" s="434"/>
      <c r="CD84" s="434"/>
      <c r="CE84" s="434"/>
      <c r="CF84" s="435"/>
      <c r="CG84" s="108"/>
      <c r="CH84" s="108"/>
    </row>
    <row r="85" spans="1:86" ht="15" customHeight="1" x14ac:dyDescent="0.25">
      <c r="A85" s="412"/>
      <c r="B85" s="413"/>
      <c r="C85" s="413"/>
      <c r="D85" s="413"/>
      <c r="E85" s="413"/>
      <c r="F85" s="413"/>
      <c r="G85" s="414"/>
      <c r="H85" s="412"/>
      <c r="I85" s="413"/>
      <c r="J85" s="413"/>
      <c r="K85" s="413"/>
      <c r="L85" s="413"/>
      <c r="M85" s="413"/>
      <c r="N85" s="414"/>
      <c r="O85" s="412"/>
      <c r="P85" s="413"/>
      <c r="Q85" s="413"/>
      <c r="R85" s="413"/>
      <c r="S85" s="413"/>
      <c r="T85" s="413"/>
      <c r="U85" s="414"/>
      <c r="V85" s="412"/>
      <c r="W85" s="413"/>
      <c r="X85" s="413"/>
      <c r="Y85" s="413"/>
      <c r="Z85" s="413"/>
      <c r="AA85" s="413"/>
      <c r="AB85" s="414"/>
      <c r="AC85" s="412"/>
      <c r="AD85" s="413"/>
      <c r="AE85" s="413"/>
      <c r="AF85" s="413"/>
      <c r="AG85" s="413"/>
      <c r="AH85" s="413"/>
      <c r="AI85" s="414"/>
      <c r="AJ85" s="412"/>
      <c r="AK85" s="413"/>
      <c r="AL85" s="413"/>
      <c r="AM85" s="413"/>
      <c r="AN85" s="413"/>
      <c r="AO85" s="413"/>
      <c r="AP85" s="414"/>
      <c r="AQ85" s="412"/>
      <c r="AR85" s="413"/>
      <c r="AS85" s="413"/>
      <c r="AT85" s="413"/>
      <c r="AU85" s="413"/>
      <c r="AV85" s="413"/>
      <c r="AW85" s="414"/>
      <c r="AX85" s="412"/>
      <c r="AY85" s="413"/>
      <c r="AZ85" s="413"/>
      <c r="BA85" s="413"/>
      <c r="BB85" s="413"/>
      <c r="BC85" s="413"/>
      <c r="BD85" s="414"/>
      <c r="BE85" s="412"/>
      <c r="BF85" s="413"/>
      <c r="BG85" s="413"/>
      <c r="BH85" s="413"/>
      <c r="BI85" s="413"/>
      <c r="BJ85" s="413"/>
      <c r="BK85" s="414"/>
      <c r="BL85" s="412"/>
      <c r="BM85" s="413"/>
      <c r="BN85" s="413"/>
      <c r="BO85" s="413"/>
      <c r="BP85" s="413"/>
      <c r="BQ85" s="413"/>
      <c r="BR85" s="414"/>
      <c r="BS85" s="412"/>
      <c r="BT85" s="413"/>
      <c r="BU85" s="413"/>
      <c r="BV85" s="413"/>
      <c r="BW85" s="413"/>
      <c r="BX85" s="413"/>
      <c r="BY85" s="414"/>
      <c r="BZ85" s="412"/>
      <c r="CA85" s="413"/>
      <c r="CB85" s="413"/>
      <c r="CC85" s="413"/>
      <c r="CD85" s="413"/>
      <c r="CE85" s="413"/>
      <c r="CF85" s="414"/>
      <c r="CG85" s="108"/>
      <c r="CH85" s="108"/>
    </row>
    <row r="86" spans="1:86" ht="15" customHeight="1" x14ac:dyDescent="0.25">
      <c r="A86" s="415"/>
      <c r="B86" s="416"/>
      <c r="C86" s="416"/>
      <c r="D86" s="416"/>
      <c r="E86" s="416"/>
      <c r="F86" s="416"/>
      <c r="G86" s="417"/>
      <c r="H86" s="415"/>
      <c r="I86" s="416"/>
      <c r="J86" s="416"/>
      <c r="K86" s="416"/>
      <c r="L86" s="416"/>
      <c r="M86" s="416"/>
      <c r="N86" s="417"/>
      <c r="O86" s="415"/>
      <c r="P86" s="416"/>
      <c r="Q86" s="416"/>
      <c r="R86" s="416"/>
      <c r="S86" s="416"/>
      <c r="T86" s="416"/>
      <c r="U86" s="417"/>
      <c r="V86" s="415"/>
      <c r="W86" s="416"/>
      <c r="X86" s="416"/>
      <c r="Y86" s="416"/>
      <c r="Z86" s="416"/>
      <c r="AA86" s="416"/>
      <c r="AB86" s="417"/>
      <c r="AC86" s="415"/>
      <c r="AD86" s="416"/>
      <c r="AE86" s="416"/>
      <c r="AF86" s="416"/>
      <c r="AG86" s="416"/>
      <c r="AH86" s="416"/>
      <c r="AI86" s="417"/>
      <c r="AJ86" s="415"/>
      <c r="AK86" s="416"/>
      <c r="AL86" s="416"/>
      <c r="AM86" s="416"/>
      <c r="AN86" s="416"/>
      <c r="AO86" s="416"/>
      <c r="AP86" s="417"/>
      <c r="AQ86" s="415"/>
      <c r="AR86" s="416"/>
      <c r="AS86" s="416"/>
      <c r="AT86" s="416"/>
      <c r="AU86" s="416"/>
      <c r="AV86" s="416"/>
      <c r="AW86" s="417"/>
      <c r="AX86" s="415"/>
      <c r="AY86" s="416"/>
      <c r="AZ86" s="416"/>
      <c r="BA86" s="416"/>
      <c r="BB86" s="416"/>
      <c r="BC86" s="416"/>
      <c r="BD86" s="417"/>
      <c r="BE86" s="415"/>
      <c r="BF86" s="416"/>
      <c r="BG86" s="416"/>
      <c r="BH86" s="416"/>
      <c r="BI86" s="416"/>
      <c r="BJ86" s="416"/>
      <c r="BK86" s="417"/>
      <c r="BL86" s="415"/>
      <c r="BM86" s="416"/>
      <c r="BN86" s="416"/>
      <c r="BO86" s="416"/>
      <c r="BP86" s="416"/>
      <c r="BQ86" s="416"/>
      <c r="BR86" s="417"/>
      <c r="BS86" s="415"/>
      <c r="BT86" s="416"/>
      <c r="BU86" s="416"/>
      <c r="BV86" s="416"/>
      <c r="BW86" s="416"/>
      <c r="BX86" s="416"/>
      <c r="BY86" s="417"/>
      <c r="BZ86" s="415"/>
      <c r="CA86" s="416"/>
      <c r="CB86" s="416"/>
      <c r="CC86" s="416"/>
      <c r="CD86" s="416"/>
      <c r="CE86" s="416"/>
      <c r="CF86" s="417"/>
      <c r="CG86" s="108"/>
      <c r="CH86" s="108"/>
    </row>
    <row r="87" spans="1:86" ht="15.75" customHeight="1" thickBot="1" x14ac:dyDescent="0.3">
      <c r="A87" s="418"/>
      <c r="B87" s="419"/>
      <c r="C87" s="419"/>
      <c r="D87" s="419"/>
      <c r="E87" s="419"/>
      <c r="F87" s="419"/>
      <c r="G87" s="420"/>
      <c r="H87" s="418"/>
      <c r="I87" s="419"/>
      <c r="J87" s="419"/>
      <c r="K87" s="419"/>
      <c r="L87" s="419"/>
      <c r="M87" s="419"/>
      <c r="N87" s="420"/>
      <c r="O87" s="418"/>
      <c r="P87" s="419"/>
      <c r="Q87" s="419"/>
      <c r="R87" s="419"/>
      <c r="S87" s="419"/>
      <c r="T87" s="419"/>
      <c r="U87" s="420"/>
      <c r="V87" s="418"/>
      <c r="W87" s="419"/>
      <c r="X87" s="419"/>
      <c r="Y87" s="419"/>
      <c r="Z87" s="419"/>
      <c r="AA87" s="419"/>
      <c r="AB87" s="420"/>
      <c r="AC87" s="418"/>
      <c r="AD87" s="419"/>
      <c r="AE87" s="419"/>
      <c r="AF87" s="419"/>
      <c r="AG87" s="419"/>
      <c r="AH87" s="419"/>
      <c r="AI87" s="420"/>
      <c r="AJ87" s="418"/>
      <c r="AK87" s="419"/>
      <c r="AL87" s="419"/>
      <c r="AM87" s="419"/>
      <c r="AN87" s="419"/>
      <c r="AO87" s="419"/>
      <c r="AP87" s="420"/>
      <c r="AQ87" s="418"/>
      <c r="AR87" s="419"/>
      <c r="AS87" s="419"/>
      <c r="AT87" s="419"/>
      <c r="AU87" s="419"/>
      <c r="AV87" s="419"/>
      <c r="AW87" s="420"/>
      <c r="AX87" s="418"/>
      <c r="AY87" s="419"/>
      <c r="AZ87" s="419"/>
      <c r="BA87" s="419"/>
      <c r="BB87" s="419"/>
      <c r="BC87" s="419"/>
      <c r="BD87" s="420"/>
      <c r="BE87" s="418"/>
      <c r="BF87" s="419"/>
      <c r="BG87" s="419"/>
      <c r="BH87" s="419"/>
      <c r="BI87" s="419"/>
      <c r="BJ87" s="419"/>
      <c r="BK87" s="420"/>
      <c r="BL87" s="418"/>
      <c r="BM87" s="419"/>
      <c r="BN87" s="419"/>
      <c r="BO87" s="419"/>
      <c r="BP87" s="419"/>
      <c r="BQ87" s="419"/>
      <c r="BR87" s="420"/>
      <c r="BS87" s="418"/>
      <c r="BT87" s="419"/>
      <c r="BU87" s="419"/>
      <c r="BV87" s="419"/>
      <c r="BW87" s="419"/>
      <c r="BX87" s="419"/>
      <c r="BY87" s="420"/>
      <c r="BZ87" s="418"/>
      <c r="CA87" s="419"/>
      <c r="CB87" s="419"/>
      <c r="CC87" s="419"/>
      <c r="CD87" s="419"/>
      <c r="CE87" s="419"/>
      <c r="CF87" s="420"/>
      <c r="CG87" s="108"/>
      <c r="CH87" s="108"/>
    </row>
    <row r="88" spans="1:86" ht="19.5" customHeight="1" x14ac:dyDescent="0.25">
      <c r="A88" s="153"/>
      <c r="B88" s="153"/>
      <c r="C88" s="153"/>
      <c r="D88" s="153"/>
      <c r="E88" s="153"/>
      <c r="F88" s="153"/>
      <c r="G88" s="153"/>
      <c r="H88" s="153"/>
      <c r="I88" s="153"/>
      <c r="J88" s="153"/>
      <c r="K88" s="153"/>
      <c r="L88" s="153"/>
      <c r="M88" s="153"/>
      <c r="N88" s="153"/>
      <c r="O88" s="153"/>
      <c r="P88" s="153"/>
      <c r="Q88" s="153"/>
      <c r="R88" s="153"/>
      <c r="S88" s="153"/>
      <c r="T88" s="153"/>
      <c r="U88" s="153"/>
      <c r="V88" s="153"/>
      <c r="W88" s="153"/>
      <c r="X88" s="153"/>
      <c r="Y88" s="153"/>
      <c r="Z88" s="153"/>
      <c r="AA88" s="153"/>
      <c r="AB88" s="153"/>
      <c r="AC88" s="153"/>
      <c r="AD88" s="153"/>
      <c r="AE88" s="153"/>
      <c r="AF88" s="153"/>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3"/>
      <c r="BJ88" s="153"/>
      <c r="BK88" s="108"/>
      <c r="BL88" s="108"/>
      <c r="BM88" s="108"/>
      <c r="BN88" s="108"/>
      <c r="BO88" s="108"/>
      <c r="BP88" s="108"/>
      <c r="BQ88" s="108"/>
      <c r="BR88" s="108"/>
      <c r="BS88" s="108"/>
      <c r="BT88" s="108"/>
      <c r="BU88" s="108"/>
      <c r="BV88" s="108"/>
      <c r="BW88" s="108"/>
      <c r="BX88" s="108"/>
      <c r="BY88" s="108"/>
      <c r="BZ88" s="108"/>
      <c r="CA88" s="108"/>
      <c r="CB88" s="108"/>
      <c r="CC88" s="108"/>
      <c r="CD88" s="108"/>
      <c r="CE88" s="108"/>
      <c r="CF88" s="108"/>
      <c r="CG88" s="108"/>
      <c r="CH88" s="108"/>
    </row>
    <row r="89" spans="1:86" ht="23.25" customHeight="1" x14ac:dyDescent="0.25">
      <c r="A89" s="153"/>
      <c r="B89" s="153"/>
      <c r="C89" s="153"/>
      <c r="D89" s="153"/>
      <c r="E89" s="153"/>
      <c r="F89" s="153"/>
      <c r="G89" s="153"/>
      <c r="H89" s="153"/>
      <c r="I89" s="153"/>
      <c r="J89" s="153"/>
      <c r="K89" s="153"/>
      <c r="L89" s="153"/>
      <c r="M89" s="153"/>
      <c r="N89" s="153"/>
      <c r="O89" s="153"/>
      <c r="P89" s="153"/>
      <c r="Q89" s="153"/>
      <c r="R89" s="153"/>
      <c r="S89" s="153"/>
      <c r="T89" s="153"/>
      <c r="U89" s="153"/>
      <c r="V89" s="153"/>
      <c r="W89" s="153"/>
      <c r="X89" s="153"/>
      <c r="Y89" s="153"/>
      <c r="Z89" s="153"/>
      <c r="AA89" s="153"/>
      <c r="AB89" s="153"/>
      <c r="AC89" s="153"/>
      <c r="AD89" s="153"/>
      <c r="AE89" s="153"/>
      <c r="AF89" s="153"/>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3"/>
      <c r="BJ89" s="153"/>
      <c r="BK89" s="108"/>
      <c r="BL89" s="108"/>
      <c r="BM89" s="108"/>
      <c r="BN89" s="108"/>
      <c r="BO89" s="108"/>
      <c r="BP89" s="108"/>
      <c r="BQ89" s="108"/>
      <c r="BR89" s="108"/>
      <c r="BS89" s="108"/>
      <c r="BT89" s="108"/>
      <c r="BU89" s="108"/>
      <c r="BV89" s="108"/>
      <c r="BW89" s="108"/>
      <c r="BX89" s="108"/>
      <c r="BY89" s="108"/>
      <c r="BZ89" s="108"/>
      <c r="CA89" s="108"/>
      <c r="CB89" s="108"/>
      <c r="CC89" s="108"/>
      <c r="CD89" s="108"/>
      <c r="CE89" s="108"/>
      <c r="CF89" s="108"/>
      <c r="CG89" s="108"/>
      <c r="CH89" s="108"/>
    </row>
    <row r="90" spans="1:86" ht="22.5" customHeight="1" x14ac:dyDescent="0.25">
      <c r="A90" s="153"/>
      <c r="B90" s="153"/>
      <c r="C90" s="153"/>
      <c r="D90" s="153"/>
      <c r="E90" s="153"/>
      <c r="F90" s="153"/>
      <c r="G90" s="153"/>
      <c r="H90" s="153"/>
      <c r="I90" s="153"/>
      <c r="J90" s="153"/>
      <c r="K90" s="153"/>
      <c r="L90" s="153"/>
      <c r="M90" s="153"/>
      <c r="N90" s="153"/>
      <c r="O90" s="153"/>
      <c r="P90" s="153"/>
      <c r="Q90" s="153"/>
      <c r="R90" s="153"/>
      <c r="S90" s="153"/>
      <c r="T90" s="153"/>
      <c r="U90" s="153"/>
      <c r="V90" s="153"/>
      <c r="W90" s="153"/>
      <c r="X90" s="153"/>
      <c r="Y90" s="153"/>
      <c r="Z90" s="153"/>
      <c r="AA90" s="153"/>
      <c r="AB90" s="153"/>
      <c r="AC90" s="153"/>
      <c r="AD90" s="153"/>
      <c r="AE90" s="153"/>
      <c r="AF90" s="153"/>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3"/>
      <c r="BJ90" s="153"/>
      <c r="BK90" s="108"/>
      <c r="BL90" s="108"/>
      <c r="BM90" s="108"/>
      <c r="BN90" s="108"/>
      <c r="BO90" s="108"/>
      <c r="BP90" s="108"/>
      <c r="BQ90" s="108"/>
      <c r="BR90" s="108"/>
      <c r="BS90" s="108"/>
      <c r="BT90" s="108"/>
      <c r="BU90" s="108"/>
      <c r="BV90" s="108"/>
      <c r="BW90" s="108"/>
      <c r="BX90" s="108"/>
      <c r="BY90" s="108"/>
      <c r="BZ90" s="108"/>
      <c r="CA90" s="108"/>
      <c r="CB90" s="108"/>
      <c r="CC90" s="108"/>
      <c r="CD90" s="108"/>
      <c r="CE90" s="108"/>
      <c r="CF90" s="108"/>
      <c r="CG90" s="108"/>
      <c r="CH90" s="108"/>
    </row>
    <row r="91" spans="1:86" x14ac:dyDescent="0.25">
      <c r="A91" s="108"/>
      <c r="B91" s="108"/>
      <c r="C91" s="108"/>
      <c r="D91" s="108"/>
      <c r="E91" s="108"/>
      <c r="F91" s="154"/>
      <c r="G91" s="154"/>
      <c r="H91" s="108"/>
      <c r="I91" s="108"/>
      <c r="J91" s="108"/>
      <c r="K91" s="108"/>
      <c r="L91" s="108"/>
      <c r="M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8"/>
      <c r="AX91" s="108"/>
      <c r="AY91" s="108"/>
      <c r="AZ91" s="108"/>
      <c r="BA91" s="108"/>
      <c r="BB91" s="108"/>
      <c r="BC91" s="108"/>
      <c r="BD91" s="108"/>
      <c r="BE91" s="108"/>
      <c r="BF91" s="108"/>
      <c r="BG91" s="108"/>
      <c r="BH91" s="108"/>
      <c r="BI91" s="108"/>
      <c r="BJ91" s="108"/>
      <c r="BK91" s="108"/>
      <c r="BL91" s="108"/>
      <c r="BM91" s="108"/>
      <c r="BN91" s="108"/>
      <c r="BO91" s="108"/>
      <c r="BP91" s="108"/>
      <c r="BQ91" s="108"/>
      <c r="BR91" s="108"/>
      <c r="BS91" s="108"/>
      <c r="BT91" s="108"/>
      <c r="BU91" s="108"/>
      <c r="BV91" s="108"/>
      <c r="BW91" s="108"/>
      <c r="BX91" s="108"/>
      <c r="BY91" s="108"/>
      <c r="BZ91" s="108"/>
      <c r="CA91" s="108"/>
      <c r="CB91" s="108"/>
      <c r="CC91" s="108"/>
      <c r="CD91" s="108"/>
      <c r="CE91" s="108"/>
      <c r="CF91" s="108"/>
      <c r="CG91" s="108"/>
      <c r="CH91" s="108"/>
    </row>
    <row r="92" spans="1:86" ht="15.75" thickBo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c r="AQ92" s="108"/>
      <c r="AR92" s="108"/>
      <c r="AS92" s="108"/>
      <c r="AT92" s="108"/>
      <c r="AU92" s="108"/>
      <c r="AV92" s="108"/>
      <c r="AW92" s="108"/>
      <c r="AX92" s="108"/>
      <c r="AY92" s="108"/>
      <c r="AZ92" s="108"/>
      <c r="BA92" s="108"/>
      <c r="BB92" s="108"/>
      <c r="BC92" s="108"/>
      <c r="BD92" s="108"/>
      <c r="BE92" s="108"/>
      <c r="BF92" s="108"/>
      <c r="BG92" s="108"/>
      <c r="BH92" s="108"/>
      <c r="BI92" s="108"/>
      <c r="BJ92" s="108"/>
      <c r="BK92" s="108"/>
      <c r="BL92" s="108"/>
      <c r="BM92" s="108"/>
      <c r="BN92" s="108"/>
      <c r="BO92" s="108"/>
      <c r="BP92" s="108"/>
      <c r="BQ92" s="108"/>
      <c r="BR92" s="108"/>
      <c r="BS92" s="108"/>
      <c r="BT92" s="108"/>
      <c r="BU92" s="108"/>
      <c r="BV92" s="108"/>
      <c r="BW92" s="108"/>
      <c r="BX92" s="108"/>
      <c r="BY92" s="108"/>
      <c r="BZ92" s="108"/>
      <c r="CA92" s="108"/>
      <c r="CB92" s="108"/>
      <c r="CC92" s="108"/>
      <c r="CD92" s="108"/>
      <c r="CE92" s="108"/>
      <c r="CF92" s="108"/>
      <c r="CG92" s="108"/>
      <c r="CH92" s="108"/>
    </row>
    <row r="93" spans="1:86" ht="15" customHeight="1" x14ac:dyDescent="0.25">
      <c r="A93" s="421" t="s">
        <v>181</v>
      </c>
      <c r="B93" s="422"/>
      <c r="C93" s="422"/>
      <c r="D93" s="422"/>
      <c r="E93" s="422"/>
      <c r="F93" s="422"/>
      <c r="G93" s="422"/>
      <c r="H93" s="422"/>
      <c r="I93" s="422"/>
      <c r="J93" s="422"/>
      <c r="K93" s="422"/>
      <c r="L93" s="422"/>
      <c r="M93" s="422"/>
      <c r="N93" s="422"/>
      <c r="O93" s="422"/>
      <c r="P93" s="422"/>
      <c r="Q93" s="422"/>
      <c r="R93" s="422"/>
      <c r="S93" s="422"/>
      <c r="T93" s="422"/>
      <c r="U93" s="422"/>
      <c r="V93" s="422"/>
      <c r="W93" s="422"/>
      <c r="X93" s="422"/>
      <c r="Y93" s="422"/>
      <c r="Z93" s="422"/>
      <c r="AA93" s="422"/>
      <c r="AB93" s="422"/>
      <c r="AC93" s="422"/>
      <c r="AD93" s="422"/>
      <c r="AE93" s="422"/>
      <c r="AF93" s="422"/>
      <c r="AG93" s="422"/>
      <c r="AH93" s="422"/>
      <c r="AI93" s="422"/>
      <c r="AJ93" s="422"/>
      <c r="AK93" s="422"/>
      <c r="AL93" s="422"/>
      <c r="AM93" s="422"/>
      <c r="AN93" s="422"/>
      <c r="AO93" s="422"/>
      <c r="AP93" s="422"/>
      <c r="AQ93" s="422"/>
      <c r="AR93" s="422"/>
      <c r="AS93" s="422"/>
      <c r="AT93" s="422"/>
      <c r="AU93" s="422"/>
      <c r="AV93" s="422"/>
      <c r="AW93" s="422"/>
      <c r="AX93" s="422"/>
      <c r="AY93" s="422"/>
      <c r="AZ93" s="422"/>
      <c r="BA93" s="422"/>
      <c r="BB93" s="422"/>
      <c r="BC93" s="422"/>
      <c r="BD93" s="422"/>
      <c r="BE93" s="422"/>
      <c r="BF93" s="422"/>
      <c r="BG93" s="422"/>
      <c r="BH93" s="422"/>
      <c r="BI93" s="422"/>
      <c r="BJ93" s="422"/>
      <c r="BK93" s="422"/>
      <c r="BL93" s="422"/>
      <c r="BM93" s="422"/>
      <c r="BN93" s="422"/>
      <c r="BO93" s="422"/>
      <c r="BP93" s="422"/>
      <c r="BQ93" s="422"/>
      <c r="BR93" s="422"/>
      <c r="BS93" s="422"/>
      <c r="BT93" s="422"/>
      <c r="BU93" s="422"/>
      <c r="BV93" s="422"/>
      <c r="BW93" s="422"/>
      <c r="BX93" s="422"/>
      <c r="BY93" s="422"/>
      <c r="BZ93" s="422"/>
      <c r="CA93" s="422"/>
      <c r="CB93" s="422"/>
      <c r="CC93" s="422"/>
      <c r="CD93" s="422"/>
      <c r="CE93" s="422"/>
      <c r="CF93" s="423"/>
      <c r="CG93" s="108"/>
      <c r="CH93" s="108"/>
    </row>
    <row r="94" spans="1:86" ht="15" customHeight="1" x14ac:dyDescent="0.25">
      <c r="A94" s="424"/>
      <c r="B94" s="425"/>
      <c r="C94" s="425"/>
      <c r="D94" s="425"/>
      <c r="E94" s="425"/>
      <c r="F94" s="425"/>
      <c r="G94" s="425"/>
      <c r="H94" s="425"/>
      <c r="I94" s="425"/>
      <c r="J94" s="425"/>
      <c r="K94" s="425"/>
      <c r="L94" s="425"/>
      <c r="M94" s="425"/>
      <c r="N94" s="425"/>
      <c r="O94" s="425"/>
      <c r="P94" s="425"/>
      <c r="Q94" s="425"/>
      <c r="R94" s="425"/>
      <c r="S94" s="425"/>
      <c r="T94" s="425"/>
      <c r="U94" s="425"/>
      <c r="V94" s="425"/>
      <c r="W94" s="425"/>
      <c r="X94" s="425"/>
      <c r="Y94" s="425"/>
      <c r="Z94" s="425"/>
      <c r="AA94" s="425"/>
      <c r="AB94" s="425"/>
      <c r="AC94" s="425"/>
      <c r="AD94" s="425"/>
      <c r="AE94" s="425"/>
      <c r="AF94" s="425"/>
      <c r="AG94" s="425"/>
      <c r="AH94" s="425"/>
      <c r="AI94" s="425"/>
      <c r="AJ94" s="425"/>
      <c r="AK94" s="425"/>
      <c r="AL94" s="425"/>
      <c r="AM94" s="425"/>
      <c r="AN94" s="425"/>
      <c r="AO94" s="425"/>
      <c r="AP94" s="425"/>
      <c r="AQ94" s="425"/>
      <c r="AR94" s="425"/>
      <c r="AS94" s="425"/>
      <c r="AT94" s="425"/>
      <c r="AU94" s="425"/>
      <c r="AV94" s="425"/>
      <c r="AW94" s="425"/>
      <c r="AX94" s="425"/>
      <c r="AY94" s="425"/>
      <c r="AZ94" s="425"/>
      <c r="BA94" s="425"/>
      <c r="BB94" s="425"/>
      <c r="BC94" s="425"/>
      <c r="BD94" s="425"/>
      <c r="BE94" s="425"/>
      <c r="BF94" s="425"/>
      <c r="BG94" s="425"/>
      <c r="BH94" s="425"/>
      <c r="BI94" s="425"/>
      <c r="BJ94" s="425"/>
      <c r="BK94" s="425"/>
      <c r="BL94" s="425"/>
      <c r="BM94" s="425"/>
      <c r="BN94" s="425"/>
      <c r="BO94" s="425"/>
      <c r="BP94" s="425"/>
      <c r="BQ94" s="425"/>
      <c r="BR94" s="425"/>
      <c r="BS94" s="425"/>
      <c r="BT94" s="425"/>
      <c r="BU94" s="425"/>
      <c r="BV94" s="425"/>
      <c r="BW94" s="425"/>
      <c r="BX94" s="425"/>
      <c r="BY94" s="425"/>
      <c r="BZ94" s="425"/>
      <c r="CA94" s="425"/>
      <c r="CB94" s="425"/>
      <c r="CC94" s="425"/>
      <c r="CD94" s="425"/>
      <c r="CE94" s="425"/>
      <c r="CF94" s="426"/>
      <c r="CG94" s="108"/>
      <c r="CH94" s="108"/>
    </row>
    <row r="95" spans="1:86" ht="15" customHeight="1" x14ac:dyDescent="0.25">
      <c r="A95" s="424"/>
      <c r="B95" s="425"/>
      <c r="C95" s="425"/>
      <c r="D95" s="425"/>
      <c r="E95" s="425"/>
      <c r="F95" s="425"/>
      <c r="G95" s="425"/>
      <c r="H95" s="425"/>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5"/>
      <c r="AJ95" s="425"/>
      <c r="AK95" s="425"/>
      <c r="AL95" s="425"/>
      <c r="AM95" s="425"/>
      <c r="AN95" s="425"/>
      <c r="AO95" s="425"/>
      <c r="AP95" s="425"/>
      <c r="AQ95" s="425"/>
      <c r="AR95" s="425"/>
      <c r="AS95" s="425"/>
      <c r="AT95" s="425"/>
      <c r="AU95" s="425"/>
      <c r="AV95" s="425"/>
      <c r="AW95" s="425"/>
      <c r="AX95" s="425"/>
      <c r="AY95" s="425"/>
      <c r="AZ95" s="425"/>
      <c r="BA95" s="425"/>
      <c r="BB95" s="425"/>
      <c r="BC95" s="425"/>
      <c r="BD95" s="425"/>
      <c r="BE95" s="425"/>
      <c r="BF95" s="425"/>
      <c r="BG95" s="425"/>
      <c r="BH95" s="425"/>
      <c r="BI95" s="425"/>
      <c r="BJ95" s="425"/>
      <c r="BK95" s="425"/>
      <c r="BL95" s="425"/>
      <c r="BM95" s="425"/>
      <c r="BN95" s="425"/>
      <c r="BO95" s="425"/>
      <c r="BP95" s="425"/>
      <c r="BQ95" s="425"/>
      <c r="BR95" s="425"/>
      <c r="BS95" s="425"/>
      <c r="BT95" s="425"/>
      <c r="BU95" s="425"/>
      <c r="BV95" s="425"/>
      <c r="BW95" s="425"/>
      <c r="BX95" s="425"/>
      <c r="BY95" s="425"/>
      <c r="BZ95" s="425"/>
      <c r="CA95" s="425"/>
      <c r="CB95" s="425"/>
      <c r="CC95" s="425"/>
      <c r="CD95" s="425"/>
      <c r="CE95" s="425"/>
      <c r="CF95" s="426"/>
      <c r="CG95" s="108"/>
      <c r="CH95" s="108"/>
    </row>
    <row r="96" spans="1:86" ht="15" customHeight="1" x14ac:dyDescent="0.25">
      <c r="A96" s="424"/>
      <c r="B96" s="425"/>
      <c r="C96" s="425"/>
      <c r="D96" s="425"/>
      <c r="E96" s="425"/>
      <c r="F96" s="425"/>
      <c r="G96" s="425"/>
      <c r="H96" s="425"/>
      <c r="I96" s="425"/>
      <c r="J96" s="425"/>
      <c r="K96" s="425"/>
      <c r="L96" s="425"/>
      <c r="M96" s="425"/>
      <c r="N96" s="425"/>
      <c r="O96" s="425"/>
      <c r="P96" s="425"/>
      <c r="Q96" s="425"/>
      <c r="R96" s="425"/>
      <c r="S96" s="425"/>
      <c r="T96" s="425"/>
      <c r="U96" s="425"/>
      <c r="V96" s="425"/>
      <c r="W96" s="425"/>
      <c r="X96" s="425"/>
      <c r="Y96" s="425"/>
      <c r="Z96" s="425"/>
      <c r="AA96" s="425"/>
      <c r="AB96" s="425"/>
      <c r="AC96" s="425"/>
      <c r="AD96" s="425"/>
      <c r="AE96" s="425"/>
      <c r="AF96" s="425"/>
      <c r="AG96" s="425"/>
      <c r="AH96" s="425"/>
      <c r="AI96" s="425"/>
      <c r="AJ96" s="425"/>
      <c r="AK96" s="425"/>
      <c r="AL96" s="425"/>
      <c r="AM96" s="425"/>
      <c r="AN96" s="425"/>
      <c r="AO96" s="425"/>
      <c r="AP96" s="425"/>
      <c r="AQ96" s="425"/>
      <c r="AR96" s="425"/>
      <c r="AS96" s="425"/>
      <c r="AT96" s="425"/>
      <c r="AU96" s="425"/>
      <c r="AV96" s="425"/>
      <c r="AW96" s="425"/>
      <c r="AX96" s="425"/>
      <c r="AY96" s="425"/>
      <c r="AZ96" s="425"/>
      <c r="BA96" s="425"/>
      <c r="BB96" s="425"/>
      <c r="BC96" s="425"/>
      <c r="BD96" s="425"/>
      <c r="BE96" s="425"/>
      <c r="BF96" s="425"/>
      <c r="BG96" s="425"/>
      <c r="BH96" s="425"/>
      <c r="BI96" s="425"/>
      <c r="BJ96" s="425"/>
      <c r="BK96" s="425"/>
      <c r="BL96" s="425"/>
      <c r="BM96" s="425"/>
      <c r="BN96" s="425"/>
      <c r="BO96" s="425"/>
      <c r="BP96" s="425"/>
      <c r="BQ96" s="425"/>
      <c r="BR96" s="425"/>
      <c r="BS96" s="425"/>
      <c r="BT96" s="425"/>
      <c r="BU96" s="425"/>
      <c r="BV96" s="425"/>
      <c r="BW96" s="425"/>
      <c r="BX96" s="425"/>
      <c r="BY96" s="425"/>
      <c r="BZ96" s="425"/>
      <c r="CA96" s="425"/>
      <c r="CB96" s="425"/>
      <c r="CC96" s="425"/>
      <c r="CD96" s="425"/>
      <c r="CE96" s="425"/>
      <c r="CF96" s="426"/>
      <c r="CG96" s="108"/>
      <c r="CH96" s="108"/>
    </row>
    <row r="97" spans="1:86" ht="15.75" customHeight="1" thickBot="1" x14ac:dyDescent="0.3">
      <c r="A97" s="427"/>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28"/>
      <c r="BC97" s="428"/>
      <c r="BD97" s="428"/>
      <c r="BE97" s="428"/>
      <c r="BF97" s="428"/>
      <c r="BG97" s="428"/>
      <c r="BH97" s="428"/>
      <c r="BI97" s="428"/>
      <c r="BJ97" s="428"/>
      <c r="BK97" s="428"/>
      <c r="BL97" s="428"/>
      <c r="BM97" s="428"/>
      <c r="BN97" s="428"/>
      <c r="BO97" s="428"/>
      <c r="BP97" s="428"/>
      <c r="BQ97" s="428"/>
      <c r="BR97" s="428"/>
      <c r="BS97" s="428"/>
      <c r="BT97" s="428"/>
      <c r="BU97" s="428"/>
      <c r="BV97" s="428"/>
      <c r="BW97" s="428"/>
      <c r="BX97" s="428"/>
      <c r="BY97" s="428"/>
      <c r="BZ97" s="428"/>
      <c r="CA97" s="428"/>
      <c r="CB97" s="428"/>
      <c r="CC97" s="428"/>
      <c r="CD97" s="428"/>
      <c r="CE97" s="428"/>
      <c r="CF97" s="429"/>
      <c r="CG97" s="108"/>
      <c r="CH97" s="108"/>
    </row>
    <row r="98" spans="1:86" ht="15" customHeight="1" x14ac:dyDescent="0.25">
      <c r="A98" s="421"/>
      <c r="B98" s="422"/>
      <c r="C98" s="422"/>
      <c r="D98" s="422"/>
      <c r="E98" s="422"/>
      <c r="F98" s="422"/>
      <c r="G98" s="423"/>
      <c r="H98" s="421"/>
      <c r="I98" s="422"/>
      <c r="J98" s="422"/>
      <c r="K98" s="422"/>
      <c r="L98" s="422"/>
      <c r="M98" s="422"/>
      <c r="N98" s="423"/>
      <c r="O98" s="421"/>
      <c r="P98" s="422"/>
      <c r="Q98" s="422"/>
      <c r="R98" s="422"/>
      <c r="S98" s="422"/>
      <c r="T98" s="422"/>
      <c r="U98" s="423"/>
      <c r="V98" s="421"/>
      <c r="W98" s="422"/>
      <c r="X98" s="422"/>
      <c r="Y98" s="422"/>
      <c r="Z98" s="422"/>
      <c r="AA98" s="422"/>
      <c r="AB98" s="423"/>
      <c r="AC98" s="421"/>
      <c r="AD98" s="422"/>
      <c r="AE98" s="422"/>
      <c r="AF98" s="422"/>
      <c r="AG98" s="422"/>
      <c r="AH98" s="422"/>
      <c r="AI98" s="423"/>
      <c r="AJ98" s="421"/>
      <c r="AK98" s="422"/>
      <c r="AL98" s="422"/>
      <c r="AM98" s="422"/>
      <c r="AN98" s="422"/>
      <c r="AO98" s="422"/>
      <c r="AP98" s="423"/>
      <c r="AQ98" s="421"/>
      <c r="AR98" s="422"/>
      <c r="AS98" s="422"/>
      <c r="AT98" s="422"/>
      <c r="AU98" s="422"/>
      <c r="AV98" s="422"/>
      <c r="AW98" s="423"/>
      <c r="AX98" s="421"/>
      <c r="AY98" s="422"/>
      <c r="AZ98" s="422"/>
      <c r="BA98" s="422"/>
      <c r="BB98" s="422"/>
      <c r="BC98" s="422"/>
      <c r="BD98" s="423"/>
      <c r="BE98" s="421"/>
      <c r="BF98" s="422"/>
      <c r="BG98" s="422"/>
      <c r="BH98" s="422"/>
      <c r="BI98" s="422"/>
      <c r="BJ98" s="422"/>
      <c r="BK98" s="423"/>
      <c r="BL98" s="421"/>
      <c r="BM98" s="422"/>
      <c r="BN98" s="422"/>
      <c r="BO98" s="422"/>
      <c r="BP98" s="422"/>
      <c r="BQ98" s="422"/>
      <c r="BR98" s="423"/>
      <c r="BS98" s="421"/>
      <c r="BT98" s="422"/>
      <c r="BU98" s="422"/>
      <c r="BV98" s="422"/>
      <c r="BW98" s="422"/>
      <c r="BX98" s="422"/>
      <c r="BY98" s="423"/>
      <c r="BZ98" s="421"/>
      <c r="CA98" s="422"/>
      <c r="CB98" s="422"/>
      <c r="CC98" s="422"/>
      <c r="CD98" s="422"/>
      <c r="CE98" s="422"/>
      <c r="CF98" s="423"/>
      <c r="CG98" s="108"/>
      <c r="CH98" s="108"/>
    </row>
    <row r="99" spans="1:86" ht="15.75" customHeight="1" thickBot="1" x14ac:dyDescent="0.3">
      <c r="A99" s="427"/>
      <c r="B99" s="428"/>
      <c r="C99" s="428"/>
      <c r="D99" s="428"/>
      <c r="E99" s="428"/>
      <c r="F99" s="428"/>
      <c r="G99" s="429"/>
      <c r="H99" s="427"/>
      <c r="I99" s="428"/>
      <c r="J99" s="428"/>
      <c r="K99" s="428"/>
      <c r="L99" s="428"/>
      <c r="M99" s="428"/>
      <c r="N99" s="429"/>
      <c r="O99" s="427"/>
      <c r="P99" s="428"/>
      <c r="Q99" s="428"/>
      <c r="R99" s="428"/>
      <c r="S99" s="428"/>
      <c r="T99" s="428"/>
      <c r="U99" s="429"/>
      <c r="V99" s="427"/>
      <c r="W99" s="428"/>
      <c r="X99" s="428"/>
      <c r="Y99" s="428"/>
      <c r="Z99" s="428"/>
      <c r="AA99" s="428"/>
      <c r="AB99" s="429"/>
      <c r="AC99" s="427"/>
      <c r="AD99" s="428"/>
      <c r="AE99" s="428"/>
      <c r="AF99" s="428"/>
      <c r="AG99" s="428"/>
      <c r="AH99" s="428"/>
      <c r="AI99" s="429"/>
      <c r="AJ99" s="427"/>
      <c r="AK99" s="428"/>
      <c r="AL99" s="428"/>
      <c r="AM99" s="428"/>
      <c r="AN99" s="428"/>
      <c r="AO99" s="428"/>
      <c r="AP99" s="429"/>
      <c r="AQ99" s="427"/>
      <c r="AR99" s="428"/>
      <c r="AS99" s="428"/>
      <c r="AT99" s="428"/>
      <c r="AU99" s="428"/>
      <c r="AV99" s="428"/>
      <c r="AW99" s="429"/>
      <c r="AX99" s="427"/>
      <c r="AY99" s="428"/>
      <c r="AZ99" s="428"/>
      <c r="BA99" s="428"/>
      <c r="BB99" s="428"/>
      <c r="BC99" s="428"/>
      <c r="BD99" s="429"/>
      <c r="BE99" s="427"/>
      <c r="BF99" s="428"/>
      <c r="BG99" s="428"/>
      <c r="BH99" s="428"/>
      <c r="BI99" s="428"/>
      <c r="BJ99" s="428"/>
      <c r="BK99" s="429"/>
      <c r="BL99" s="427"/>
      <c r="BM99" s="428"/>
      <c r="BN99" s="428"/>
      <c r="BO99" s="428"/>
      <c r="BP99" s="428"/>
      <c r="BQ99" s="428"/>
      <c r="BR99" s="429"/>
      <c r="BS99" s="427"/>
      <c r="BT99" s="428"/>
      <c r="BU99" s="428"/>
      <c r="BV99" s="428"/>
      <c r="BW99" s="428"/>
      <c r="BX99" s="428"/>
      <c r="BY99" s="429"/>
      <c r="BZ99" s="427"/>
      <c r="CA99" s="428"/>
      <c r="CB99" s="428"/>
      <c r="CC99" s="428"/>
      <c r="CD99" s="428"/>
      <c r="CE99" s="428"/>
      <c r="CF99" s="429"/>
      <c r="CG99" s="108"/>
      <c r="CH99" s="108"/>
    </row>
    <row r="100" spans="1:86" ht="15.75" thickBot="1" x14ac:dyDescent="0.3">
      <c r="A100" s="163" t="s">
        <v>63</v>
      </c>
      <c r="B100" s="164" t="s">
        <v>56</v>
      </c>
      <c r="C100" s="164" t="s">
        <v>174</v>
      </c>
      <c r="D100" s="164" t="s">
        <v>175</v>
      </c>
      <c r="E100" s="164" t="s">
        <v>176</v>
      </c>
      <c r="F100" s="164" t="s">
        <v>177</v>
      </c>
      <c r="G100" s="165" t="s">
        <v>178</v>
      </c>
      <c r="H100" s="163" t="s">
        <v>63</v>
      </c>
      <c r="I100" s="164" t="s">
        <v>56</v>
      </c>
      <c r="J100" s="164" t="s">
        <v>174</v>
      </c>
      <c r="K100" s="164" t="s">
        <v>175</v>
      </c>
      <c r="L100" s="164" t="s">
        <v>176</v>
      </c>
      <c r="M100" s="164" t="s">
        <v>177</v>
      </c>
      <c r="N100" s="165" t="s">
        <v>178</v>
      </c>
      <c r="O100" s="163" t="s">
        <v>63</v>
      </c>
      <c r="P100" s="164" t="s">
        <v>56</v>
      </c>
      <c r="Q100" s="164" t="s">
        <v>174</v>
      </c>
      <c r="R100" s="164" t="s">
        <v>175</v>
      </c>
      <c r="S100" s="164" t="s">
        <v>176</v>
      </c>
      <c r="T100" s="164" t="s">
        <v>177</v>
      </c>
      <c r="U100" s="165" t="s">
        <v>178</v>
      </c>
      <c r="V100" s="163" t="s">
        <v>63</v>
      </c>
      <c r="W100" s="164" t="s">
        <v>56</v>
      </c>
      <c r="X100" s="164" t="s">
        <v>174</v>
      </c>
      <c r="Y100" s="164" t="s">
        <v>175</v>
      </c>
      <c r="Z100" s="164" t="s">
        <v>176</v>
      </c>
      <c r="AA100" s="164" t="s">
        <v>177</v>
      </c>
      <c r="AB100" s="165" t="s">
        <v>178</v>
      </c>
      <c r="AC100" s="163" t="s">
        <v>63</v>
      </c>
      <c r="AD100" s="164" t="s">
        <v>56</v>
      </c>
      <c r="AE100" s="164" t="s">
        <v>174</v>
      </c>
      <c r="AF100" s="164" t="s">
        <v>175</v>
      </c>
      <c r="AG100" s="164" t="s">
        <v>176</v>
      </c>
      <c r="AH100" s="164" t="s">
        <v>177</v>
      </c>
      <c r="AI100" s="165" t="s">
        <v>178</v>
      </c>
      <c r="AJ100" s="163" t="s">
        <v>63</v>
      </c>
      <c r="AK100" s="164" t="s">
        <v>56</v>
      </c>
      <c r="AL100" s="164" t="s">
        <v>174</v>
      </c>
      <c r="AM100" s="164" t="s">
        <v>175</v>
      </c>
      <c r="AN100" s="164" t="s">
        <v>176</v>
      </c>
      <c r="AO100" s="164" t="s">
        <v>177</v>
      </c>
      <c r="AP100" s="165" t="s">
        <v>178</v>
      </c>
      <c r="AQ100" s="163" t="s">
        <v>63</v>
      </c>
      <c r="AR100" s="164" t="s">
        <v>56</v>
      </c>
      <c r="AS100" s="164" t="s">
        <v>174</v>
      </c>
      <c r="AT100" s="164" t="s">
        <v>175</v>
      </c>
      <c r="AU100" s="164" t="s">
        <v>176</v>
      </c>
      <c r="AV100" s="164" t="s">
        <v>177</v>
      </c>
      <c r="AW100" s="165" t="s">
        <v>178</v>
      </c>
      <c r="AX100" s="163" t="s">
        <v>63</v>
      </c>
      <c r="AY100" s="164" t="s">
        <v>56</v>
      </c>
      <c r="AZ100" s="164" t="s">
        <v>174</v>
      </c>
      <c r="BA100" s="164" t="s">
        <v>175</v>
      </c>
      <c r="BB100" s="164" t="s">
        <v>176</v>
      </c>
      <c r="BC100" s="164" t="s">
        <v>177</v>
      </c>
      <c r="BD100" s="165" t="s">
        <v>178</v>
      </c>
      <c r="BE100" s="163" t="s">
        <v>63</v>
      </c>
      <c r="BF100" s="164" t="s">
        <v>56</v>
      </c>
      <c r="BG100" s="164" t="s">
        <v>174</v>
      </c>
      <c r="BH100" s="164" t="s">
        <v>175</v>
      </c>
      <c r="BI100" s="164" t="s">
        <v>176</v>
      </c>
      <c r="BJ100" s="164" t="s">
        <v>177</v>
      </c>
      <c r="BK100" s="165" t="s">
        <v>178</v>
      </c>
      <c r="BL100" s="72" t="s">
        <v>63</v>
      </c>
      <c r="BM100" t="s">
        <v>56</v>
      </c>
      <c r="BN100" t="s">
        <v>174</v>
      </c>
      <c r="BO100" t="s">
        <v>175</v>
      </c>
      <c r="BP100" t="s">
        <v>176</v>
      </c>
      <c r="BQ100" t="s">
        <v>177</v>
      </c>
      <c r="BR100" s="166" t="s">
        <v>178</v>
      </c>
      <c r="BS100" s="72" t="s">
        <v>63</v>
      </c>
      <c r="BT100" t="s">
        <v>56</v>
      </c>
      <c r="BU100" t="s">
        <v>174</v>
      </c>
      <c r="BV100" t="s">
        <v>175</v>
      </c>
      <c r="BW100" t="s">
        <v>176</v>
      </c>
      <c r="BX100" t="s">
        <v>177</v>
      </c>
      <c r="BY100" s="166" t="s">
        <v>178</v>
      </c>
      <c r="BZ100" s="72" t="s">
        <v>63</v>
      </c>
      <c r="CA100" t="s">
        <v>56</v>
      </c>
      <c r="CB100" t="s">
        <v>174</v>
      </c>
      <c r="CC100" t="s">
        <v>175</v>
      </c>
      <c r="CD100" t="s">
        <v>176</v>
      </c>
      <c r="CE100" t="s">
        <v>177</v>
      </c>
      <c r="CF100" s="166" t="s">
        <v>178</v>
      </c>
      <c r="CG100" s="108"/>
      <c r="CH100" s="108"/>
    </row>
    <row r="101" spans="1:86" x14ac:dyDescent="0.25">
      <c r="A101" s="127"/>
      <c r="B101" s="142"/>
      <c r="C101" s="197"/>
      <c r="D101" s="143"/>
      <c r="E101" s="144"/>
      <c r="F101" s="145"/>
      <c r="G101" s="161"/>
      <c r="H101" s="127"/>
      <c r="I101" s="142"/>
      <c r="J101" s="197"/>
      <c r="K101" s="143"/>
      <c r="L101" s="144"/>
      <c r="M101" s="145"/>
      <c r="N101" s="161"/>
      <c r="O101" s="127"/>
      <c r="P101" s="142"/>
      <c r="Q101" s="197"/>
      <c r="R101" s="143"/>
      <c r="S101" s="144"/>
      <c r="T101" s="145"/>
      <c r="U101" s="161"/>
      <c r="V101" s="127"/>
      <c r="W101" s="142"/>
      <c r="X101" s="197"/>
      <c r="Y101" s="143"/>
      <c r="Z101" s="144"/>
      <c r="AA101" s="145"/>
      <c r="AB101" s="161"/>
      <c r="AC101" s="127"/>
      <c r="AD101" s="142"/>
      <c r="AE101" s="197"/>
      <c r="AF101" s="143"/>
      <c r="AG101" s="144"/>
      <c r="AH101" s="145"/>
      <c r="AI101" s="161"/>
      <c r="AJ101" s="127"/>
      <c r="AK101" s="142"/>
      <c r="AL101" s="197"/>
      <c r="AM101" s="143"/>
      <c r="AN101" s="144"/>
      <c r="AO101" s="145"/>
      <c r="AP101" s="161"/>
      <c r="AQ101" s="127"/>
      <c r="AR101" s="142"/>
      <c r="AS101" s="197"/>
      <c r="AT101" s="143"/>
      <c r="AU101" s="144"/>
      <c r="AV101" s="145"/>
      <c r="AW101" s="161"/>
      <c r="AX101" s="127"/>
      <c r="AY101" s="142"/>
      <c r="AZ101" s="197"/>
      <c r="BA101" s="143"/>
      <c r="BB101" s="144"/>
      <c r="BC101" s="145"/>
      <c r="BD101" s="161"/>
      <c r="BE101" s="127"/>
      <c r="BF101" s="142"/>
      <c r="BG101" s="197"/>
      <c r="BH101" s="143"/>
      <c r="BI101" s="144"/>
      <c r="BJ101" s="145"/>
      <c r="BK101" s="161"/>
      <c r="BL101" s="137"/>
      <c r="BM101" s="138"/>
      <c r="BN101" s="196"/>
      <c r="BO101" s="139"/>
      <c r="BP101" s="140"/>
      <c r="BQ101" s="141"/>
      <c r="BR101" s="200"/>
      <c r="BS101" s="137"/>
      <c r="BT101" s="138"/>
      <c r="BU101" s="196"/>
      <c r="BV101" s="139"/>
      <c r="BW101" s="140"/>
      <c r="BX101" s="141"/>
      <c r="BY101" s="200"/>
      <c r="BZ101" s="137"/>
      <c r="CA101" s="138"/>
      <c r="CB101" s="196"/>
      <c r="CC101" s="139"/>
      <c r="CD101" s="140"/>
      <c r="CE101" s="141"/>
      <c r="CF101" s="200"/>
      <c r="CG101" s="108"/>
      <c r="CH101" s="108"/>
    </row>
    <row r="102" spans="1:86" x14ac:dyDescent="0.25">
      <c r="A102" s="127"/>
      <c r="B102" s="142"/>
      <c r="C102" s="197"/>
      <c r="D102" s="143"/>
      <c r="E102" s="144"/>
      <c r="F102" s="145"/>
      <c r="G102" s="161"/>
      <c r="H102" s="127"/>
      <c r="I102" s="142"/>
      <c r="J102" s="197"/>
      <c r="K102" s="143"/>
      <c r="L102" s="144"/>
      <c r="M102" s="145"/>
      <c r="N102" s="161"/>
      <c r="O102" s="127"/>
      <c r="P102" s="142"/>
      <c r="Q102" s="197"/>
      <c r="R102" s="143"/>
      <c r="S102" s="144"/>
      <c r="T102" s="145"/>
      <c r="U102" s="161"/>
      <c r="V102" s="127"/>
      <c r="W102" s="142"/>
      <c r="X102" s="197"/>
      <c r="Y102" s="143"/>
      <c r="Z102" s="144"/>
      <c r="AA102" s="145"/>
      <c r="AB102" s="161"/>
      <c r="AC102" s="127"/>
      <c r="AD102" s="142"/>
      <c r="AE102" s="197"/>
      <c r="AF102" s="143"/>
      <c r="AG102" s="144"/>
      <c r="AH102" s="145"/>
      <c r="AI102" s="161"/>
      <c r="AJ102" s="127"/>
      <c r="AK102" s="142"/>
      <c r="AL102" s="197"/>
      <c r="AM102" s="143"/>
      <c r="AN102" s="144"/>
      <c r="AO102" s="145"/>
      <c r="AP102" s="161"/>
      <c r="AQ102" s="127"/>
      <c r="AR102" s="142"/>
      <c r="AS102" s="197"/>
      <c r="AT102" s="143"/>
      <c r="AU102" s="144"/>
      <c r="AV102" s="145"/>
      <c r="AW102" s="161"/>
      <c r="AX102" s="127"/>
      <c r="AY102" s="142"/>
      <c r="AZ102" s="197"/>
      <c r="BA102" s="143"/>
      <c r="BB102" s="144"/>
      <c r="BC102" s="145"/>
      <c r="BD102" s="161"/>
      <c r="BE102" s="127"/>
      <c r="BF102" s="142"/>
      <c r="BG102" s="197"/>
      <c r="BH102" s="143"/>
      <c r="BI102" s="144"/>
      <c r="BJ102" s="145"/>
      <c r="BK102" s="161"/>
      <c r="BL102" s="127"/>
      <c r="BM102" s="142"/>
      <c r="BN102" s="197"/>
      <c r="BO102" s="143"/>
      <c r="BP102" s="144"/>
      <c r="BQ102" s="145"/>
      <c r="BR102" s="162"/>
      <c r="BS102" s="127"/>
      <c r="BT102" s="142"/>
      <c r="BU102" s="197"/>
      <c r="BV102" s="143"/>
      <c r="BW102" s="144"/>
      <c r="BX102" s="145"/>
      <c r="BY102" s="162"/>
      <c r="BZ102" s="127"/>
      <c r="CA102" s="142"/>
      <c r="CB102" s="197"/>
      <c r="CC102" s="143"/>
      <c r="CD102" s="144"/>
      <c r="CE102" s="145"/>
      <c r="CF102" s="162"/>
      <c r="CG102" s="108"/>
      <c r="CH102" s="108"/>
    </row>
    <row r="103" spans="1:86" x14ac:dyDescent="0.25">
      <c r="A103" s="127"/>
      <c r="B103" s="142"/>
      <c r="C103" s="197"/>
      <c r="D103" s="143"/>
      <c r="E103" s="144"/>
      <c r="F103" s="145"/>
      <c r="G103" s="161"/>
      <c r="H103" s="127"/>
      <c r="I103" s="142"/>
      <c r="J103" s="197"/>
      <c r="K103" s="143"/>
      <c r="L103" s="144"/>
      <c r="M103" s="145"/>
      <c r="N103" s="161"/>
      <c r="O103" s="127"/>
      <c r="P103" s="142"/>
      <c r="Q103" s="197"/>
      <c r="R103" s="143"/>
      <c r="S103" s="144"/>
      <c r="T103" s="145"/>
      <c r="U103" s="161"/>
      <c r="V103" s="127"/>
      <c r="W103" s="142"/>
      <c r="X103" s="197"/>
      <c r="Y103" s="143"/>
      <c r="Z103" s="144"/>
      <c r="AA103" s="145"/>
      <c r="AB103" s="161"/>
      <c r="AC103" s="127"/>
      <c r="AD103" s="142"/>
      <c r="AE103" s="197"/>
      <c r="AF103" s="143"/>
      <c r="AG103" s="144"/>
      <c r="AH103" s="145"/>
      <c r="AI103" s="161"/>
      <c r="AJ103" s="127"/>
      <c r="AK103" s="142"/>
      <c r="AL103" s="197"/>
      <c r="AM103" s="143"/>
      <c r="AN103" s="144"/>
      <c r="AO103" s="145"/>
      <c r="AP103" s="161"/>
      <c r="AQ103" s="127"/>
      <c r="AR103" s="142"/>
      <c r="AS103" s="197"/>
      <c r="AT103" s="143"/>
      <c r="AU103" s="144"/>
      <c r="AV103" s="145"/>
      <c r="AW103" s="161"/>
      <c r="AX103" s="127"/>
      <c r="AY103" s="142"/>
      <c r="AZ103" s="197"/>
      <c r="BA103" s="143"/>
      <c r="BB103" s="144"/>
      <c r="BC103" s="145"/>
      <c r="BD103" s="161"/>
      <c r="BE103" s="127"/>
      <c r="BF103" s="142"/>
      <c r="BG103" s="197"/>
      <c r="BH103" s="143"/>
      <c r="BI103" s="144"/>
      <c r="BJ103" s="145"/>
      <c r="BK103" s="161"/>
      <c r="BL103" s="127"/>
      <c r="BM103" s="142"/>
      <c r="BN103" s="197"/>
      <c r="BO103" s="143"/>
      <c r="BP103" s="144"/>
      <c r="BQ103" s="145"/>
      <c r="BR103" s="162"/>
      <c r="BS103" s="127"/>
      <c r="BT103" s="142"/>
      <c r="BU103" s="197"/>
      <c r="BV103" s="143"/>
      <c r="BW103" s="144"/>
      <c r="BX103" s="145"/>
      <c r="BY103" s="162"/>
      <c r="BZ103" s="127"/>
      <c r="CA103" s="142"/>
      <c r="CB103" s="197"/>
      <c r="CC103" s="143"/>
      <c r="CD103" s="144"/>
      <c r="CE103" s="145"/>
      <c r="CF103" s="162"/>
      <c r="CG103" s="108"/>
      <c r="CH103" s="108"/>
    </row>
    <row r="104" spans="1:86" x14ac:dyDescent="0.25">
      <c r="A104" s="127"/>
      <c r="B104" s="142"/>
      <c r="C104" s="197"/>
      <c r="D104" s="143"/>
      <c r="E104" s="144"/>
      <c r="F104" s="145"/>
      <c r="G104" s="161"/>
      <c r="H104" s="127"/>
      <c r="I104" s="142"/>
      <c r="J104" s="197"/>
      <c r="K104" s="143"/>
      <c r="L104" s="144"/>
      <c r="M104" s="145"/>
      <c r="N104" s="161"/>
      <c r="O104" s="127"/>
      <c r="P104" s="142"/>
      <c r="Q104" s="197"/>
      <c r="R104" s="143"/>
      <c r="S104" s="144"/>
      <c r="T104" s="145"/>
      <c r="U104" s="161"/>
      <c r="V104" s="127"/>
      <c r="W104" s="142"/>
      <c r="X104" s="197"/>
      <c r="Y104" s="143"/>
      <c r="Z104" s="144"/>
      <c r="AA104" s="145"/>
      <c r="AB104" s="161"/>
      <c r="AC104" s="127"/>
      <c r="AD104" s="142"/>
      <c r="AE104" s="197"/>
      <c r="AF104" s="143"/>
      <c r="AG104" s="144"/>
      <c r="AH104" s="145"/>
      <c r="AI104" s="161"/>
      <c r="AJ104" s="127"/>
      <c r="AK104" s="142"/>
      <c r="AL104" s="197"/>
      <c r="AM104" s="143"/>
      <c r="AN104" s="144"/>
      <c r="AO104" s="145"/>
      <c r="AP104" s="161"/>
      <c r="AQ104" s="127"/>
      <c r="AR104" s="142"/>
      <c r="AS104" s="197"/>
      <c r="AT104" s="143"/>
      <c r="AU104" s="144"/>
      <c r="AV104" s="145"/>
      <c r="AW104" s="161"/>
      <c r="AX104" s="127"/>
      <c r="AY104" s="142"/>
      <c r="AZ104" s="197"/>
      <c r="BA104" s="143"/>
      <c r="BB104" s="144"/>
      <c r="BC104" s="145"/>
      <c r="BD104" s="161"/>
      <c r="BE104" s="127"/>
      <c r="BF104" s="142"/>
      <c r="BG104" s="197"/>
      <c r="BH104" s="143"/>
      <c r="BI104" s="144"/>
      <c r="BJ104" s="145"/>
      <c r="BK104" s="161"/>
      <c r="BL104" s="127"/>
      <c r="BM104" s="142"/>
      <c r="BN104" s="197"/>
      <c r="BO104" s="143"/>
      <c r="BP104" s="144"/>
      <c r="BQ104" s="145"/>
      <c r="BR104" s="162"/>
      <c r="BS104" s="127"/>
      <c r="BT104" s="142"/>
      <c r="BU104" s="197"/>
      <c r="BV104" s="143"/>
      <c r="BW104" s="144"/>
      <c r="BX104" s="145"/>
      <c r="BY104" s="162"/>
      <c r="BZ104" s="127"/>
      <c r="CA104" s="142"/>
      <c r="CB104" s="197"/>
      <c r="CC104" s="143"/>
      <c r="CD104" s="144"/>
      <c r="CE104" s="145"/>
      <c r="CF104" s="162"/>
      <c r="CG104" s="108"/>
      <c r="CH104" s="108"/>
    </row>
    <row r="105" spans="1:86" x14ac:dyDescent="0.25">
      <c r="A105" s="127"/>
      <c r="B105" s="142"/>
      <c r="C105" s="197"/>
      <c r="D105" s="143"/>
      <c r="E105" s="144"/>
      <c r="F105" s="145"/>
      <c r="G105" s="161"/>
      <c r="H105" s="127"/>
      <c r="I105" s="142"/>
      <c r="J105" s="197"/>
      <c r="K105" s="143"/>
      <c r="L105" s="144"/>
      <c r="M105" s="145"/>
      <c r="N105" s="161"/>
      <c r="O105" s="127"/>
      <c r="P105" s="142"/>
      <c r="Q105" s="197"/>
      <c r="R105" s="143"/>
      <c r="S105" s="144"/>
      <c r="T105" s="145"/>
      <c r="U105" s="161"/>
      <c r="V105" s="127"/>
      <c r="W105" s="142"/>
      <c r="X105" s="197"/>
      <c r="Y105" s="143"/>
      <c r="Z105" s="144"/>
      <c r="AA105" s="145"/>
      <c r="AB105" s="161"/>
      <c r="AC105" s="127"/>
      <c r="AD105" s="142"/>
      <c r="AE105" s="197"/>
      <c r="AF105" s="143"/>
      <c r="AG105" s="144"/>
      <c r="AH105" s="145"/>
      <c r="AI105" s="161"/>
      <c r="AJ105" s="127"/>
      <c r="AK105" s="142"/>
      <c r="AL105" s="197"/>
      <c r="AM105" s="143"/>
      <c r="AN105" s="144"/>
      <c r="AO105" s="145"/>
      <c r="AP105" s="161"/>
      <c r="AQ105" s="127"/>
      <c r="AR105" s="142"/>
      <c r="AS105" s="197"/>
      <c r="AT105" s="143"/>
      <c r="AU105" s="144"/>
      <c r="AV105" s="145"/>
      <c r="AW105" s="161"/>
      <c r="AX105" s="127"/>
      <c r="AY105" s="142"/>
      <c r="AZ105" s="197"/>
      <c r="BA105" s="143"/>
      <c r="BB105" s="144"/>
      <c r="BC105" s="145"/>
      <c r="BD105" s="161"/>
      <c r="BE105" s="127"/>
      <c r="BF105" s="142"/>
      <c r="BG105" s="197"/>
      <c r="BH105" s="143"/>
      <c r="BI105" s="144"/>
      <c r="BJ105" s="145"/>
      <c r="BK105" s="161"/>
      <c r="BL105" s="127"/>
      <c r="BM105" s="142"/>
      <c r="BN105" s="197"/>
      <c r="BO105" s="143"/>
      <c r="BP105" s="144"/>
      <c r="BQ105" s="145"/>
      <c r="BR105" s="162"/>
      <c r="BS105" s="127"/>
      <c r="BT105" s="142"/>
      <c r="BU105" s="197"/>
      <c r="BV105" s="143"/>
      <c r="BW105" s="144"/>
      <c r="BX105" s="145"/>
      <c r="BY105" s="162"/>
      <c r="BZ105" s="127"/>
      <c r="CA105" s="142"/>
      <c r="CB105" s="197"/>
      <c r="CC105" s="143"/>
      <c r="CD105" s="144"/>
      <c r="CE105" s="145"/>
      <c r="CF105" s="162"/>
      <c r="CG105" s="108"/>
      <c r="CH105" s="108"/>
    </row>
    <row r="106" spans="1:86" x14ac:dyDescent="0.25">
      <c r="A106" s="127"/>
      <c r="B106" s="142"/>
      <c r="C106" s="197"/>
      <c r="D106" s="143"/>
      <c r="E106" s="144"/>
      <c r="F106" s="145"/>
      <c r="G106" s="161"/>
      <c r="H106" s="127"/>
      <c r="I106" s="142"/>
      <c r="J106" s="197"/>
      <c r="K106" s="143"/>
      <c r="L106" s="144"/>
      <c r="M106" s="145"/>
      <c r="N106" s="161"/>
      <c r="O106" s="127"/>
      <c r="P106" s="142"/>
      <c r="Q106" s="197"/>
      <c r="R106" s="143"/>
      <c r="S106" s="144"/>
      <c r="T106" s="145"/>
      <c r="U106" s="161"/>
      <c r="V106" s="127"/>
      <c r="W106" s="142"/>
      <c r="X106" s="197"/>
      <c r="Y106" s="143"/>
      <c r="Z106" s="144"/>
      <c r="AA106" s="145"/>
      <c r="AB106" s="161"/>
      <c r="AC106" s="127"/>
      <c r="AD106" s="142"/>
      <c r="AE106" s="197"/>
      <c r="AF106" s="143"/>
      <c r="AG106" s="144"/>
      <c r="AH106" s="145"/>
      <c r="AI106" s="161"/>
      <c r="AJ106" s="127"/>
      <c r="AK106" s="142"/>
      <c r="AL106" s="197"/>
      <c r="AM106" s="143"/>
      <c r="AN106" s="144"/>
      <c r="AO106" s="145"/>
      <c r="AP106" s="161"/>
      <c r="AQ106" s="127"/>
      <c r="AR106" s="142"/>
      <c r="AS106" s="197"/>
      <c r="AT106" s="143"/>
      <c r="AU106" s="144"/>
      <c r="AV106" s="145"/>
      <c r="AW106" s="161"/>
      <c r="AX106" s="127"/>
      <c r="AY106" s="142"/>
      <c r="AZ106" s="197"/>
      <c r="BA106" s="143"/>
      <c r="BB106" s="144"/>
      <c r="BC106" s="145"/>
      <c r="BD106" s="161"/>
      <c r="BE106" s="127"/>
      <c r="BF106" s="142"/>
      <c r="BG106" s="197"/>
      <c r="BH106" s="143"/>
      <c r="BI106" s="144"/>
      <c r="BJ106" s="145"/>
      <c r="BK106" s="161"/>
      <c r="BL106" s="127"/>
      <c r="BM106" s="142"/>
      <c r="BN106" s="197"/>
      <c r="BO106" s="143"/>
      <c r="BP106" s="144"/>
      <c r="BQ106" s="145"/>
      <c r="BR106" s="162"/>
      <c r="BS106" s="127"/>
      <c r="BT106" s="142"/>
      <c r="BU106" s="197"/>
      <c r="BV106" s="143"/>
      <c r="BW106" s="144"/>
      <c r="BX106" s="145"/>
      <c r="BY106" s="162"/>
      <c r="BZ106" s="127"/>
      <c r="CA106" s="142"/>
      <c r="CB106" s="197"/>
      <c r="CC106" s="143"/>
      <c r="CD106" s="144"/>
      <c r="CE106" s="145"/>
      <c r="CF106" s="162"/>
      <c r="CG106" s="108"/>
      <c r="CH106" s="108"/>
    </row>
    <row r="107" spans="1:86" x14ac:dyDescent="0.25">
      <c r="A107" s="127"/>
      <c r="B107" s="142"/>
      <c r="C107" s="197"/>
      <c r="D107" s="143"/>
      <c r="E107" s="144"/>
      <c r="F107" s="145"/>
      <c r="G107" s="161"/>
      <c r="H107" s="127"/>
      <c r="I107" s="142"/>
      <c r="J107" s="197"/>
      <c r="K107" s="143"/>
      <c r="L107" s="144"/>
      <c r="M107" s="145"/>
      <c r="N107" s="161"/>
      <c r="O107" s="127"/>
      <c r="P107" s="142"/>
      <c r="Q107" s="197"/>
      <c r="R107" s="143"/>
      <c r="S107" s="144"/>
      <c r="T107" s="145"/>
      <c r="U107" s="161"/>
      <c r="V107" s="127"/>
      <c r="W107" s="142"/>
      <c r="X107" s="197"/>
      <c r="Y107" s="143"/>
      <c r="Z107" s="144"/>
      <c r="AA107" s="145"/>
      <c r="AB107" s="161"/>
      <c r="AC107" s="127"/>
      <c r="AD107" s="142"/>
      <c r="AE107" s="197"/>
      <c r="AF107" s="143"/>
      <c r="AG107" s="144"/>
      <c r="AH107" s="145"/>
      <c r="AI107" s="161"/>
      <c r="AJ107" s="127"/>
      <c r="AK107" s="142"/>
      <c r="AL107" s="197"/>
      <c r="AM107" s="143"/>
      <c r="AN107" s="144"/>
      <c r="AO107" s="145"/>
      <c r="AP107" s="161"/>
      <c r="AQ107" s="127"/>
      <c r="AR107" s="142"/>
      <c r="AS107" s="197"/>
      <c r="AT107" s="143"/>
      <c r="AU107" s="144"/>
      <c r="AV107" s="145"/>
      <c r="AW107" s="161"/>
      <c r="AX107" s="127"/>
      <c r="AY107" s="142"/>
      <c r="AZ107" s="197"/>
      <c r="BA107" s="143"/>
      <c r="BB107" s="144"/>
      <c r="BC107" s="145"/>
      <c r="BD107" s="161"/>
      <c r="BE107" s="127"/>
      <c r="BF107" s="142"/>
      <c r="BG107" s="197"/>
      <c r="BH107" s="143"/>
      <c r="BI107" s="144"/>
      <c r="BJ107" s="145"/>
      <c r="BK107" s="161"/>
      <c r="BL107" s="127"/>
      <c r="BM107" s="142"/>
      <c r="BN107" s="197"/>
      <c r="BO107" s="143"/>
      <c r="BP107" s="144"/>
      <c r="BQ107" s="145"/>
      <c r="BR107" s="162"/>
      <c r="BS107" s="127"/>
      <c r="BT107" s="142"/>
      <c r="BU107" s="197"/>
      <c r="BV107" s="143"/>
      <c r="BW107" s="144"/>
      <c r="BX107" s="145"/>
      <c r="BY107" s="162"/>
      <c r="BZ107" s="127"/>
      <c r="CA107" s="142"/>
      <c r="CB107" s="197"/>
      <c r="CC107" s="143"/>
      <c r="CD107" s="144"/>
      <c r="CE107" s="145"/>
      <c r="CF107" s="162"/>
      <c r="CG107" s="108"/>
      <c r="CH107" s="108"/>
    </row>
    <row r="108" spans="1:86" x14ac:dyDescent="0.25">
      <c r="A108" s="127"/>
      <c r="B108" s="142"/>
      <c r="C108" s="197"/>
      <c r="D108" s="143"/>
      <c r="E108" s="144"/>
      <c r="F108" s="145"/>
      <c r="G108" s="161"/>
      <c r="H108" s="127"/>
      <c r="I108" s="142"/>
      <c r="J108" s="197"/>
      <c r="K108" s="143"/>
      <c r="L108" s="144"/>
      <c r="M108" s="145"/>
      <c r="N108" s="161"/>
      <c r="O108" s="127"/>
      <c r="P108" s="142"/>
      <c r="Q108" s="197"/>
      <c r="R108" s="143"/>
      <c r="S108" s="144"/>
      <c r="T108" s="145"/>
      <c r="U108" s="161"/>
      <c r="V108" s="127"/>
      <c r="W108" s="142"/>
      <c r="X108" s="197"/>
      <c r="Y108" s="143"/>
      <c r="Z108" s="144"/>
      <c r="AA108" s="145"/>
      <c r="AB108" s="161"/>
      <c r="AC108" s="127"/>
      <c r="AD108" s="142"/>
      <c r="AE108" s="197"/>
      <c r="AF108" s="143"/>
      <c r="AG108" s="144"/>
      <c r="AH108" s="145"/>
      <c r="AI108" s="161"/>
      <c r="AJ108" s="127"/>
      <c r="AK108" s="142"/>
      <c r="AL108" s="197"/>
      <c r="AM108" s="143"/>
      <c r="AN108" s="144"/>
      <c r="AO108" s="145"/>
      <c r="AP108" s="161"/>
      <c r="AQ108" s="127"/>
      <c r="AR108" s="142"/>
      <c r="AS108" s="197"/>
      <c r="AT108" s="143"/>
      <c r="AU108" s="144"/>
      <c r="AV108" s="145"/>
      <c r="AW108" s="161"/>
      <c r="AX108" s="127"/>
      <c r="AY108" s="142"/>
      <c r="AZ108" s="197"/>
      <c r="BA108" s="143"/>
      <c r="BB108" s="144"/>
      <c r="BC108" s="145"/>
      <c r="BD108" s="161"/>
      <c r="BE108" s="127"/>
      <c r="BF108" s="142"/>
      <c r="BG108" s="197"/>
      <c r="BH108" s="143"/>
      <c r="BI108" s="144"/>
      <c r="BJ108" s="145"/>
      <c r="BK108" s="161"/>
      <c r="BL108" s="127"/>
      <c r="BM108" s="142"/>
      <c r="BN108" s="197"/>
      <c r="BO108" s="143"/>
      <c r="BP108" s="144"/>
      <c r="BQ108" s="145"/>
      <c r="BR108" s="162"/>
      <c r="BS108" s="127"/>
      <c r="BT108" s="142"/>
      <c r="BU108" s="197"/>
      <c r="BV108" s="143"/>
      <c r="BW108" s="144"/>
      <c r="BX108" s="145"/>
      <c r="BY108" s="162"/>
      <c r="BZ108" s="127"/>
      <c r="CA108" s="142"/>
      <c r="CB108" s="197"/>
      <c r="CC108" s="143"/>
      <c r="CD108" s="144"/>
      <c r="CE108" s="145"/>
      <c r="CF108" s="162"/>
      <c r="CG108" s="108"/>
      <c r="CH108" s="108"/>
    </row>
    <row r="109" spans="1:86" x14ac:dyDescent="0.25">
      <c r="A109" s="127"/>
      <c r="B109" s="142"/>
      <c r="C109" s="197"/>
      <c r="D109" s="143"/>
      <c r="E109" s="144"/>
      <c r="F109" s="145"/>
      <c r="G109" s="161"/>
      <c r="H109" s="127"/>
      <c r="I109" s="142"/>
      <c r="J109" s="197"/>
      <c r="K109" s="143"/>
      <c r="L109" s="144"/>
      <c r="M109" s="145"/>
      <c r="N109" s="161"/>
      <c r="O109" s="127"/>
      <c r="P109" s="142"/>
      <c r="Q109" s="197"/>
      <c r="R109" s="143"/>
      <c r="S109" s="144"/>
      <c r="T109" s="145"/>
      <c r="U109" s="161"/>
      <c r="V109" s="127"/>
      <c r="W109" s="142"/>
      <c r="X109" s="197"/>
      <c r="Y109" s="143"/>
      <c r="Z109" s="144"/>
      <c r="AA109" s="145"/>
      <c r="AB109" s="161"/>
      <c r="AC109" s="127"/>
      <c r="AD109" s="142"/>
      <c r="AE109" s="197"/>
      <c r="AF109" s="143"/>
      <c r="AG109" s="144"/>
      <c r="AH109" s="145"/>
      <c r="AI109" s="161"/>
      <c r="AJ109" s="127"/>
      <c r="AK109" s="142"/>
      <c r="AL109" s="197"/>
      <c r="AM109" s="143"/>
      <c r="AN109" s="144"/>
      <c r="AO109" s="145"/>
      <c r="AP109" s="161"/>
      <c r="AQ109" s="127"/>
      <c r="AR109" s="142"/>
      <c r="AS109" s="197"/>
      <c r="AT109" s="143"/>
      <c r="AU109" s="144"/>
      <c r="AV109" s="145"/>
      <c r="AW109" s="161"/>
      <c r="AX109" s="127"/>
      <c r="AY109" s="142"/>
      <c r="AZ109" s="197"/>
      <c r="BA109" s="143"/>
      <c r="BB109" s="144"/>
      <c r="BC109" s="145"/>
      <c r="BD109" s="161"/>
      <c r="BE109" s="127"/>
      <c r="BF109" s="142"/>
      <c r="BG109" s="197"/>
      <c r="BH109" s="143"/>
      <c r="BI109" s="144"/>
      <c r="BJ109" s="145"/>
      <c r="BK109" s="161"/>
      <c r="BL109" s="127"/>
      <c r="BM109" s="142"/>
      <c r="BN109" s="197"/>
      <c r="BO109" s="143"/>
      <c r="BP109" s="144"/>
      <c r="BQ109" s="145"/>
      <c r="BR109" s="162"/>
      <c r="BS109" s="127"/>
      <c r="BT109" s="142"/>
      <c r="BU109" s="197"/>
      <c r="BV109" s="143"/>
      <c r="BW109" s="144"/>
      <c r="BX109" s="145"/>
      <c r="BY109" s="162"/>
      <c r="BZ109" s="127"/>
      <c r="CA109" s="142"/>
      <c r="CB109" s="197"/>
      <c r="CC109" s="143"/>
      <c r="CD109" s="144"/>
      <c r="CE109" s="145"/>
      <c r="CF109" s="162"/>
      <c r="CG109" s="108"/>
      <c r="CH109" s="108"/>
    </row>
    <row r="110" spans="1:86" x14ac:dyDescent="0.25">
      <c r="A110" s="127"/>
      <c r="B110" s="142"/>
      <c r="C110" s="197"/>
      <c r="D110" s="143"/>
      <c r="E110" s="144"/>
      <c r="F110" s="145"/>
      <c r="G110" s="161"/>
      <c r="H110" s="127"/>
      <c r="I110" s="142"/>
      <c r="J110" s="197"/>
      <c r="K110" s="143"/>
      <c r="L110" s="144"/>
      <c r="M110" s="145"/>
      <c r="N110" s="161"/>
      <c r="O110" s="127"/>
      <c r="P110" s="142"/>
      <c r="Q110" s="197"/>
      <c r="R110" s="143"/>
      <c r="S110" s="144"/>
      <c r="T110" s="145"/>
      <c r="U110" s="161"/>
      <c r="V110" s="127"/>
      <c r="W110" s="142"/>
      <c r="X110" s="197"/>
      <c r="Y110" s="143"/>
      <c r="Z110" s="144"/>
      <c r="AA110" s="145"/>
      <c r="AB110" s="161"/>
      <c r="AC110" s="127"/>
      <c r="AD110" s="142"/>
      <c r="AE110" s="197"/>
      <c r="AF110" s="143"/>
      <c r="AG110" s="144"/>
      <c r="AH110" s="145"/>
      <c r="AI110" s="161"/>
      <c r="AJ110" s="127"/>
      <c r="AK110" s="142"/>
      <c r="AL110" s="197"/>
      <c r="AM110" s="143"/>
      <c r="AN110" s="144"/>
      <c r="AO110" s="145"/>
      <c r="AP110" s="161"/>
      <c r="AQ110" s="127"/>
      <c r="AR110" s="142"/>
      <c r="AS110" s="197"/>
      <c r="AT110" s="143"/>
      <c r="AU110" s="144"/>
      <c r="AV110" s="145"/>
      <c r="AW110" s="161"/>
      <c r="AX110" s="127"/>
      <c r="AY110" s="142"/>
      <c r="AZ110" s="197"/>
      <c r="BA110" s="143"/>
      <c r="BB110" s="144"/>
      <c r="BC110" s="145"/>
      <c r="BD110" s="161"/>
      <c r="BE110" s="127"/>
      <c r="BF110" s="142"/>
      <c r="BG110" s="197"/>
      <c r="BH110" s="143"/>
      <c r="BI110" s="144"/>
      <c r="BJ110" s="145"/>
      <c r="BK110" s="161"/>
      <c r="BL110" s="127"/>
      <c r="BM110" s="142"/>
      <c r="BN110" s="197"/>
      <c r="BO110" s="143"/>
      <c r="BP110" s="144"/>
      <c r="BQ110" s="145"/>
      <c r="BR110" s="162"/>
      <c r="BS110" s="127"/>
      <c r="BT110" s="142"/>
      <c r="BU110" s="197"/>
      <c r="BV110" s="143"/>
      <c r="BW110" s="144"/>
      <c r="BX110" s="145"/>
      <c r="BY110" s="162"/>
      <c r="BZ110" s="127"/>
      <c r="CA110" s="142"/>
      <c r="CB110" s="197"/>
      <c r="CC110" s="143"/>
      <c r="CD110" s="144"/>
      <c r="CE110" s="145"/>
      <c r="CF110" s="162"/>
      <c r="CG110" s="108"/>
      <c r="CH110" s="108"/>
    </row>
    <row r="111" spans="1:86" x14ac:dyDescent="0.25">
      <c r="A111" s="127"/>
      <c r="B111" s="142"/>
      <c r="C111" s="197"/>
      <c r="D111" s="143"/>
      <c r="E111" s="144"/>
      <c r="F111" s="145"/>
      <c r="G111" s="161"/>
      <c r="H111" s="127"/>
      <c r="I111" s="142"/>
      <c r="J111" s="197"/>
      <c r="K111" s="143"/>
      <c r="L111" s="144"/>
      <c r="M111" s="145"/>
      <c r="N111" s="161"/>
      <c r="O111" s="127"/>
      <c r="P111" s="142"/>
      <c r="Q111" s="197"/>
      <c r="R111" s="143"/>
      <c r="S111" s="144"/>
      <c r="T111" s="145"/>
      <c r="U111" s="161"/>
      <c r="V111" s="127"/>
      <c r="W111" s="142"/>
      <c r="X111" s="197"/>
      <c r="Y111" s="143"/>
      <c r="Z111" s="144"/>
      <c r="AA111" s="145"/>
      <c r="AB111" s="161"/>
      <c r="AC111" s="127"/>
      <c r="AD111" s="142"/>
      <c r="AE111" s="197"/>
      <c r="AF111" s="143"/>
      <c r="AG111" s="144"/>
      <c r="AH111" s="145"/>
      <c r="AI111" s="161"/>
      <c r="AJ111" s="127"/>
      <c r="AK111" s="142"/>
      <c r="AL111" s="197"/>
      <c r="AM111" s="143"/>
      <c r="AN111" s="144"/>
      <c r="AO111" s="145"/>
      <c r="AP111" s="161"/>
      <c r="AQ111" s="127"/>
      <c r="AR111" s="142"/>
      <c r="AS111" s="197"/>
      <c r="AT111" s="143"/>
      <c r="AU111" s="144"/>
      <c r="AV111" s="145"/>
      <c r="AW111" s="161"/>
      <c r="AX111" s="127"/>
      <c r="AY111" s="142"/>
      <c r="AZ111" s="197"/>
      <c r="BA111" s="143"/>
      <c r="BB111" s="144"/>
      <c r="BC111" s="145"/>
      <c r="BD111" s="161"/>
      <c r="BE111" s="127"/>
      <c r="BF111" s="142"/>
      <c r="BG111" s="197"/>
      <c r="BH111" s="143"/>
      <c r="BI111" s="144"/>
      <c r="BJ111" s="145"/>
      <c r="BK111" s="161"/>
      <c r="BL111" s="127"/>
      <c r="BM111" s="142"/>
      <c r="BN111" s="197"/>
      <c r="BO111" s="143"/>
      <c r="BP111" s="144"/>
      <c r="BQ111" s="145"/>
      <c r="BR111" s="162"/>
      <c r="BS111" s="127"/>
      <c r="BT111" s="142"/>
      <c r="BU111" s="197"/>
      <c r="BV111" s="143"/>
      <c r="BW111" s="144"/>
      <c r="BX111" s="145"/>
      <c r="BY111" s="162"/>
      <c r="BZ111" s="127"/>
      <c r="CA111" s="142"/>
      <c r="CB111" s="197"/>
      <c r="CC111" s="143"/>
      <c r="CD111" s="144"/>
      <c r="CE111" s="145"/>
      <c r="CF111" s="162"/>
      <c r="CG111" s="108"/>
      <c r="CH111" s="108"/>
    </row>
    <row r="112" spans="1:86" ht="15.75" thickBot="1" x14ac:dyDescent="0.3">
      <c r="A112" s="127"/>
      <c r="B112" s="142"/>
      <c r="C112" s="197"/>
      <c r="D112" s="143"/>
      <c r="E112" s="144"/>
      <c r="F112" s="145"/>
      <c r="G112" s="161"/>
      <c r="H112" s="127"/>
      <c r="I112" s="142"/>
      <c r="J112" s="197"/>
      <c r="K112" s="143"/>
      <c r="L112" s="144"/>
      <c r="M112" s="145"/>
      <c r="N112" s="161"/>
      <c r="O112" s="127"/>
      <c r="P112" s="142"/>
      <c r="Q112" s="197"/>
      <c r="R112" s="143"/>
      <c r="S112" s="144"/>
      <c r="T112" s="145"/>
      <c r="U112" s="161"/>
      <c r="V112" s="127"/>
      <c r="W112" s="142"/>
      <c r="X112" s="197"/>
      <c r="Y112" s="143"/>
      <c r="Z112" s="144"/>
      <c r="AA112" s="145"/>
      <c r="AB112" s="161"/>
      <c r="AC112" s="127"/>
      <c r="AD112" s="142"/>
      <c r="AE112" s="197"/>
      <c r="AF112" s="143"/>
      <c r="AG112" s="144"/>
      <c r="AH112" s="145"/>
      <c r="AI112" s="161"/>
      <c r="AJ112" s="127"/>
      <c r="AK112" s="142"/>
      <c r="AL112" s="197"/>
      <c r="AM112" s="143"/>
      <c r="AN112" s="144"/>
      <c r="AO112" s="145"/>
      <c r="AP112" s="161"/>
      <c r="AQ112" s="127"/>
      <c r="AR112" s="142"/>
      <c r="AS112" s="197"/>
      <c r="AT112" s="143"/>
      <c r="AU112" s="144"/>
      <c r="AV112" s="145"/>
      <c r="AW112" s="161"/>
      <c r="AX112" s="127"/>
      <c r="AY112" s="142"/>
      <c r="AZ112" s="197"/>
      <c r="BA112" s="143"/>
      <c r="BB112" s="144"/>
      <c r="BC112" s="145"/>
      <c r="BD112" s="161"/>
      <c r="BE112" s="127"/>
      <c r="BF112" s="142"/>
      <c r="BG112" s="197"/>
      <c r="BH112" s="143"/>
      <c r="BI112" s="144"/>
      <c r="BJ112" s="145"/>
      <c r="BK112" s="161"/>
      <c r="BL112" s="146"/>
      <c r="BM112" s="147"/>
      <c r="BN112" s="198"/>
      <c r="BO112" s="148"/>
      <c r="BP112" s="149"/>
      <c r="BQ112" s="150"/>
      <c r="BR112" s="201"/>
      <c r="BS112" s="146"/>
      <c r="BT112" s="147"/>
      <c r="BU112" s="198"/>
      <c r="BV112" s="148"/>
      <c r="BW112" s="149"/>
      <c r="BX112" s="150"/>
      <c r="BY112" s="201"/>
      <c r="BZ112" s="146"/>
      <c r="CA112" s="147"/>
      <c r="CB112" s="198"/>
      <c r="CC112" s="148"/>
      <c r="CD112" s="149"/>
      <c r="CE112" s="150"/>
      <c r="CF112" s="201"/>
      <c r="CG112" s="108"/>
      <c r="CH112" s="108"/>
    </row>
    <row r="113" spans="1:86" ht="15" customHeight="1" x14ac:dyDescent="0.25">
      <c r="A113" s="430" t="s">
        <v>34</v>
      </c>
      <c r="B113" s="431"/>
      <c r="C113" s="431"/>
      <c r="D113" s="431"/>
      <c r="E113" s="431"/>
      <c r="F113" s="431"/>
      <c r="G113" s="431"/>
      <c r="H113" s="431"/>
      <c r="I113" s="431"/>
      <c r="J113" s="431"/>
      <c r="K113" s="431"/>
      <c r="L113" s="431"/>
      <c r="M113" s="431"/>
      <c r="N113" s="431"/>
      <c r="O113" s="431"/>
      <c r="P113" s="431"/>
      <c r="Q113" s="431"/>
      <c r="R113" s="431"/>
      <c r="S113" s="431"/>
      <c r="T113" s="431"/>
      <c r="U113" s="431"/>
      <c r="V113" s="431"/>
      <c r="W113" s="431"/>
      <c r="X113" s="431"/>
      <c r="Y113" s="431"/>
      <c r="Z113" s="431"/>
      <c r="AA113" s="431"/>
      <c r="AB113" s="431"/>
      <c r="AC113" s="431"/>
      <c r="AD113" s="431"/>
      <c r="AE113" s="431"/>
      <c r="AF113" s="431"/>
      <c r="AG113" s="431"/>
      <c r="AH113" s="431"/>
      <c r="AI113" s="431"/>
      <c r="AJ113" s="431"/>
      <c r="AK113" s="431"/>
      <c r="AL113" s="431"/>
      <c r="AM113" s="431"/>
      <c r="AN113" s="431"/>
      <c r="AO113" s="431"/>
      <c r="AP113" s="431"/>
      <c r="AQ113" s="431"/>
      <c r="AR113" s="431"/>
      <c r="AS113" s="431"/>
      <c r="AT113" s="431"/>
      <c r="AU113" s="431"/>
      <c r="AV113" s="431"/>
      <c r="AW113" s="431"/>
      <c r="AX113" s="431"/>
      <c r="AY113" s="431"/>
      <c r="AZ113" s="431"/>
      <c r="BA113" s="431"/>
      <c r="BB113" s="431"/>
      <c r="BC113" s="431"/>
      <c r="BD113" s="431"/>
      <c r="BE113" s="431"/>
      <c r="BF113" s="431"/>
      <c r="BG113" s="431"/>
      <c r="BH113" s="431"/>
      <c r="BI113" s="431"/>
      <c r="BJ113" s="431"/>
      <c r="BK113" s="431"/>
      <c r="BL113" s="431"/>
      <c r="BM113" s="431"/>
      <c r="BN113" s="431"/>
      <c r="BO113" s="431"/>
      <c r="BP113" s="431"/>
      <c r="BQ113" s="431"/>
      <c r="BR113" s="431"/>
      <c r="BS113" s="431"/>
      <c r="BT113" s="431"/>
      <c r="BU113" s="431"/>
      <c r="BV113" s="431"/>
      <c r="BW113" s="431"/>
      <c r="BX113" s="431"/>
      <c r="BY113" s="431"/>
      <c r="BZ113" s="431"/>
      <c r="CA113" s="431"/>
      <c r="CB113" s="431"/>
      <c r="CC113" s="431"/>
      <c r="CD113" s="431"/>
      <c r="CE113" s="431"/>
      <c r="CF113" s="432"/>
      <c r="CG113" s="108"/>
      <c r="CH113" s="108"/>
    </row>
    <row r="114" spans="1:86" ht="15.75" customHeight="1" thickBot="1" x14ac:dyDescent="0.3">
      <c r="A114" s="433"/>
      <c r="B114" s="434"/>
      <c r="C114" s="434"/>
      <c r="D114" s="434"/>
      <c r="E114" s="434"/>
      <c r="F114" s="434"/>
      <c r="G114" s="434"/>
      <c r="H114" s="434"/>
      <c r="I114" s="434"/>
      <c r="J114" s="434"/>
      <c r="K114" s="434"/>
      <c r="L114" s="434"/>
      <c r="M114" s="434"/>
      <c r="N114" s="434"/>
      <c r="O114" s="434"/>
      <c r="P114" s="434"/>
      <c r="Q114" s="434"/>
      <c r="R114" s="434"/>
      <c r="S114" s="434"/>
      <c r="T114" s="434"/>
      <c r="U114" s="434"/>
      <c r="V114" s="434"/>
      <c r="W114" s="434"/>
      <c r="X114" s="434"/>
      <c r="Y114" s="434"/>
      <c r="Z114" s="434"/>
      <c r="AA114" s="434"/>
      <c r="AB114" s="434"/>
      <c r="AC114" s="434"/>
      <c r="AD114" s="434"/>
      <c r="AE114" s="434"/>
      <c r="AF114" s="434"/>
      <c r="AG114" s="434"/>
      <c r="AH114" s="434"/>
      <c r="AI114" s="434"/>
      <c r="AJ114" s="434"/>
      <c r="AK114" s="434"/>
      <c r="AL114" s="434"/>
      <c r="AM114" s="434"/>
      <c r="AN114" s="434"/>
      <c r="AO114" s="434"/>
      <c r="AP114" s="434"/>
      <c r="AQ114" s="434"/>
      <c r="AR114" s="434"/>
      <c r="AS114" s="434"/>
      <c r="AT114" s="434"/>
      <c r="AU114" s="434"/>
      <c r="AV114" s="434"/>
      <c r="AW114" s="434"/>
      <c r="AX114" s="434"/>
      <c r="AY114" s="434"/>
      <c r="AZ114" s="434"/>
      <c r="BA114" s="434"/>
      <c r="BB114" s="434"/>
      <c r="BC114" s="434"/>
      <c r="BD114" s="434"/>
      <c r="BE114" s="434"/>
      <c r="BF114" s="434"/>
      <c r="BG114" s="434"/>
      <c r="BH114" s="434"/>
      <c r="BI114" s="434"/>
      <c r="BJ114" s="434"/>
      <c r="BK114" s="434"/>
      <c r="BL114" s="434"/>
      <c r="BM114" s="434"/>
      <c r="BN114" s="434"/>
      <c r="BO114" s="434"/>
      <c r="BP114" s="434"/>
      <c r="BQ114" s="434"/>
      <c r="BR114" s="434"/>
      <c r="BS114" s="434"/>
      <c r="BT114" s="434"/>
      <c r="BU114" s="434"/>
      <c r="BV114" s="434"/>
      <c r="BW114" s="434"/>
      <c r="BX114" s="434"/>
      <c r="BY114" s="434"/>
      <c r="BZ114" s="434"/>
      <c r="CA114" s="434"/>
      <c r="CB114" s="434"/>
      <c r="CC114" s="434"/>
      <c r="CD114" s="434"/>
      <c r="CE114" s="434"/>
      <c r="CF114" s="435"/>
      <c r="CG114" s="108"/>
      <c r="CH114" s="108"/>
    </row>
    <row r="115" spans="1:86" ht="15" customHeight="1" x14ac:dyDescent="0.25">
      <c r="A115" s="412"/>
      <c r="B115" s="413"/>
      <c r="C115" s="413"/>
      <c r="D115" s="413"/>
      <c r="E115" s="413"/>
      <c r="F115" s="413"/>
      <c r="G115" s="414"/>
      <c r="H115" s="412"/>
      <c r="I115" s="413"/>
      <c r="J115" s="413"/>
      <c r="K115" s="413"/>
      <c r="L115" s="413"/>
      <c r="M115" s="413"/>
      <c r="N115" s="414"/>
      <c r="O115" s="412"/>
      <c r="P115" s="413"/>
      <c r="Q115" s="413"/>
      <c r="R115" s="413"/>
      <c r="S115" s="413"/>
      <c r="T115" s="413"/>
      <c r="U115" s="414"/>
      <c r="V115" s="412"/>
      <c r="W115" s="413"/>
      <c r="X115" s="413"/>
      <c r="Y115" s="413"/>
      <c r="Z115" s="413"/>
      <c r="AA115" s="413"/>
      <c r="AB115" s="414"/>
      <c r="AC115" s="412"/>
      <c r="AD115" s="413"/>
      <c r="AE115" s="413"/>
      <c r="AF115" s="413"/>
      <c r="AG115" s="413"/>
      <c r="AH115" s="413"/>
      <c r="AI115" s="414"/>
      <c r="AJ115" s="412"/>
      <c r="AK115" s="413"/>
      <c r="AL115" s="413"/>
      <c r="AM115" s="413"/>
      <c r="AN115" s="413"/>
      <c r="AO115" s="413"/>
      <c r="AP115" s="414"/>
      <c r="AQ115" s="412"/>
      <c r="AR115" s="413"/>
      <c r="AS115" s="413"/>
      <c r="AT115" s="413"/>
      <c r="AU115" s="413"/>
      <c r="AV115" s="413"/>
      <c r="AW115" s="414"/>
      <c r="AX115" s="412"/>
      <c r="AY115" s="413"/>
      <c r="AZ115" s="413"/>
      <c r="BA115" s="413"/>
      <c r="BB115" s="413"/>
      <c r="BC115" s="413"/>
      <c r="BD115" s="414"/>
      <c r="BE115" s="412"/>
      <c r="BF115" s="413"/>
      <c r="BG115" s="413"/>
      <c r="BH115" s="413"/>
      <c r="BI115" s="413"/>
      <c r="BJ115" s="413"/>
      <c r="BK115" s="414"/>
      <c r="BL115" s="412"/>
      <c r="BM115" s="413"/>
      <c r="BN115" s="413"/>
      <c r="BO115" s="413"/>
      <c r="BP115" s="413"/>
      <c r="BQ115" s="413"/>
      <c r="BR115" s="414"/>
      <c r="BS115" s="412"/>
      <c r="BT115" s="413"/>
      <c r="BU115" s="413"/>
      <c r="BV115" s="413"/>
      <c r="BW115" s="413"/>
      <c r="BX115" s="413"/>
      <c r="BY115" s="414"/>
      <c r="BZ115" s="412"/>
      <c r="CA115" s="413"/>
      <c r="CB115" s="413"/>
      <c r="CC115" s="413"/>
      <c r="CD115" s="413"/>
      <c r="CE115" s="413"/>
      <c r="CF115" s="414"/>
      <c r="CG115" s="108"/>
      <c r="CH115" s="108"/>
    </row>
    <row r="116" spans="1:86" ht="15" customHeight="1" x14ac:dyDescent="0.25">
      <c r="A116" s="415"/>
      <c r="B116" s="416"/>
      <c r="C116" s="416"/>
      <c r="D116" s="416"/>
      <c r="E116" s="416"/>
      <c r="F116" s="416"/>
      <c r="G116" s="417"/>
      <c r="H116" s="415"/>
      <c r="I116" s="416"/>
      <c r="J116" s="416"/>
      <c r="K116" s="416"/>
      <c r="L116" s="416"/>
      <c r="M116" s="416"/>
      <c r="N116" s="417"/>
      <c r="O116" s="415"/>
      <c r="P116" s="416"/>
      <c r="Q116" s="416"/>
      <c r="R116" s="416"/>
      <c r="S116" s="416"/>
      <c r="T116" s="416"/>
      <c r="U116" s="417"/>
      <c r="V116" s="415"/>
      <c r="W116" s="416"/>
      <c r="X116" s="416"/>
      <c r="Y116" s="416"/>
      <c r="Z116" s="416"/>
      <c r="AA116" s="416"/>
      <c r="AB116" s="417"/>
      <c r="AC116" s="415"/>
      <c r="AD116" s="416"/>
      <c r="AE116" s="416"/>
      <c r="AF116" s="416"/>
      <c r="AG116" s="416"/>
      <c r="AH116" s="416"/>
      <c r="AI116" s="417"/>
      <c r="AJ116" s="415"/>
      <c r="AK116" s="416"/>
      <c r="AL116" s="416"/>
      <c r="AM116" s="416"/>
      <c r="AN116" s="416"/>
      <c r="AO116" s="416"/>
      <c r="AP116" s="417"/>
      <c r="AQ116" s="415"/>
      <c r="AR116" s="416"/>
      <c r="AS116" s="416"/>
      <c r="AT116" s="416"/>
      <c r="AU116" s="416"/>
      <c r="AV116" s="416"/>
      <c r="AW116" s="417"/>
      <c r="AX116" s="415"/>
      <c r="AY116" s="416"/>
      <c r="AZ116" s="416"/>
      <c r="BA116" s="416"/>
      <c r="BB116" s="416"/>
      <c r="BC116" s="416"/>
      <c r="BD116" s="417"/>
      <c r="BE116" s="415"/>
      <c r="BF116" s="416"/>
      <c r="BG116" s="416"/>
      <c r="BH116" s="416"/>
      <c r="BI116" s="416"/>
      <c r="BJ116" s="416"/>
      <c r="BK116" s="417"/>
      <c r="BL116" s="415"/>
      <c r="BM116" s="416"/>
      <c r="BN116" s="416"/>
      <c r="BO116" s="416"/>
      <c r="BP116" s="416"/>
      <c r="BQ116" s="416"/>
      <c r="BR116" s="417"/>
      <c r="BS116" s="415"/>
      <c r="BT116" s="416"/>
      <c r="BU116" s="416"/>
      <c r="BV116" s="416"/>
      <c r="BW116" s="416"/>
      <c r="BX116" s="416"/>
      <c r="BY116" s="417"/>
      <c r="BZ116" s="415"/>
      <c r="CA116" s="416"/>
      <c r="CB116" s="416"/>
      <c r="CC116" s="416"/>
      <c r="CD116" s="416"/>
      <c r="CE116" s="416"/>
      <c r="CF116" s="417"/>
      <c r="CG116" s="108"/>
      <c r="CH116" s="108"/>
    </row>
    <row r="117" spans="1:86" ht="15.75" customHeight="1" thickBot="1" x14ac:dyDescent="0.3">
      <c r="A117" s="418"/>
      <c r="B117" s="419"/>
      <c r="C117" s="419"/>
      <c r="D117" s="419"/>
      <c r="E117" s="419"/>
      <c r="F117" s="419"/>
      <c r="G117" s="420"/>
      <c r="H117" s="418"/>
      <c r="I117" s="419"/>
      <c r="J117" s="419"/>
      <c r="K117" s="419"/>
      <c r="L117" s="419"/>
      <c r="M117" s="419"/>
      <c r="N117" s="420"/>
      <c r="O117" s="418"/>
      <c r="P117" s="419"/>
      <c r="Q117" s="419"/>
      <c r="R117" s="419"/>
      <c r="S117" s="419"/>
      <c r="T117" s="419"/>
      <c r="U117" s="420"/>
      <c r="V117" s="418"/>
      <c r="W117" s="419"/>
      <c r="X117" s="419"/>
      <c r="Y117" s="419"/>
      <c r="Z117" s="419"/>
      <c r="AA117" s="419"/>
      <c r="AB117" s="420"/>
      <c r="AC117" s="418"/>
      <c r="AD117" s="419"/>
      <c r="AE117" s="419"/>
      <c r="AF117" s="419"/>
      <c r="AG117" s="419"/>
      <c r="AH117" s="419"/>
      <c r="AI117" s="420"/>
      <c r="AJ117" s="418"/>
      <c r="AK117" s="419"/>
      <c r="AL117" s="419"/>
      <c r="AM117" s="419"/>
      <c r="AN117" s="419"/>
      <c r="AO117" s="419"/>
      <c r="AP117" s="420"/>
      <c r="AQ117" s="418"/>
      <c r="AR117" s="419"/>
      <c r="AS117" s="419"/>
      <c r="AT117" s="419"/>
      <c r="AU117" s="419"/>
      <c r="AV117" s="419"/>
      <c r="AW117" s="420"/>
      <c r="AX117" s="418"/>
      <c r="AY117" s="419"/>
      <c r="AZ117" s="419"/>
      <c r="BA117" s="419"/>
      <c r="BB117" s="419"/>
      <c r="BC117" s="419"/>
      <c r="BD117" s="420"/>
      <c r="BE117" s="418"/>
      <c r="BF117" s="419"/>
      <c r="BG117" s="419"/>
      <c r="BH117" s="419"/>
      <c r="BI117" s="419"/>
      <c r="BJ117" s="419"/>
      <c r="BK117" s="420"/>
      <c r="BL117" s="418"/>
      <c r="BM117" s="419"/>
      <c r="BN117" s="419"/>
      <c r="BO117" s="419"/>
      <c r="BP117" s="419"/>
      <c r="BQ117" s="419"/>
      <c r="BR117" s="420"/>
      <c r="BS117" s="418"/>
      <c r="BT117" s="419"/>
      <c r="BU117" s="419"/>
      <c r="BV117" s="419"/>
      <c r="BW117" s="419"/>
      <c r="BX117" s="419"/>
      <c r="BY117" s="420"/>
      <c r="BZ117" s="418"/>
      <c r="CA117" s="419"/>
      <c r="CB117" s="419"/>
      <c r="CC117" s="419"/>
      <c r="CD117" s="419"/>
      <c r="CE117" s="419"/>
      <c r="CF117" s="420"/>
      <c r="CG117" s="108"/>
      <c r="CH117" s="108"/>
    </row>
    <row r="118" spans="1:86" x14ac:dyDescent="0.25">
      <c r="A118" s="151"/>
      <c r="B118" s="152"/>
      <c r="C118" s="151"/>
      <c r="D118" s="151"/>
      <c r="E118" s="151"/>
      <c r="F118" s="151"/>
      <c r="G118" s="151"/>
      <c r="H118" s="151"/>
      <c r="I118" s="152"/>
      <c r="J118" s="151"/>
      <c r="K118" s="151"/>
      <c r="L118" s="151"/>
      <c r="M118" s="151"/>
      <c r="N118" s="152"/>
      <c r="O118" s="151"/>
      <c r="P118" s="151"/>
      <c r="Q118" s="151"/>
      <c r="R118" s="151"/>
      <c r="S118" s="152"/>
      <c r="T118" s="151"/>
      <c r="U118" s="151"/>
      <c r="V118" s="151"/>
      <c r="W118" s="151"/>
      <c r="X118" s="152"/>
      <c r="Y118" s="151"/>
      <c r="Z118" s="151"/>
      <c r="AA118" s="151"/>
      <c r="AB118" s="151"/>
      <c r="AC118" s="152"/>
      <c r="AD118" s="151"/>
      <c r="AE118" s="151"/>
      <c r="AF118" s="151"/>
      <c r="AG118" s="151"/>
      <c r="AH118" s="152"/>
      <c r="AI118" s="151"/>
      <c r="AJ118" s="151"/>
      <c r="AK118" s="151"/>
      <c r="AL118" s="151"/>
      <c r="AM118" s="152"/>
      <c r="AN118" s="151"/>
      <c r="AO118" s="151"/>
      <c r="AP118" s="151"/>
      <c r="AQ118" s="151"/>
      <c r="AR118" s="152"/>
      <c r="AS118" s="151"/>
      <c r="AT118" s="151"/>
      <c r="AU118" s="151"/>
      <c r="AV118" s="151"/>
      <c r="AW118" s="152"/>
      <c r="AX118" s="151"/>
      <c r="AY118" s="151"/>
      <c r="AZ118" s="151"/>
      <c r="BA118" s="151"/>
      <c r="BB118" s="152"/>
      <c r="BC118" s="151"/>
      <c r="BD118" s="151"/>
      <c r="BE118" s="151"/>
      <c r="BF118" s="151"/>
      <c r="BG118" s="152"/>
      <c r="BH118" s="151"/>
      <c r="BI118" s="151"/>
      <c r="BJ118" s="151"/>
      <c r="BK118" s="108"/>
      <c r="BL118" s="108"/>
      <c r="BM118" s="108"/>
      <c r="BN118" s="108"/>
      <c r="BO118" s="108"/>
      <c r="BP118" s="108"/>
      <c r="BQ118" s="108"/>
      <c r="BR118" s="108"/>
      <c r="BS118" s="108"/>
      <c r="BT118" s="108"/>
      <c r="BU118" s="108"/>
      <c r="BV118" s="108"/>
      <c r="BW118" s="108"/>
      <c r="BX118" s="108"/>
      <c r="BY118" s="108"/>
      <c r="BZ118" s="108"/>
      <c r="CA118" s="108"/>
      <c r="CB118" s="108"/>
      <c r="CC118" s="108"/>
      <c r="CD118" s="108"/>
      <c r="CE118" s="108"/>
      <c r="CF118" s="108"/>
      <c r="CG118" s="108"/>
      <c r="CH118" s="108"/>
    </row>
    <row r="119" spans="1:86" x14ac:dyDescent="0.25">
      <c r="A119" s="151"/>
      <c r="B119" s="152"/>
      <c r="C119" s="151"/>
      <c r="D119" s="151"/>
      <c r="E119" s="151"/>
      <c r="F119" s="151"/>
      <c r="G119" s="151"/>
      <c r="H119" s="151"/>
      <c r="I119" s="152"/>
      <c r="J119" s="151"/>
      <c r="K119" s="151"/>
      <c r="L119" s="151"/>
      <c r="M119" s="151"/>
      <c r="N119" s="152"/>
      <c r="O119" s="151"/>
      <c r="P119" s="151"/>
      <c r="Q119" s="151"/>
      <c r="R119" s="151"/>
      <c r="S119" s="152"/>
      <c r="T119" s="151"/>
      <c r="U119" s="151"/>
      <c r="V119" s="151"/>
      <c r="W119" s="151"/>
      <c r="X119" s="152"/>
      <c r="Y119" s="151"/>
      <c r="Z119" s="151"/>
      <c r="AA119" s="151"/>
      <c r="AB119" s="151"/>
      <c r="AC119" s="152"/>
      <c r="AD119" s="151"/>
      <c r="AE119" s="151"/>
      <c r="AF119" s="151"/>
      <c r="AG119" s="151"/>
      <c r="AH119" s="152"/>
      <c r="AI119" s="151"/>
      <c r="AJ119" s="151"/>
      <c r="AK119" s="151"/>
      <c r="AL119" s="151"/>
      <c r="AM119" s="152"/>
      <c r="AN119" s="151"/>
      <c r="AO119" s="151"/>
      <c r="AP119" s="151"/>
      <c r="AQ119" s="151"/>
      <c r="AR119" s="152"/>
      <c r="AS119" s="151"/>
      <c r="AT119" s="151"/>
      <c r="AU119" s="151"/>
      <c r="AV119" s="151"/>
      <c r="AW119" s="152"/>
      <c r="AX119" s="151"/>
      <c r="AY119" s="151"/>
      <c r="AZ119" s="151"/>
      <c r="BA119" s="151"/>
      <c r="BB119" s="152"/>
      <c r="BC119" s="151"/>
      <c r="BD119" s="151"/>
      <c r="BE119" s="151"/>
      <c r="BF119" s="151"/>
      <c r="BG119" s="152"/>
      <c r="BH119" s="151"/>
      <c r="BI119" s="151"/>
      <c r="BJ119" s="151"/>
      <c r="BK119" s="108"/>
      <c r="BL119" s="108"/>
      <c r="BM119" s="108"/>
      <c r="BN119" s="108"/>
      <c r="BO119" s="108"/>
      <c r="BP119" s="108"/>
      <c r="BQ119" s="108"/>
      <c r="BR119" s="108"/>
      <c r="BS119" s="108"/>
      <c r="BT119" s="108"/>
      <c r="BU119" s="108"/>
      <c r="BV119" s="108"/>
      <c r="BW119" s="108"/>
      <c r="BX119" s="108"/>
      <c r="BY119" s="108"/>
      <c r="BZ119" s="108"/>
      <c r="CA119" s="108"/>
      <c r="CB119" s="108"/>
      <c r="CC119" s="108"/>
      <c r="CD119" s="108"/>
      <c r="CE119" s="108"/>
      <c r="CF119" s="108"/>
      <c r="CG119" s="108"/>
      <c r="CH119" s="108"/>
    </row>
    <row r="120" spans="1:86" x14ac:dyDescent="0.2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c r="AA120" s="108"/>
      <c r="AB120" s="108"/>
      <c r="AC120" s="108"/>
      <c r="AD120" s="108"/>
      <c r="AE120" s="108"/>
      <c r="AF120" s="108"/>
      <c r="AG120" s="108"/>
      <c r="AH120" s="108"/>
      <c r="AI120" s="108"/>
      <c r="AJ120" s="108"/>
      <c r="AK120" s="108"/>
      <c r="AL120" s="108"/>
      <c r="AM120" s="108"/>
      <c r="AN120" s="108"/>
      <c r="AO120" s="108"/>
      <c r="AP120" s="108"/>
      <c r="AQ120" s="108"/>
      <c r="AR120" s="108"/>
      <c r="AS120" s="108"/>
      <c r="AT120" s="108"/>
      <c r="AU120" s="108"/>
      <c r="AV120" s="108"/>
      <c r="AW120" s="108"/>
      <c r="AX120" s="108"/>
      <c r="AY120" s="108"/>
      <c r="AZ120" s="108"/>
      <c r="BA120" s="108"/>
      <c r="BB120" s="108"/>
      <c r="BC120" s="108"/>
      <c r="BD120" s="108"/>
      <c r="BE120" s="108"/>
      <c r="BF120" s="108"/>
      <c r="BG120" s="108"/>
      <c r="BH120" s="108"/>
      <c r="BI120" s="108"/>
      <c r="BJ120" s="108"/>
      <c r="BK120" s="108"/>
      <c r="BL120" s="108"/>
      <c r="BM120" s="108"/>
      <c r="BN120" s="108"/>
      <c r="BO120" s="108"/>
      <c r="BP120" s="108"/>
      <c r="BQ120" s="108"/>
      <c r="BR120" s="108"/>
      <c r="BS120" s="108"/>
      <c r="BT120" s="108"/>
      <c r="BU120" s="108"/>
      <c r="BV120" s="108"/>
      <c r="BW120" s="108"/>
      <c r="BX120" s="108"/>
      <c r="BY120" s="108"/>
      <c r="BZ120" s="108"/>
      <c r="CA120" s="108"/>
      <c r="CB120" s="108"/>
      <c r="CC120" s="108"/>
      <c r="CD120" s="108"/>
      <c r="CE120" s="108"/>
      <c r="CF120" s="108"/>
      <c r="CG120" s="108"/>
      <c r="CH120" s="108"/>
    </row>
    <row r="121" spans="1:86" x14ac:dyDescent="0.2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c r="AA121" s="108"/>
      <c r="AB121" s="108"/>
      <c r="AC121" s="108"/>
      <c r="AD121" s="108"/>
      <c r="AE121" s="108"/>
      <c r="AF121" s="108"/>
      <c r="AG121" s="108"/>
      <c r="AH121" s="108"/>
      <c r="AI121" s="108"/>
      <c r="AJ121" s="108"/>
      <c r="AK121" s="108"/>
      <c r="AL121" s="108"/>
      <c r="AM121" s="108"/>
      <c r="AN121" s="108"/>
      <c r="AO121" s="108"/>
      <c r="AP121" s="108"/>
      <c r="AQ121" s="108"/>
      <c r="AR121" s="108"/>
      <c r="AS121" s="108"/>
      <c r="AT121" s="108"/>
      <c r="AU121" s="108"/>
      <c r="AV121" s="108"/>
      <c r="AW121" s="108"/>
      <c r="AX121" s="108"/>
      <c r="AY121" s="108"/>
      <c r="AZ121" s="108"/>
      <c r="BA121" s="108"/>
      <c r="BB121" s="108"/>
      <c r="BC121" s="108"/>
      <c r="BD121" s="108"/>
      <c r="BE121" s="108"/>
      <c r="BF121" s="108"/>
      <c r="BG121" s="108"/>
      <c r="BH121" s="108"/>
      <c r="BI121" s="108"/>
      <c r="BJ121" s="108"/>
      <c r="BK121" s="108"/>
      <c r="BL121" s="108"/>
      <c r="BM121" s="108"/>
      <c r="BN121" s="108"/>
      <c r="BO121" s="108"/>
      <c r="BP121" s="108"/>
      <c r="BQ121" s="108"/>
      <c r="BR121" s="108"/>
      <c r="BS121" s="108"/>
      <c r="BT121" s="108"/>
      <c r="BU121" s="108"/>
      <c r="BV121" s="108"/>
      <c r="BW121" s="108"/>
      <c r="BX121" s="108"/>
      <c r="BY121" s="108"/>
      <c r="BZ121" s="108"/>
      <c r="CA121" s="108"/>
      <c r="CB121" s="108"/>
      <c r="CC121" s="108"/>
      <c r="CD121" s="108"/>
      <c r="CE121" s="108"/>
      <c r="CF121" s="108"/>
      <c r="CG121" s="108"/>
      <c r="CH121" s="108"/>
    </row>
    <row r="122" spans="1:86" ht="15.75" thickBo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c r="AA122" s="108"/>
      <c r="AB122" s="108"/>
      <c r="AC122" s="108"/>
      <c r="AD122" s="108"/>
      <c r="AE122" s="108"/>
      <c r="AF122" s="108"/>
      <c r="AG122" s="108"/>
      <c r="AH122" s="108"/>
      <c r="AI122" s="108"/>
      <c r="AJ122" s="108"/>
      <c r="AK122" s="108"/>
      <c r="AL122" s="108"/>
      <c r="AM122" s="108"/>
      <c r="AN122" s="108"/>
      <c r="AO122" s="108"/>
      <c r="AP122" s="108"/>
      <c r="AQ122" s="108"/>
      <c r="AR122" s="108"/>
      <c r="AS122" s="108"/>
      <c r="AT122" s="108"/>
      <c r="AU122" s="108"/>
      <c r="AV122" s="108"/>
      <c r="AW122" s="108"/>
      <c r="AX122" s="108"/>
      <c r="AY122" s="108"/>
      <c r="AZ122" s="108"/>
      <c r="BA122" s="108"/>
      <c r="BB122" s="108"/>
      <c r="BC122" s="108"/>
      <c r="BD122" s="108"/>
      <c r="BE122" s="108"/>
      <c r="BF122" s="108"/>
      <c r="BG122" s="108"/>
      <c r="BH122" s="108"/>
      <c r="BI122" s="108"/>
      <c r="BJ122" s="108"/>
      <c r="BK122" s="108"/>
      <c r="BL122" s="108"/>
      <c r="BM122" s="108"/>
      <c r="BN122" s="108"/>
      <c r="BO122" s="108"/>
      <c r="BP122" s="108"/>
      <c r="BQ122" s="108"/>
      <c r="BR122" s="108"/>
      <c r="BS122" s="108"/>
      <c r="BT122" s="108"/>
      <c r="BU122" s="108"/>
      <c r="BV122" s="108"/>
      <c r="BW122" s="108"/>
      <c r="BX122" s="108"/>
      <c r="BY122" s="108"/>
      <c r="BZ122" s="108"/>
      <c r="CA122" s="108"/>
      <c r="CB122" s="108"/>
      <c r="CC122" s="108"/>
      <c r="CD122" s="108"/>
      <c r="CE122" s="108"/>
      <c r="CF122" s="108"/>
      <c r="CG122" s="108"/>
      <c r="CH122" s="108"/>
    </row>
    <row r="123" spans="1:86" ht="15" customHeight="1" x14ac:dyDescent="0.25">
      <c r="A123" s="421" t="s">
        <v>182</v>
      </c>
      <c r="B123" s="422"/>
      <c r="C123" s="422"/>
      <c r="D123" s="422"/>
      <c r="E123" s="422"/>
      <c r="F123" s="422"/>
      <c r="G123" s="422"/>
      <c r="H123" s="422"/>
      <c r="I123" s="422"/>
      <c r="J123" s="422"/>
      <c r="K123" s="422"/>
      <c r="L123" s="422"/>
      <c r="M123" s="422"/>
      <c r="N123" s="422"/>
      <c r="O123" s="422"/>
      <c r="P123" s="422"/>
      <c r="Q123" s="422"/>
      <c r="R123" s="422"/>
      <c r="S123" s="422"/>
      <c r="T123" s="422"/>
      <c r="U123" s="422"/>
      <c r="V123" s="422"/>
      <c r="W123" s="422"/>
      <c r="X123" s="422"/>
      <c r="Y123" s="422"/>
      <c r="Z123" s="422"/>
      <c r="AA123" s="422"/>
      <c r="AB123" s="422"/>
      <c r="AC123" s="422"/>
      <c r="AD123" s="422"/>
      <c r="AE123" s="422"/>
      <c r="AF123" s="422"/>
      <c r="AG123" s="422"/>
      <c r="AH123" s="422"/>
      <c r="AI123" s="422"/>
      <c r="AJ123" s="422"/>
      <c r="AK123" s="422"/>
      <c r="AL123" s="422"/>
      <c r="AM123" s="422"/>
      <c r="AN123" s="422"/>
      <c r="AO123" s="422"/>
      <c r="AP123" s="422"/>
      <c r="AQ123" s="422"/>
      <c r="AR123" s="422"/>
      <c r="AS123" s="422"/>
      <c r="AT123" s="422"/>
      <c r="AU123" s="422"/>
      <c r="AV123" s="422"/>
      <c r="AW123" s="422"/>
      <c r="AX123" s="422"/>
      <c r="AY123" s="422"/>
      <c r="AZ123" s="422"/>
      <c r="BA123" s="422"/>
      <c r="BB123" s="422"/>
      <c r="BC123" s="422"/>
      <c r="BD123" s="422"/>
      <c r="BE123" s="422"/>
      <c r="BF123" s="422"/>
      <c r="BG123" s="422"/>
      <c r="BH123" s="422"/>
      <c r="BI123" s="422"/>
      <c r="BJ123" s="422"/>
      <c r="BK123" s="422"/>
      <c r="BL123" s="422"/>
      <c r="BM123" s="422"/>
      <c r="BN123" s="422"/>
      <c r="BO123" s="422"/>
      <c r="BP123" s="422"/>
      <c r="BQ123" s="422"/>
      <c r="BR123" s="422"/>
      <c r="BS123" s="422"/>
      <c r="BT123" s="422"/>
      <c r="BU123" s="422"/>
      <c r="BV123" s="422"/>
      <c r="BW123" s="422"/>
      <c r="BX123" s="422"/>
      <c r="BY123" s="422"/>
      <c r="BZ123" s="422"/>
      <c r="CA123" s="422"/>
      <c r="CB123" s="422"/>
      <c r="CC123" s="422"/>
      <c r="CD123" s="422"/>
      <c r="CE123" s="422"/>
      <c r="CF123" s="423"/>
      <c r="CG123" s="108"/>
      <c r="CH123" s="108"/>
    </row>
    <row r="124" spans="1:86" ht="15" customHeight="1" x14ac:dyDescent="0.25">
      <c r="A124" s="424"/>
      <c r="B124" s="425"/>
      <c r="C124" s="425"/>
      <c r="D124" s="425"/>
      <c r="E124" s="425"/>
      <c r="F124" s="425"/>
      <c r="G124" s="425"/>
      <c r="H124" s="425"/>
      <c r="I124" s="425"/>
      <c r="J124" s="425"/>
      <c r="K124" s="425"/>
      <c r="L124" s="425"/>
      <c r="M124" s="425"/>
      <c r="N124" s="425"/>
      <c r="O124" s="425"/>
      <c r="P124" s="425"/>
      <c r="Q124" s="425"/>
      <c r="R124" s="425"/>
      <c r="S124" s="425"/>
      <c r="T124" s="425"/>
      <c r="U124" s="425"/>
      <c r="V124" s="425"/>
      <c r="W124" s="425"/>
      <c r="X124" s="425"/>
      <c r="Y124" s="425"/>
      <c r="Z124" s="425"/>
      <c r="AA124" s="425"/>
      <c r="AB124" s="425"/>
      <c r="AC124" s="425"/>
      <c r="AD124" s="425"/>
      <c r="AE124" s="425"/>
      <c r="AF124" s="425"/>
      <c r="AG124" s="425"/>
      <c r="AH124" s="425"/>
      <c r="AI124" s="425"/>
      <c r="AJ124" s="425"/>
      <c r="AK124" s="425"/>
      <c r="AL124" s="425"/>
      <c r="AM124" s="425"/>
      <c r="AN124" s="425"/>
      <c r="AO124" s="425"/>
      <c r="AP124" s="425"/>
      <c r="AQ124" s="425"/>
      <c r="AR124" s="425"/>
      <c r="AS124" s="425"/>
      <c r="AT124" s="425"/>
      <c r="AU124" s="425"/>
      <c r="AV124" s="425"/>
      <c r="AW124" s="425"/>
      <c r="AX124" s="425"/>
      <c r="AY124" s="425"/>
      <c r="AZ124" s="425"/>
      <c r="BA124" s="425"/>
      <c r="BB124" s="425"/>
      <c r="BC124" s="425"/>
      <c r="BD124" s="425"/>
      <c r="BE124" s="425"/>
      <c r="BF124" s="425"/>
      <c r="BG124" s="425"/>
      <c r="BH124" s="425"/>
      <c r="BI124" s="425"/>
      <c r="BJ124" s="425"/>
      <c r="BK124" s="425"/>
      <c r="BL124" s="425"/>
      <c r="BM124" s="425"/>
      <c r="BN124" s="425"/>
      <c r="BO124" s="425"/>
      <c r="BP124" s="425"/>
      <c r="BQ124" s="425"/>
      <c r="BR124" s="425"/>
      <c r="BS124" s="425"/>
      <c r="BT124" s="425"/>
      <c r="BU124" s="425"/>
      <c r="BV124" s="425"/>
      <c r="BW124" s="425"/>
      <c r="BX124" s="425"/>
      <c r="BY124" s="425"/>
      <c r="BZ124" s="425"/>
      <c r="CA124" s="425"/>
      <c r="CB124" s="425"/>
      <c r="CC124" s="425"/>
      <c r="CD124" s="425"/>
      <c r="CE124" s="425"/>
      <c r="CF124" s="426"/>
      <c r="CG124" s="108"/>
      <c r="CH124" s="108"/>
    </row>
    <row r="125" spans="1:86" ht="15" customHeight="1" x14ac:dyDescent="0.25">
      <c r="A125" s="424"/>
      <c r="B125" s="425"/>
      <c r="C125" s="425"/>
      <c r="D125" s="425"/>
      <c r="E125" s="425"/>
      <c r="F125" s="425"/>
      <c r="G125" s="425"/>
      <c r="H125" s="425"/>
      <c r="I125" s="425"/>
      <c r="J125" s="425"/>
      <c r="K125" s="425"/>
      <c r="L125" s="425"/>
      <c r="M125" s="425"/>
      <c r="N125" s="425"/>
      <c r="O125" s="425"/>
      <c r="P125" s="425"/>
      <c r="Q125" s="425"/>
      <c r="R125" s="425"/>
      <c r="S125" s="425"/>
      <c r="T125" s="425"/>
      <c r="U125" s="425"/>
      <c r="V125" s="425"/>
      <c r="W125" s="425"/>
      <c r="X125" s="425"/>
      <c r="Y125" s="425"/>
      <c r="Z125" s="425"/>
      <c r="AA125" s="425"/>
      <c r="AB125" s="425"/>
      <c r="AC125" s="425"/>
      <c r="AD125" s="425"/>
      <c r="AE125" s="425"/>
      <c r="AF125" s="425"/>
      <c r="AG125" s="425"/>
      <c r="AH125" s="425"/>
      <c r="AI125" s="425"/>
      <c r="AJ125" s="425"/>
      <c r="AK125" s="425"/>
      <c r="AL125" s="425"/>
      <c r="AM125" s="425"/>
      <c r="AN125" s="425"/>
      <c r="AO125" s="425"/>
      <c r="AP125" s="425"/>
      <c r="AQ125" s="425"/>
      <c r="AR125" s="425"/>
      <c r="AS125" s="425"/>
      <c r="AT125" s="425"/>
      <c r="AU125" s="425"/>
      <c r="AV125" s="425"/>
      <c r="AW125" s="425"/>
      <c r="AX125" s="425"/>
      <c r="AY125" s="425"/>
      <c r="AZ125" s="425"/>
      <c r="BA125" s="425"/>
      <c r="BB125" s="425"/>
      <c r="BC125" s="425"/>
      <c r="BD125" s="425"/>
      <c r="BE125" s="425"/>
      <c r="BF125" s="425"/>
      <c r="BG125" s="425"/>
      <c r="BH125" s="425"/>
      <c r="BI125" s="425"/>
      <c r="BJ125" s="425"/>
      <c r="BK125" s="425"/>
      <c r="BL125" s="425"/>
      <c r="BM125" s="425"/>
      <c r="BN125" s="425"/>
      <c r="BO125" s="425"/>
      <c r="BP125" s="425"/>
      <c r="BQ125" s="425"/>
      <c r="BR125" s="425"/>
      <c r="BS125" s="425"/>
      <c r="BT125" s="425"/>
      <c r="BU125" s="425"/>
      <c r="BV125" s="425"/>
      <c r="BW125" s="425"/>
      <c r="BX125" s="425"/>
      <c r="BY125" s="425"/>
      <c r="BZ125" s="425"/>
      <c r="CA125" s="425"/>
      <c r="CB125" s="425"/>
      <c r="CC125" s="425"/>
      <c r="CD125" s="425"/>
      <c r="CE125" s="425"/>
      <c r="CF125" s="426"/>
      <c r="CG125" s="108"/>
      <c r="CH125" s="108"/>
    </row>
    <row r="126" spans="1:86" ht="15.75" customHeight="1" x14ac:dyDescent="0.25">
      <c r="A126" s="424"/>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c r="AU126" s="425"/>
      <c r="AV126" s="425"/>
      <c r="AW126" s="425"/>
      <c r="AX126" s="425"/>
      <c r="AY126" s="425"/>
      <c r="AZ126" s="425"/>
      <c r="BA126" s="425"/>
      <c r="BB126" s="425"/>
      <c r="BC126" s="425"/>
      <c r="BD126" s="425"/>
      <c r="BE126" s="425"/>
      <c r="BF126" s="425"/>
      <c r="BG126" s="425"/>
      <c r="BH126" s="425"/>
      <c r="BI126" s="425"/>
      <c r="BJ126" s="425"/>
      <c r="BK126" s="425"/>
      <c r="BL126" s="425"/>
      <c r="BM126" s="425"/>
      <c r="BN126" s="425"/>
      <c r="BO126" s="425"/>
      <c r="BP126" s="425"/>
      <c r="BQ126" s="425"/>
      <c r="BR126" s="425"/>
      <c r="BS126" s="425"/>
      <c r="BT126" s="425"/>
      <c r="BU126" s="425"/>
      <c r="BV126" s="425"/>
      <c r="BW126" s="425"/>
      <c r="BX126" s="425"/>
      <c r="BY126" s="425"/>
      <c r="BZ126" s="425"/>
      <c r="CA126" s="425"/>
      <c r="CB126" s="425"/>
      <c r="CC126" s="425"/>
      <c r="CD126" s="425"/>
      <c r="CE126" s="425"/>
      <c r="CF126" s="426"/>
      <c r="CG126" s="108"/>
      <c r="CH126" s="108"/>
    </row>
    <row r="127" spans="1:86" ht="17.25" customHeight="1" thickBot="1" x14ac:dyDescent="0.3">
      <c r="A127" s="427"/>
      <c r="B127" s="428"/>
      <c r="C127" s="428"/>
      <c r="D127" s="428"/>
      <c r="E127" s="428"/>
      <c r="F127" s="428"/>
      <c r="G127" s="428"/>
      <c r="H127" s="428"/>
      <c r="I127" s="428"/>
      <c r="J127" s="428"/>
      <c r="K127" s="428"/>
      <c r="L127" s="428"/>
      <c r="M127" s="428"/>
      <c r="N127" s="428"/>
      <c r="O127" s="428"/>
      <c r="P127" s="428"/>
      <c r="Q127" s="428"/>
      <c r="R127" s="428"/>
      <c r="S127" s="428"/>
      <c r="T127" s="428"/>
      <c r="U127" s="428"/>
      <c r="V127" s="428"/>
      <c r="W127" s="428"/>
      <c r="X127" s="428"/>
      <c r="Y127" s="428"/>
      <c r="Z127" s="428"/>
      <c r="AA127" s="428"/>
      <c r="AB127" s="428"/>
      <c r="AC127" s="428"/>
      <c r="AD127" s="428"/>
      <c r="AE127" s="428"/>
      <c r="AF127" s="428"/>
      <c r="AG127" s="428"/>
      <c r="AH127" s="428"/>
      <c r="AI127" s="428"/>
      <c r="AJ127" s="428"/>
      <c r="AK127" s="428"/>
      <c r="AL127" s="428"/>
      <c r="AM127" s="428"/>
      <c r="AN127" s="428"/>
      <c r="AO127" s="428"/>
      <c r="AP127" s="428"/>
      <c r="AQ127" s="428"/>
      <c r="AR127" s="428"/>
      <c r="AS127" s="428"/>
      <c r="AT127" s="428"/>
      <c r="AU127" s="428"/>
      <c r="AV127" s="428"/>
      <c r="AW127" s="428"/>
      <c r="AX127" s="428"/>
      <c r="AY127" s="428"/>
      <c r="AZ127" s="428"/>
      <c r="BA127" s="428"/>
      <c r="BB127" s="428"/>
      <c r="BC127" s="428"/>
      <c r="BD127" s="428"/>
      <c r="BE127" s="428"/>
      <c r="BF127" s="428"/>
      <c r="BG127" s="428"/>
      <c r="BH127" s="428"/>
      <c r="BI127" s="428"/>
      <c r="BJ127" s="428"/>
      <c r="BK127" s="428"/>
      <c r="BL127" s="428"/>
      <c r="BM127" s="428"/>
      <c r="BN127" s="428"/>
      <c r="BO127" s="428"/>
      <c r="BP127" s="428"/>
      <c r="BQ127" s="428"/>
      <c r="BR127" s="428"/>
      <c r="BS127" s="428"/>
      <c r="BT127" s="428"/>
      <c r="BU127" s="428"/>
      <c r="BV127" s="428"/>
      <c r="BW127" s="428"/>
      <c r="BX127" s="428"/>
      <c r="BY127" s="428"/>
      <c r="BZ127" s="428"/>
      <c r="CA127" s="428"/>
      <c r="CB127" s="428"/>
      <c r="CC127" s="428"/>
      <c r="CD127" s="428"/>
      <c r="CE127" s="428"/>
      <c r="CF127" s="429"/>
      <c r="CG127" s="108"/>
      <c r="CH127" s="108"/>
    </row>
    <row r="128" spans="1:86" ht="17.25" customHeight="1" x14ac:dyDescent="0.25">
      <c r="A128" s="421"/>
      <c r="B128" s="422"/>
      <c r="C128" s="422"/>
      <c r="D128" s="422"/>
      <c r="E128" s="422"/>
      <c r="F128" s="422"/>
      <c r="G128" s="423"/>
      <c r="H128" s="421"/>
      <c r="I128" s="422"/>
      <c r="J128" s="422"/>
      <c r="K128" s="422"/>
      <c r="L128" s="422"/>
      <c r="M128" s="422"/>
      <c r="N128" s="423"/>
      <c r="O128" s="421"/>
      <c r="P128" s="422"/>
      <c r="Q128" s="422"/>
      <c r="R128" s="422"/>
      <c r="S128" s="422"/>
      <c r="T128" s="422"/>
      <c r="U128" s="423"/>
      <c r="V128" s="421"/>
      <c r="W128" s="422"/>
      <c r="X128" s="422"/>
      <c r="Y128" s="422"/>
      <c r="Z128" s="422"/>
      <c r="AA128" s="422"/>
      <c r="AB128" s="423"/>
      <c r="AC128" s="421"/>
      <c r="AD128" s="422"/>
      <c r="AE128" s="422"/>
      <c r="AF128" s="422"/>
      <c r="AG128" s="422"/>
      <c r="AH128" s="422"/>
      <c r="AI128" s="423"/>
      <c r="AJ128" s="421"/>
      <c r="AK128" s="422"/>
      <c r="AL128" s="422"/>
      <c r="AM128" s="422"/>
      <c r="AN128" s="422"/>
      <c r="AO128" s="422"/>
      <c r="AP128" s="423"/>
      <c r="AQ128" s="421"/>
      <c r="AR128" s="422"/>
      <c r="AS128" s="422"/>
      <c r="AT128" s="422"/>
      <c r="AU128" s="422"/>
      <c r="AV128" s="422"/>
      <c r="AW128" s="423"/>
      <c r="AX128" s="421"/>
      <c r="AY128" s="422"/>
      <c r="AZ128" s="422"/>
      <c r="BA128" s="422"/>
      <c r="BB128" s="422"/>
      <c r="BC128" s="422"/>
      <c r="BD128" s="423"/>
      <c r="BE128" s="421"/>
      <c r="BF128" s="422"/>
      <c r="BG128" s="422"/>
      <c r="BH128" s="422"/>
      <c r="BI128" s="422"/>
      <c r="BJ128" s="422"/>
      <c r="BK128" s="423"/>
      <c r="BL128" s="421"/>
      <c r="BM128" s="422"/>
      <c r="BN128" s="422"/>
      <c r="BO128" s="422"/>
      <c r="BP128" s="422"/>
      <c r="BQ128" s="422"/>
      <c r="BR128" s="423"/>
      <c r="BS128" s="421"/>
      <c r="BT128" s="422"/>
      <c r="BU128" s="422"/>
      <c r="BV128" s="422"/>
      <c r="BW128" s="422"/>
      <c r="BX128" s="422"/>
      <c r="BY128" s="423"/>
      <c r="BZ128" s="421"/>
      <c r="CA128" s="422"/>
      <c r="CB128" s="422"/>
      <c r="CC128" s="422"/>
      <c r="CD128" s="422"/>
      <c r="CE128" s="422"/>
      <c r="CF128" s="423"/>
      <c r="CG128" s="108"/>
      <c r="CH128" s="108"/>
    </row>
    <row r="129" spans="1:86" ht="15.75" customHeight="1" thickBot="1" x14ac:dyDescent="0.3">
      <c r="A129" s="427"/>
      <c r="B129" s="428"/>
      <c r="C129" s="428"/>
      <c r="D129" s="428"/>
      <c r="E129" s="428"/>
      <c r="F129" s="428"/>
      <c r="G129" s="429"/>
      <c r="H129" s="427"/>
      <c r="I129" s="428"/>
      <c r="J129" s="428"/>
      <c r="K129" s="428"/>
      <c r="L129" s="428"/>
      <c r="M129" s="428"/>
      <c r="N129" s="429"/>
      <c r="O129" s="427"/>
      <c r="P129" s="428"/>
      <c r="Q129" s="428"/>
      <c r="R129" s="428"/>
      <c r="S129" s="428"/>
      <c r="T129" s="428"/>
      <c r="U129" s="429"/>
      <c r="V129" s="427"/>
      <c r="W129" s="428"/>
      <c r="X129" s="428"/>
      <c r="Y129" s="428"/>
      <c r="Z129" s="428"/>
      <c r="AA129" s="428"/>
      <c r="AB129" s="429"/>
      <c r="AC129" s="427"/>
      <c r="AD129" s="428"/>
      <c r="AE129" s="428"/>
      <c r="AF129" s="428"/>
      <c r="AG129" s="428"/>
      <c r="AH129" s="428"/>
      <c r="AI129" s="429"/>
      <c r="AJ129" s="427"/>
      <c r="AK129" s="428"/>
      <c r="AL129" s="428"/>
      <c r="AM129" s="428"/>
      <c r="AN129" s="428"/>
      <c r="AO129" s="428"/>
      <c r="AP129" s="429"/>
      <c r="AQ129" s="427"/>
      <c r="AR129" s="428"/>
      <c r="AS129" s="428"/>
      <c r="AT129" s="428"/>
      <c r="AU129" s="428"/>
      <c r="AV129" s="428"/>
      <c r="AW129" s="429"/>
      <c r="AX129" s="427"/>
      <c r="AY129" s="428"/>
      <c r="AZ129" s="428"/>
      <c r="BA129" s="428"/>
      <c r="BB129" s="428"/>
      <c r="BC129" s="428"/>
      <c r="BD129" s="429"/>
      <c r="BE129" s="427"/>
      <c r="BF129" s="428"/>
      <c r="BG129" s="428"/>
      <c r="BH129" s="428"/>
      <c r="BI129" s="428"/>
      <c r="BJ129" s="428"/>
      <c r="BK129" s="429"/>
      <c r="BL129" s="427"/>
      <c r="BM129" s="428"/>
      <c r="BN129" s="428"/>
      <c r="BO129" s="428"/>
      <c r="BP129" s="428"/>
      <c r="BQ129" s="428"/>
      <c r="BR129" s="429"/>
      <c r="BS129" s="427"/>
      <c r="BT129" s="428"/>
      <c r="BU129" s="428"/>
      <c r="BV129" s="428"/>
      <c r="BW129" s="428"/>
      <c r="BX129" s="428"/>
      <c r="BY129" s="429"/>
      <c r="BZ129" s="427"/>
      <c r="CA129" s="428"/>
      <c r="CB129" s="428"/>
      <c r="CC129" s="428"/>
      <c r="CD129" s="428"/>
      <c r="CE129" s="428"/>
      <c r="CF129" s="429"/>
      <c r="CG129" s="108"/>
      <c r="CH129" s="108"/>
    </row>
    <row r="130" spans="1:86" ht="15.75" thickBot="1" x14ac:dyDescent="0.3">
      <c r="A130" s="163" t="s">
        <v>63</v>
      </c>
      <c r="B130" s="164" t="s">
        <v>56</v>
      </c>
      <c r="C130" s="164" t="s">
        <v>174</v>
      </c>
      <c r="D130" s="164" t="s">
        <v>175</v>
      </c>
      <c r="E130" s="164" t="s">
        <v>176</v>
      </c>
      <c r="F130" s="164" t="s">
        <v>177</v>
      </c>
      <c r="G130" s="165" t="s">
        <v>178</v>
      </c>
      <c r="H130" s="163" t="s">
        <v>63</v>
      </c>
      <c r="I130" s="164" t="s">
        <v>56</v>
      </c>
      <c r="J130" s="164" t="s">
        <v>174</v>
      </c>
      <c r="K130" s="164" t="s">
        <v>175</v>
      </c>
      <c r="L130" s="164" t="s">
        <v>176</v>
      </c>
      <c r="M130" s="164" t="s">
        <v>177</v>
      </c>
      <c r="N130" s="165" t="s">
        <v>178</v>
      </c>
      <c r="O130" s="163" t="s">
        <v>63</v>
      </c>
      <c r="P130" s="164" t="s">
        <v>56</v>
      </c>
      <c r="Q130" s="164" t="s">
        <v>174</v>
      </c>
      <c r="R130" s="164" t="s">
        <v>175</v>
      </c>
      <c r="S130" s="164" t="s">
        <v>176</v>
      </c>
      <c r="T130" s="164" t="s">
        <v>177</v>
      </c>
      <c r="U130" s="165" t="s">
        <v>178</v>
      </c>
      <c r="V130" s="163" t="s">
        <v>63</v>
      </c>
      <c r="W130" s="164" t="s">
        <v>56</v>
      </c>
      <c r="X130" s="164" t="s">
        <v>174</v>
      </c>
      <c r="Y130" s="164" t="s">
        <v>175</v>
      </c>
      <c r="Z130" s="164" t="s">
        <v>176</v>
      </c>
      <c r="AA130" s="164" t="s">
        <v>177</v>
      </c>
      <c r="AB130" s="165" t="s">
        <v>178</v>
      </c>
      <c r="AC130" s="163" t="s">
        <v>63</v>
      </c>
      <c r="AD130" s="164" t="s">
        <v>56</v>
      </c>
      <c r="AE130" s="164" t="s">
        <v>174</v>
      </c>
      <c r="AF130" s="164" t="s">
        <v>175</v>
      </c>
      <c r="AG130" s="164" t="s">
        <v>176</v>
      </c>
      <c r="AH130" s="164" t="s">
        <v>177</v>
      </c>
      <c r="AI130" s="165" t="s">
        <v>178</v>
      </c>
      <c r="AJ130" s="163" t="s">
        <v>63</v>
      </c>
      <c r="AK130" s="164" t="s">
        <v>56</v>
      </c>
      <c r="AL130" s="164" t="s">
        <v>174</v>
      </c>
      <c r="AM130" s="164" t="s">
        <v>175</v>
      </c>
      <c r="AN130" s="164" t="s">
        <v>176</v>
      </c>
      <c r="AO130" s="164" t="s">
        <v>177</v>
      </c>
      <c r="AP130" s="165" t="s">
        <v>178</v>
      </c>
      <c r="AQ130" s="163" t="s">
        <v>63</v>
      </c>
      <c r="AR130" s="164" t="s">
        <v>56</v>
      </c>
      <c r="AS130" s="164" t="s">
        <v>174</v>
      </c>
      <c r="AT130" s="164" t="s">
        <v>175</v>
      </c>
      <c r="AU130" s="164" t="s">
        <v>176</v>
      </c>
      <c r="AV130" s="164" t="s">
        <v>177</v>
      </c>
      <c r="AW130" s="165" t="s">
        <v>178</v>
      </c>
      <c r="AX130" s="163" t="s">
        <v>63</v>
      </c>
      <c r="AY130" s="164" t="s">
        <v>56</v>
      </c>
      <c r="AZ130" s="164" t="s">
        <v>174</v>
      </c>
      <c r="BA130" s="164" t="s">
        <v>175</v>
      </c>
      <c r="BB130" s="164" t="s">
        <v>176</v>
      </c>
      <c r="BC130" s="164" t="s">
        <v>177</v>
      </c>
      <c r="BD130" s="165" t="s">
        <v>178</v>
      </c>
      <c r="BE130" s="163" t="s">
        <v>63</v>
      </c>
      <c r="BF130" s="164" t="s">
        <v>56</v>
      </c>
      <c r="BG130" s="164" t="s">
        <v>174</v>
      </c>
      <c r="BH130" s="164" t="s">
        <v>175</v>
      </c>
      <c r="BI130" s="164" t="s">
        <v>176</v>
      </c>
      <c r="BJ130" s="164" t="s">
        <v>177</v>
      </c>
      <c r="BK130" s="165" t="s">
        <v>178</v>
      </c>
      <c r="BL130" s="72" t="s">
        <v>63</v>
      </c>
      <c r="BM130" t="s">
        <v>56</v>
      </c>
      <c r="BN130" t="s">
        <v>174</v>
      </c>
      <c r="BO130" t="s">
        <v>175</v>
      </c>
      <c r="BP130" t="s">
        <v>176</v>
      </c>
      <c r="BQ130" t="s">
        <v>177</v>
      </c>
      <c r="BR130" s="166" t="s">
        <v>178</v>
      </c>
      <c r="BS130" s="72" t="s">
        <v>63</v>
      </c>
      <c r="BT130" t="s">
        <v>56</v>
      </c>
      <c r="BU130" t="s">
        <v>174</v>
      </c>
      <c r="BV130" t="s">
        <v>175</v>
      </c>
      <c r="BW130" t="s">
        <v>176</v>
      </c>
      <c r="BX130" t="s">
        <v>177</v>
      </c>
      <c r="BY130" s="166" t="s">
        <v>178</v>
      </c>
      <c r="BZ130" s="72" t="s">
        <v>63</v>
      </c>
      <c r="CA130" t="s">
        <v>56</v>
      </c>
      <c r="CB130" t="s">
        <v>174</v>
      </c>
      <c r="CC130" t="s">
        <v>175</v>
      </c>
      <c r="CD130" t="s">
        <v>176</v>
      </c>
      <c r="CE130" t="s">
        <v>177</v>
      </c>
      <c r="CF130" s="166" t="s">
        <v>178</v>
      </c>
      <c r="CG130" s="108"/>
      <c r="CH130" s="108"/>
    </row>
    <row r="131" spans="1:86" x14ac:dyDescent="0.25">
      <c r="A131" s="127"/>
      <c r="B131" s="142"/>
      <c r="C131" s="197"/>
      <c r="D131" s="143"/>
      <c r="E131" s="144"/>
      <c r="F131" s="145"/>
      <c r="G131" s="161"/>
      <c r="H131" s="127"/>
      <c r="I131" s="142"/>
      <c r="J131" s="197"/>
      <c r="K131" s="143"/>
      <c r="L131" s="144"/>
      <c r="M131" s="145"/>
      <c r="N131" s="161"/>
      <c r="O131" s="127"/>
      <c r="P131" s="142"/>
      <c r="Q131" s="197"/>
      <c r="R131" s="143"/>
      <c r="S131" s="144"/>
      <c r="T131" s="145"/>
      <c r="U131" s="161"/>
      <c r="V131" s="127"/>
      <c r="W131" s="142"/>
      <c r="X131" s="197"/>
      <c r="Y131" s="143"/>
      <c r="Z131" s="144"/>
      <c r="AA131" s="145"/>
      <c r="AB131" s="161"/>
      <c r="AC131" s="127"/>
      <c r="AD131" s="142"/>
      <c r="AE131" s="197"/>
      <c r="AF131" s="143"/>
      <c r="AG131" s="144"/>
      <c r="AH131" s="145"/>
      <c r="AI131" s="161"/>
      <c r="AJ131" s="127"/>
      <c r="AK131" s="142"/>
      <c r="AL131" s="197"/>
      <c r="AM131" s="143"/>
      <c r="AN131" s="144"/>
      <c r="AO131" s="145"/>
      <c r="AP131" s="161"/>
      <c r="AQ131" s="127"/>
      <c r="AR131" s="142"/>
      <c r="AS131" s="197"/>
      <c r="AT131" s="143"/>
      <c r="AU131" s="144"/>
      <c r="AV131" s="145"/>
      <c r="AW131" s="161"/>
      <c r="AX131" s="127"/>
      <c r="AY131" s="142"/>
      <c r="AZ131" s="197"/>
      <c r="BA131" s="143"/>
      <c r="BB131" s="144"/>
      <c r="BC131" s="145"/>
      <c r="BD131" s="161"/>
      <c r="BE131" s="127"/>
      <c r="BF131" s="142"/>
      <c r="BG131" s="197"/>
      <c r="BH131" s="143"/>
      <c r="BI131" s="144"/>
      <c r="BJ131" s="145"/>
      <c r="BK131" s="161"/>
      <c r="BL131" s="137"/>
      <c r="BM131" s="138"/>
      <c r="BN131" s="196"/>
      <c r="BO131" s="139"/>
      <c r="BP131" s="140"/>
      <c r="BQ131" s="141"/>
      <c r="BR131" s="200"/>
      <c r="BS131" s="137"/>
      <c r="BT131" s="138"/>
      <c r="BU131" s="196"/>
      <c r="BV131" s="139"/>
      <c r="BW131" s="140"/>
      <c r="BX131" s="141"/>
      <c r="BY131" s="200"/>
      <c r="BZ131" s="137"/>
      <c r="CA131" s="138"/>
      <c r="CB131" s="196"/>
      <c r="CC131" s="139"/>
      <c r="CD131" s="140"/>
      <c r="CE131" s="141"/>
      <c r="CF131" s="200"/>
      <c r="CG131" s="108"/>
      <c r="CH131" s="108"/>
    </row>
    <row r="132" spans="1:86" x14ac:dyDescent="0.25">
      <c r="A132" s="127"/>
      <c r="B132" s="142"/>
      <c r="C132" s="197"/>
      <c r="D132" s="143"/>
      <c r="E132" s="144"/>
      <c r="F132" s="145"/>
      <c r="G132" s="161"/>
      <c r="H132" s="127"/>
      <c r="I132" s="142"/>
      <c r="J132" s="197"/>
      <c r="K132" s="143"/>
      <c r="L132" s="144"/>
      <c r="M132" s="145"/>
      <c r="N132" s="161"/>
      <c r="O132" s="127"/>
      <c r="P132" s="142"/>
      <c r="Q132" s="197"/>
      <c r="R132" s="143"/>
      <c r="S132" s="144"/>
      <c r="T132" s="145"/>
      <c r="U132" s="161"/>
      <c r="V132" s="127"/>
      <c r="W132" s="142"/>
      <c r="X132" s="197"/>
      <c r="Y132" s="143"/>
      <c r="Z132" s="144"/>
      <c r="AA132" s="145"/>
      <c r="AB132" s="161"/>
      <c r="AC132" s="127"/>
      <c r="AD132" s="142"/>
      <c r="AE132" s="197"/>
      <c r="AF132" s="143"/>
      <c r="AG132" s="144"/>
      <c r="AH132" s="145"/>
      <c r="AI132" s="161"/>
      <c r="AJ132" s="127"/>
      <c r="AK132" s="142"/>
      <c r="AL132" s="197"/>
      <c r="AM132" s="143"/>
      <c r="AN132" s="144"/>
      <c r="AO132" s="145"/>
      <c r="AP132" s="161"/>
      <c r="AQ132" s="127"/>
      <c r="AR132" s="142"/>
      <c r="AS132" s="197"/>
      <c r="AT132" s="143"/>
      <c r="AU132" s="144"/>
      <c r="AV132" s="145"/>
      <c r="AW132" s="161"/>
      <c r="AX132" s="127"/>
      <c r="AY132" s="142"/>
      <c r="AZ132" s="197"/>
      <c r="BA132" s="143"/>
      <c r="BB132" s="144"/>
      <c r="BC132" s="145"/>
      <c r="BD132" s="161"/>
      <c r="BE132" s="127"/>
      <c r="BF132" s="142"/>
      <c r="BG132" s="197"/>
      <c r="BH132" s="143"/>
      <c r="BI132" s="144"/>
      <c r="BJ132" s="145"/>
      <c r="BK132" s="161"/>
      <c r="BL132" s="127"/>
      <c r="BM132" s="142"/>
      <c r="BN132" s="197"/>
      <c r="BO132" s="143"/>
      <c r="BP132" s="144"/>
      <c r="BQ132" s="145"/>
      <c r="BR132" s="162"/>
      <c r="BS132" s="127"/>
      <c r="BT132" s="142"/>
      <c r="BU132" s="197"/>
      <c r="BV132" s="143"/>
      <c r="BW132" s="144"/>
      <c r="BX132" s="145"/>
      <c r="BY132" s="162"/>
      <c r="BZ132" s="127"/>
      <c r="CA132" s="142"/>
      <c r="CB132" s="197"/>
      <c r="CC132" s="143"/>
      <c r="CD132" s="144"/>
      <c r="CE132" s="145"/>
      <c r="CF132" s="162"/>
      <c r="CG132" s="108"/>
      <c r="CH132" s="108"/>
    </row>
    <row r="133" spans="1:86" x14ac:dyDescent="0.25">
      <c r="A133" s="127"/>
      <c r="B133" s="142"/>
      <c r="C133" s="197"/>
      <c r="D133" s="143"/>
      <c r="E133" s="144"/>
      <c r="F133" s="145"/>
      <c r="G133" s="161"/>
      <c r="H133" s="127"/>
      <c r="I133" s="142"/>
      <c r="J133" s="197"/>
      <c r="K133" s="143"/>
      <c r="L133" s="144"/>
      <c r="M133" s="145"/>
      <c r="N133" s="161"/>
      <c r="O133" s="127"/>
      <c r="P133" s="142"/>
      <c r="Q133" s="197"/>
      <c r="R133" s="143"/>
      <c r="S133" s="144"/>
      <c r="T133" s="145"/>
      <c r="U133" s="161"/>
      <c r="V133" s="127"/>
      <c r="W133" s="142"/>
      <c r="X133" s="197"/>
      <c r="Y133" s="143"/>
      <c r="Z133" s="144"/>
      <c r="AA133" s="145"/>
      <c r="AB133" s="161"/>
      <c r="AC133" s="127"/>
      <c r="AD133" s="142"/>
      <c r="AE133" s="197"/>
      <c r="AF133" s="143"/>
      <c r="AG133" s="144"/>
      <c r="AH133" s="145"/>
      <c r="AI133" s="161"/>
      <c r="AJ133" s="127"/>
      <c r="AK133" s="142"/>
      <c r="AL133" s="197"/>
      <c r="AM133" s="143"/>
      <c r="AN133" s="144"/>
      <c r="AO133" s="145"/>
      <c r="AP133" s="161"/>
      <c r="AQ133" s="127"/>
      <c r="AR133" s="142"/>
      <c r="AS133" s="197"/>
      <c r="AT133" s="143"/>
      <c r="AU133" s="144"/>
      <c r="AV133" s="145"/>
      <c r="AW133" s="161"/>
      <c r="AX133" s="127"/>
      <c r="AY133" s="142"/>
      <c r="AZ133" s="197"/>
      <c r="BA133" s="143"/>
      <c r="BB133" s="144"/>
      <c r="BC133" s="145"/>
      <c r="BD133" s="161"/>
      <c r="BE133" s="127"/>
      <c r="BF133" s="142"/>
      <c r="BG133" s="197"/>
      <c r="BH133" s="143"/>
      <c r="BI133" s="144"/>
      <c r="BJ133" s="145"/>
      <c r="BK133" s="161"/>
      <c r="BL133" s="127"/>
      <c r="BM133" s="142"/>
      <c r="BN133" s="197"/>
      <c r="BO133" s="143"/>
      <c r="BP133" s="144"/>
      <c r="BQ133" s="145"/>
      <c r="BR133" s="162"/>
      <c r="BS133" s="127"/>
      <c r="BT133" s="142"/>
      <c r="BU133" s="197"/>
      <c r="BV133" s="143"/>
      <c r="BW133" s="144"/>
      <c r="BX133" s="145"/>
      <c r="BY133" s="162"/>
      <c r="BZ133" s="127"/>
      <c r="CA133" s="142"/>
      <c r="CB133" s="197"/>
      <c r="CC133" s="143"/>
      <c r="CD133" s="144"/>
      <c r="CE133" s="145"/>
      <c r="CF133" s="162"/>
      <c r="CG133" s="108"/>
      <c r="CH133" s="108"/>
    </row>
    <row r="134" spans="1:86" x14ac:dyDescent="0.25">
      <c r="A134" s="127"/>
      <c r="B134" s="142"/>
      <c r="C134" s="197"/>
      <c r="D134" s="143"/>
      <c r="E134" s="144"/>
      <c r="F134" s="145"/>
      <c r="G134" s="161"/>
      <c r="H134" s="127"/>
      <c r="I134" s="142"/>
      <c r="J134" s="197"/>
      <c r="K134" s="143"/>
      <c r="L134" s="144"/>
      <c r="M134" s="145"/>
      <c r="N134" s="161"/>
      <c r="O134" s="127"/>
      <c r="P134" s="142"/>
      <c r="Q134" s="197"/>
      <c r="R134" s="143"/>
      <c r="S134" s="144"/>
      <c r="T134" s="145"/>
      <c r="U134" s="161"/>
      <c r="V134" s="127"/>
      <c r="W134" s="142"/>
      <c r="X134" s="197"/>
      <c r="Y134" s="143"/>
      <c r="Z134" s="144"/>
      <c r="AA134" s="145"/>
      <c r="AB134" s="161"/>
      <c r="AC134" s="127"/>
      <c r="AD134" s="142"/>
      <c r="AE134" s="197"/>
      <c r="AF134" s="143"/>
      <c r="AG134" s="144"/>
      <c r="AH134" s="145"/>
      <c r="AI134" s="161"/>
      <c r="AJ134" s="127"/>
      <c r="AK134" s="142"/>
      <c r="AL134" s="197"/>
      <c r="AM134" s="143"/>
      <c r="AN134" s="144"/>
      <c r="AO134" s="145"/>
      <c r="AP134" s="161"/>
      <c r="AQ134" s="127"/>
      <c r="AR134" s="142"/>
      <c r="AS134" s="197"/>
      <c r="AT134" s="143"/>
      <c r="AU134" s="144"/>
      <c r="AV134" s="145"/>
      <c r="AW134" s="161"/>
      <c r="AX134" s="127"/>
      <c r="AY134" s="142"/>
      <c r="AZ134" s="197"/>
      <c r="BA134" s="143"/>
      <c r="BB134" s="144"/>
      <c r="BC134" s="145"/>
      <c r="BD134" s="161"/>
      <c r="BE134" s="127"/>
      <c r="BF134" s="142"/>
      <c r="BG134" s="197"/>
      <c r="BH134" s="143"/>
      <c r="BI134" s="144"/>
      <c r="BJ134" s="145"/>
      <c r="BK134" s="161"/>
      <c r="BL134" s="127"/>
      <c r="BM134" s="142"/>
      <c r="BN134" s="197"/>
      <c r="BO134" s="143"/>
      <c r="BP134" s="144"/>
      <c r="BQ134" s="145"/>
      <c r="BR134" s="162"/>
      <c r="BS134" s="127"/>
      <c r="BT134" s="142"/>
      <c r="BU134" s="197"/>
      <c r="BV134" s="143"/>
      <c r="BW134" s="144"/>
      <c r="BX134" s="145"/>
      <c r="BY134" s="162"/>
      <c r="BZ134" s="127"/>
      <c r="CA134" s="142"/>
      <c r="CB134" s="197"/>
      <c r="CC134" s="143"/>
      <c r="CD134" s="144"/>
      <c r="CE134" s="145"/>
      <c r="CF134" s="162"/>
      <c r="CG134" s="108"/>
      <c r="CH134" s="108"/>
    </row>
    <row r="135" spans="1:86" x14ac:dyDescent="0.25">
      <c r="A135" s="127"/>
      <c r="B135" s="142"/>
      <c r="C135" s="197"/>
      <c r="D135" s="143"/>
      <c r="E135" s="144"/>
      <c r="F135" s="145"/>
      <c r="G135" s="161"/>
      <c r="H135" s="127"/>
      <c r="I135" s="142"/>
      <c r="J135" s="197"/>
      <c r="K135" s="143"/>
      <c r="L135" s="144"/>
      <c r="M135" s="145"/>
      <c r="N135" s="161"/>
      <c r="O135" s="127"/>
      <c r="P135" s="142"/>
      <c r="Q135" s="197"/>
      <c r="R135" s="143"/>
      <c r="S135" s="144"/>
      <c r="T135" s="145"/>
      <c r="U135" s="161"/>
      <c r="V135" s="127"/>
      <c r="W135" s="142"/>
      <c r="X135" s="197"/>
      <c r="Y135" s="143"/>
      <c r="Z135" s="144"/>
      <c r="AA135" s="145"/>
      <c r="AB135" s="161"/>
      <c r="AC135" s="127"/>
      <c r="AD135" s="142"/>
      <c r="AE135" s="197"/>
      <c r="AF135" s="143"/>
      <c r="AG135" s="144"/>
      <c r="AH135" s="145"/>
      <c r="AI135" s="161"/>
      <c r="AJ135" s="127"/>
      <c r="AK135" s="142"/>
      <c r="AL135" s="197"/>
      <c r="AM135" s="143"/>
      <c r="AN135" s="144"/>
      <c r="AO135" s="145"/>
      <c r="AP135" s="161"/>
      <c r="AQ135" s="127"/>
      <c r="AR135" s="142"/>
      <c r="AS135" s="197"/>
      <c r="AT135" s="143"/>
      <c r="AU135" s="144"/>
      <c r="AV135" s="145"/>
      <c r="AW135" s="161"/>
      <c r="AX135" s="127"/>
      <c r="AY135" s="142"/>
      <c r="AZ135" s="197"/>
      <c r="BA135" s="143"/>
      <c r="BB135" s="144"/>
      <c r="BC135" s="145"/>
      <c r="BD135" s="161"/>
      <c r="BE135" s="127"/>
      <c r="BF135" s="142"/>
      <c r="BG135" s="197"/>
      <c r="BH135" s="143"/>
      <c r="BI135" s="144"/>
      <c r="BJ135" s="145"/>
      <c r="BK135" s="161"/>
      <c r="BL135" s="127"/>
      <c r="BM135" s="142"/>
      <c r="BN135" s="197"/>
      <c r="BO135" s="143"/>
      <c r="BP135" s="144"/>
      <c r="BQ135" s="145"/>
      <c r="BR135" s="162"/>
      <c r="BS135" s="127"/>
      <c r="BT135" s="142"/>
      <c r="BU135" s="197"/>
      <c r="BV135" s="143"/>
      <c r="BW135" s="144"/>
      <c r="BX135" s="145"/>
      <c r="BY135" s="162"/>
      <c r="BZ135" s="127"/>
      <c r="CA135" s="142"/>
      <c r="CB135" s="197"/>
      <c r="CC135" s="143"/>
      <c r="CD135" s="144"/>
      <c r="CE135" s="145"/>
      <c r="CF135" s="162"/>
      <c r="CG135" s="108"/>
      <c r="CH135" s="108"/>
    </row>
    <row r="136" spans="1:86" x14ac:dyDescent="0.25">
      <c r="A136" s="127"/>
      <c r="B136" s="142"/>
      <c r="C136" s="197"/>
      <c r="D136" s="143"/>
      <c r="E136" s="144"/>
      <c r="F136" s="145"/>
      <c r="G136" s="161"/>
      <c r="H136" s="127"/>
      <c r="I136" s="142"/>
      <c r="J136" s="197"/>
      <c r="K136" s="143"/>
      <c r="L136" s="144"/>
      <c r="M136" s="145"/>
      <c r="N136" s="161"/>
      <c r="O136" s="127"/>
      <c r="P136" s="142"/>
      <c r="Q136" s="197"/>
      <c r="R136" s="143"/>
      <c r="S136" s="144"/>
      <c r="T136" s="145"/>
      <c r="U136" s="161"/>
      <c r="V136" s="127"/>
      <c r="W136" s="142"/>
      <c r="X136" s="197"/>
      <c r="Y136" s="143"/>
      <c r="Z136" s="144"/>
      <c r="AA136" s="145"/>
      <c r="AB136" s="161"/>
      <c r="AC136" s="127"/>
      <c r="AD136" s="142"/>
      <c r="AE136" s="197"/>
      <c r="AF136" s="143"/>
      <c r="AG136" s="144"/>
      <c r="AH136" s="145"/>
      <c r="AI136" s="161"/>
      <c r="AJ136" s="127"/>
      <c r="AK136" s="142"/>
      <c r="AL136" s="197"/>
      <c r="AM136" s="143"/>
      <c r="AN136" s="144"/>
      <c r="AO136" s="145"/>
      <c r="AP136" s="161"/>
      <c r="AQ136" s="127"/>
      <c r="AR136" s="142"/>
      <c r="AS136" s="197"/>
      <c r="AT136" s="143"/>
      <c r="AU136" s="144"/>
      <c r="AV136" s="145"/>
      <c r="AW136" s="161"/>
      <c r="AX136" s="127"/>
      <c r="AY136" s="142"/>
      <c r="AZ136" s="197"/>
      <c r="BA136" s="143"/>
      <c r="BB136" s="144"/>
      <c r="BC136" s="145"/>
      <c r="BD136" s="161"/>
      <c r="BE136" s="127"/>
      <c r="BF136" s="142"/>
      <c r="BG136" s="197"/>
      <c r="BH136" s="143"/>
      <c r="BI136" s="144"/>
      <c r="BJ136" s="145"/>
      <c r="BK136" s="161"/>
      <c r="BL136" s="127"/>
      <c r="BM136" s="142"/>
      <c r="BN136" s="197"/>
      <c r="BO136" s="143"/>
      <c r="BP136" s="144"/>
      <c r="BQ136" s="145"/>
      <c r="BR136" s="162"/>
      <c r="BS136" s="127"/>
      <c r="BT136" s="142"/>
      <c r="BU136" s="197"/>
      <c r="BV136" s="143"/>
      <c r="BW136" s="144"/>
      <c r="BX136" s="145"/>
      <c r="BY136" s="162"/>
      <c r="BZ136" s="127"/>
      <c r="CA136" s="142"/>
      <c r="CB136" s="197"/>
      <c r="CC136" s="143"/>
      <c r="CD136" s="144"/>
      <c r="CE136" s="145"/>
      <c r="CF136" s="162"/>
      <c r="CG136" s="108"/>
      <c r="CH136" s="108"/>
    </row>
    <row r="137" spans="1:86" x14ac:dyDescent="0.25">
      <c r="A137" s="127"/>
      <c r="B137" s="142"/>
      <c r="C137" s="197"/>
      <c r="D137" s="143"/>
      <c r="E137" s="144"/>
      <c r="F137" s="145"/>
      <c r="G137" s="161"/>
      <c r="H137" s="127"/>
      <c r="I137" s="142"/>
      <c r="J137" s="197"/>
      <c r="K137" s="143"/>
      <c r="L137" s="144"/>
      <c r="M137" s="145"/>
      <c r="N137" s="161"/>
      <c r="O137" s="127"/>
      <c r="P137" s="142"/>
      <c r="Q137" s="197"/>
      <c r="R137" s="143"/>
      <c r="S137" s="144"/>
      <c r="T137" s="145"/>
      <c r="U137" s="161"/>
      <c r="V137" s="127"/>
      <c r="W137" s="142"/>
      <c r="X137" s="197"/>
      <c r="Y137" s="143"/>
      <c r="Z137" s="144"/>
      <c r="AA137" s="145"/>
      <c r="AB137" s="161"/>
      <c r="AC137" s="127"/>
      <c r="AD137" s="142"/>
      <c r="AE137" s="197"/>
      <c r="AF137" s="143"/>
      <c r="AG137" s="144"/>
      <c r="AH137" s="145"/>
      <c r="AI137" s="161"/>
      <c r="AJ137" s="127"/>
      <c r="AK137" s="142"/>
      <c r="AL137" s="197"/>
      <c r="AM137" s="143"/>
      <c r="AN137" s="144"/>
      <c r="AO137" s="145"/>
      <c r="AP137" s="161"/>
      <c r="AQ137" s="127"/>
      <c r="AR137" s="142"/>
      <c r="AS137" s="197"/>
      <c r="AT137" s="143"/>
      <c r="AU137" s="144"/>
      <c r="AV137" s="145"/>
      <c r="AW137" s="161"/>
      <c r="AX137" s="127"/>
      <c r="AY137" s="142"/>
      <c r="AZ137" s="197"/>
      <c r="BA137" s="143"/>
      <c r="BB137" s="144"/>
      <c r="BC137" s="145"/>
      <c r="BD137" s="161"/>
      <c r="BE137" s="127"/>
      <c r="BF137" s="142"/>
      <c r="BG137" s="197"/>
      <c r="BH137" s="143"/>
      <c r="BI137" s="144"/>
      <c r="BJ137" s="145"/>
      <c r="BK137" s="161"/>
      <c r="BL137" s="127"/>
      <c r="BM137" s="142"/>
      <c r="BN137" s="197"/>
      <c r="BO137" s="143"/>
      <c r="BP137" s="144"/>
      <c r="BQ137" s="145"/>
      <c r="BR137" s="162"/>
      <c r="BS137" s="127"/>
      <c r="BT137" s="142"/>
      <c r="BU137" s="197"/>
      <c r="BV137" s="143"/>
      <c r="BW137" s="144"/>
      <c r="BX137" s="145"/>
      <c r="BY137" s="162"/>
      <c r="BZ137" s="127"/>
      <c r="CA137" s="142"/>
      <c r="CB137" s="197"/>
      <c r="CC137" s="143"/>
      <c r="CD137" s="144"/>
      <c r="CE137" s="145"/>
      <c r="CF137" s="162"/>
      <c r="CG137" s="108"/>
      <c r="CH137" s="108"/>
    </row>
    <row r="138" spans="1:86" x14ac:dyDescent="0.25">
      <c r="A138" s="127"/>
      <c r="B138" s="142"/>
      <c r="C138" s="197"/>
      <c r="D138" s="143"/>
      <c r="E138" s="144"/>
      <c r="F138" s="145"/>
      <c r="G138" s="161"/>
      <c r="H138" s="127"/>
      <c r="I138" s="142"/>
      <c r="J138" s="197"/>
      <c r="K138" s="143"/>
      <c r="L138" s="144"/>
      <c r="M138" s="145"/>
      <c r="N138" s="161"/>
      <c r="O138" s="127"/>
      <c r="P138" s="142"/>
      <c r="Q138" s="197"/>
      <c r="R138" s="143"/>
      <c r="S138" s="144"/>
      <c r="T138" s="145"/>
      <c r="U138" s="161"/>
      <c r="V138" s="127"/>
      <c r="W138" s="142"/>
      <c r="X138" s="197"/>
      <c r="Y138" s="143"/>
      <c r="Z138" s="144"/>
      <c r="AA138" s="145"/>
      <c r="AB138" s="161"/>
      <c r="AC138" s="127"/>
      <c r="AD138" s="142"/>
      <c r="AE138" s="197"/>
      <c r="AF138" s="143"/>
      <c r="AG138" s="144"/>
      <c r="AH138" s="145"/>
      <c r="AI138" s="161"/>
      <c r="AJ138" s="127"/>
      <c r="AK138" s="142"/>
      <c r="AL138" s="197"/>
      <c r="AM138" s="143"/>
      <c r="AN138" s="144"/>
      <c r="AO138" s="145"/>
      <c r="AP138" s="161"/>
      <c r="AQ138" s="127"/>
      <c r="AR138" s="142"/>
      <c r="AS138" s="197"/>
      <c r="AT138" s="143"/>
      <c r="AU138" s="144"/>
      <c r="AV138" s="145"/>
      <c r="AW138" s="161"/>
      <c r="AX138" s="127"/>
      <c r="AY138" s="142"/>
      <c r="AZ138" s="197"/>
      <c r="BA138" s="143"/>
      <c r="BB138" s="144"/>
      <c r="BC138" s="145"/>
      <c r="BD138" s="161"/>
      <c r="BE138" s="127"/>
      <c r="BF138" s="142"/>
      <c r="BG138" s="197"/>
      <c r="BH138" s="143"/>
      <c r="BI138" s="144"/>
      <c r="BJ138" s="145"/>
      <c r="BK138" s="161"/>
      <c r="BL138" s="127"/>
      <c r="BM138" s="142"/>
      <c r="BN138" s="197"/>
      <c r="BO138" s="143"/>
      <c r="BP138" s="144"/>
      <c r="BQ138" s="145"/>
      <c r="BR138" s="162"/>
      <c r="BS138" s="127"/>
      <c r="BT138" s="142"/>
      <c r="BU138" s="197"/>
      <c r="BV138" s="143"/>
      <c r="BW138" s="144"/>
      <c r="BX138" s="145"/>
      <c r="BY138" s="162"/>
      <c r="BZ138" s="127"/>
      <c r="CA138" s="142"/>
      <c r="CB138" s="197"/>
      <c r="CC138" s="143"/>
      <c r="CD138" s="144"/>
      <c r="CE138" s="145"/>
      <c r="CF138" s="162"/>
      <c r="CG138" s="108"/>
      <c r="CH138" s="108"/>
    </row>
    <row r="139" spans="1:86" x14ac:dyDescent="0.25">
      <c r="A139" s="127"/>
      <c r="B139" s="142"/>
      <c r="C139" s="197"/>
      <c r="D139" s="143"/>
      <c r="E139" s="144"/>
      <c r="F139" s="145"/>
      <c r="G139" s="161"/>
      <c r="H139" s="127"/>
      <c r="I139" s="142"/>
      <c r="J139" s="197"/>
      <c r="K139" s="143"/>
      <c r="L139" s="144"/>
      <c r="M139" s="145"/>
      <c r="N139" s="161"/>
      <c r="O139" s="127"/>
      <c r="P139" s="142"/>
      <c r="Q139" s="197"/>
      <c r="R139" s="143"/>
      <c r="S139" s="144"/>
      <c r="T139" s="145"/>
      <c r="U139" s="161"/>
      <c r="V139" s="127"/>
      <c r="W139" s="142"/>
      <c r="X139" s="197"/>
      <c r="Y139" s="143"/>
      <c r="Z139" s="144"/>
      <c r="AA139" s="145"/>
      <c r="AB139" s="161"/>
      <c r="AC139" s="127"/>
      <c r="AD139" s="142"/>
      <c r="AE139" s="197"/>
      <c r="AF139" s="143"/>
      <c r="AG139" s="144"/>
      <c r="AH139" s="145"/>
      <c r="AI139" s="161"/>
      <c r="AJ139" s="127"/>
      <c r="AK139" s="142"/>
      <c r="AL139" s="197"/>
      <c r="AM139" s="143"/>
      <c r="AN139" s="144"/>
      <c r="AO139" s="145"/>
      <c r="AP139" s="161"/>
      <c r="AQ139" s="127"/>
      <c r="AR139" s="142"/>
      <c r="AS139" s="197"/>
      <c r="AT139" s="143"/>
      <c r="AU139" s="144"/>
      <c r="AV139" s="145"/>
      <c r="AW139" s="161"/>
      <c r="AX139" s="127"/>
      <c r="AY139" s="142"/>
      <c r="AZ139" s="197"/>
      <c r="BA139" s="143"/>
      <c r="BB139" s="144"/>
      <c r="BC139" s="145"/>
      <c r="BD139" s="161"/>
      <c r="BE139" s="127"/>
      <c r="BF139" s="142"/>
      <c r="BG139" s="197"/>
      <c r="BH139" s="143"/>
      <c r="BI139" s="144"/>
      <c r="BJ139" s="145"/>
      <c r="BK139" s="161"/>
      <c r="BL139" s="127"/>
      <c r="BM139" s="142"/>
      <c r="BN139" s="197"/>
      <c r="BO139" s="143"/>
      <c r="BP139" s="144"/>
      <c r="BQ139" s="145"/>
      <c r="BR139" s="162"/>
      <c r="BS139" s="127"/>
      <c r="BT139" s="142"/>
      <c r="BU139" s="197"/>
      <c r="BV139" s="143"/>
      <c r="BW139" s="144"/>
      <c r="BX139" s="145"/>
      <c r="BY139" s="162"/>
      <c r="BZ139" s="127"/>
      <c r="CA139" s="142"/>
      <c r="CB139" s="197"/>
      <c r="CC139" s="143"/>
      <c r="CD139" s="144"/>
      <c r="CE139" s="145"/>
      <c r="CF139" s="162"/>
      <c r="CG139" s="108"/>
      <c r="CH139" s="108"/>
    </row>
    <row r="140" spans="1:86" x14ac:dyDescent="0.25">
      <c r="A140" s="127"/>
      <c r="B140" s="142"/>
      <c r="C140" s="197"/>
      <c r="D140" s="143"/>
      <c r="E140" s="144"/>
      <c r="F140" s="145"/>
      <c r="G140" s="161"/>
      <c r="H140" s="127"/>
      <c r="I140" s="142"/>
      <c r="J140" s="197"/>
      <c r="K140" s="143"/>
      <c r="L140" s="144"/>
      <c r="M140" s="145"/>
      <c r="N140" s="161"/>
      <c r="O140" s="127"/>
      <c r="P140" s="142"/>
      <c r="Q140" s="197"/>
      <c r="R140" s="143"/>
      <c r="S140" s="144"/>
      <c r="T140" s="145"/>
      <c r="U140" s="161"/>
      <c r="V140" s="127"/>
      <c r="W140" s="142"/>
      <c r="X140" s="197"/>
      <c r="Y140" s="143"/>
      <c r="Z140" s="144"/>
      <c r="AA140" s="145"/>
      <c r="AB140" s="161"/>
      <c r="AC140" s="127"/>
      <c r="AD140" s="142"/>
      <c r="AE140" s="197"/>
      <c r="AF140" s="143"/>
      <c r="AG140" s="144"/>
      <c r="AH140" s="145"/>
      <c r="AI140" s="161"/>
      <c r="AJ140" s="127"/>
      <c r="AK140" s="142"/>
      <c r="AL140" s="197"/>
      <c r="AM140" s="143"/>
      <c r="AN140" s="144"/>
      <c r="AO140" s="145"/>
      <c r="AP140" s="161"/>
      <c r="AQ140" s="127"/>
      <c r="AR140" s="142"/>
      <c r="AS140" s="197"/>
      <c r="AT140" s="143"/>
      <c r="AU140" s="144"/>
      <c r="AV140" s="145"/>
      <c r="AW140" s="161"/>
      <c r="AX140" s="127"/>
      <c r="AY140" s="142"/>
      <c r="AZ140" s="197"/>
      <c r="BA140" s="143"/>
      <c r="BB140" s="144"/>
      <c r="BC140" s="145"/>
      <c r="BD140" s="161"/>
      <c r="BE140" s="127"/>
      <c r="BF140" s="142"/>
      <c r="BG140" s="197"/>
      <c r="BH140" s="143"/>
      <c r="BI140" s="144"/>
      <c r="BJ140" s="145"/>
      <c r="BK140" s="161"/>
      <c r="BL140" s="127"/>
      <c r="BM140" s="142"/>
      <c r="BN140" s="197"/>
      <c r="BO140" s="143"/>
      <c r="BP140" s="144"/>
      <c r="BQ140" s="145"/>
      <c r="BR140" s="162"/>
      <c r="BS140" s="127"/>
      <c r="BT140" s="142"/>
      <c r="BU140" s="197"/>
      <c r="BV140" s="143"/>
      <c r="BW140" s="144"/>
      <c r="BX140" s="145"/>
      <c r="BY140" s="162"/>
      <c r="BZ140" s="127"/>
      <c r="CA140" s="142"/>
      <c r="CB140" s="197"/>
      <c r="CC140" s="143"/>
      <c r="CD140" s="144"/>
      <c r="CE140" s="145"/>
      <c r="CF140" s="162"/>
      <c r="CG140" s="108"/>
      <c r="CH140" s="108"/>
    </row>
    <row r="141" spans="1:86" x14ac:dyDescent="0.25">
      <c r="A141" s="127"/>
      <c r="B141" s="142"/>
      <c r="C141" s="197"/>
      <c r="D141" s="143"/>
      <c r="E141" s="144"/>
      <c r="F141" s="145"/>
      <c r="G141" s="161"/>
      <c r="H141" s="127"/>
      <c r="I141" s="142"/>
      <c r="J141" s="197"/>
      <c r="K141" s="143"/>
      <c r="L141" s="144"/>
      <c r="M141" s="145"/>
      <c r="N141" s="161"/>
      <c r="O141" s="127"/>
      <c r="P141" s="142"/>
      <c r="Q141" s="197"/>
      <c r="R141" s="143"/>
      <c r="S141" s="144"/>
      <c r="T141" s="145"/>
      <c r="U141" s="161"/>
      <c r="V141" s="127"/>
      <c r="W141" s="142"/>
      <c r="X141" s="197"/>
      <c r="Y141" s="143"/>
      <c r="Z141" s="144"/>
      <c r="AA141" s="145"/>
      <c r="AB141" s="161"/>
      <c r="AC141" s="127"/>
      <c r="AD141" s="142"/>
      <c r="AE141" s="197"/>
      <c r="AF141" s="143"/>
      <c r="AG141" s="144"/>
      <c r="AH141" s="145"/>
      <c r="AI141" s="161"/>
      <c r="AJ141" s="127"/>
      <c r="AK141" s="142"/>
      <c r="AL141" s="197"/>
      <c r="AM141" s="143"/>
      <c r="AN141" s="144"/>
      <c r="AO141" s="145"/>
      <c r="AP141" s="161"/>
      <c r="AQ141" s="127"/>
      <c r="AR141" s="142"/>
      <c r="AS141" s="197"/>
      <c r="AT141" s="143"/>
      <c r="AU141" s="144"/>
      <c r="AV141" s="145"/>
      <c r="AW141" s="161"/>
      <c r="AX141" s="127"/>
      <c r="AY141" s="142"/>
      <c r="AZ141" s="197"/>
      <c r="BA141" s="143"/>
      <c r="BB141" s="144"/>
      <c r="BC141" s="145"/>
      <c r="BD141" s="161"/>
      <c r="BE141" s="127"/>
      <c r="BF141" s="142"/>
      <c r="BG141" s="197"/>
      <c r="BH141" s="143"/>
      <c r="BI141" s="144"/>
      <c r="BJ141" s="145"/>
      <c r="BK141" s="161"/>
      <c r="BL141" s="127"/>
      <c r="BM141" s="142"/>
      <c r="BN141" s="197"/>
      <c r="BO141" s="143"/>
      <c r="BP141" s="144"/>
      <c r="BQ141" s="145"/>
      <c r="BR141" s="162"/>
      <c r="BS141" s="127"/>
      <c r="BT141" s="142"/>
      <c r="BU141" s="197"/>
      <c r="BV141" s="143"/>
      <c r="BW141" s="144"/>
      <c r="BX141" s="145"/>
      <c r="BY141" s="162"/>
      <c r="BZ141" s="127"/>
      <c r="CA141" s="142"/>
      <c r="CB141" s="197"/>
      <c r="CC141" s="143"/>
      <c r="CD141" s="144"/>
      <c r="CE141" s="145"/>
      <c r="CF141" s="162"/>
      <c r="CG141" s="108"/>
      <c r="CH141" s="108"/>
    </row>
    <row r="142" spans="1:86" ht="15.75" thickBot="1" x14ac:dyDescent="0.3">
      <c r="A142" s="127"/>
      <c r="B142" s="142"/>
      <c r="C142" s="197"/>
      <c r="D142" s="143"/>
      <c r="E142" s="144"/>
      <c r="F142" s="145"/>
      <c r="G142" s="161"/>
      <c r="H142" s="127"/>
      <c r="I142" s="142"/>
      <c r="J142" s="197"/>
      <c r="K142" s="143"/>
      <c r="L142" s="144"/>
      <c r="M142" s="145"/>
      <c r="N142" s="161"/>
      <c r="O142" s="127"/>
      <c r="P142" s="142"/>
      <c r="Q142" s="197"/>
      <c r="R142" s="143"/>
      <c r="S142" s="144"/>
      <c r="T142" s="145"/>
      <c r="U142" s="161"/>
      <c r="V142" s="127"/>
      <c r="W142" s="142"/>
      <c r="X142" s="197"/>
      <c r="Y142" s="143"/>
      <c r="Z142" s="144"/>
      <c r="AA142" s="145"/>
      <c r="AB142" s="161"/>
      <c r="AC142" s="127"/>
      <c r="AD142" s="142"/>
      <c r="AE142" s="197"/>
      <c r="AF142" s="143"/>
      <c r="AG142" s="144"/>
      <c r="AH142" s="145"/>
      <c r="AI142" s="161"/>
      <c r="AJ142" s="127"/>
      <c r="AK142" s="142"/>
      <c r="AL142" s="197"/>
      <c r="AM142" s="143"/>
      <c r="AN142" s="144"/>
      <c r="AO142" s="145"/>
      <c r="AP142" s="161"/>
      <c r="AQ142" s="127"/>
      <c r="AR142" s="142"/>
      <c r="AS142" s="197"/>
      <c r="AT142" s="143"/>
      <c r="AU142" s="144"/>
      <c r="AV142" s="145"/>
      <c r="AW142" s="161"/>
      <c r="AX142" s="127"/>
      <c r="AY142" s="142"/>
      <c r="AZ142" s="197"/>
      <c r="BA142" s="143"/>
      <c r="BB142" s="144"/>
      <c r="BC142" s="145"/>
      <c r="BD142" s="161"/>
      <c r="BE142" s="127"/>
      <c r="BF142" s="142"/>
      <c r="BG142" s="197"/>
      <c r="BH142" s="143"/>
      <c r="BI142" s="144"/>
      <c r="BJ142" s="145"/>
      <c r="BK142" s="161"/>
      <c r="BL142" s="146"/>
      <c r="BM142" s="147"/>
      <c r="BN142" s="198"/>
      <c r="BO142" s="148"/>
      <c r="BP142" s="149"/>
      <c r="BQ142" s="150"/>
      <c r="BR142" s="201"/>
      <c r="BS142" s="146"/>
      <c r="BT142" s="147"/>
      <c r="BU142" s="198"/>
      <c r="BV142" s="148"/>
      <c r="BW142" s="149"/>
      <c r="BX142" s="150"/>
      <c r="BY142" s="201"/>
      <c r="BZ142" s="146"/>
      <c r="CA142" s="147"/>
      <c r="CB142" s="198"/>
      <c r="CC142" s="148"/>
      <c r="CD142" s="149"/>
      <c r="CE142" s="150"/>
      <c r="CF142" s="201"/>
      <c r="CG142" s="108"/>
      <c r="CH142" s="108"/>
    </row>
    <row r="143" spans="1:86" ht="15" customHeight="1" x14ac:dyDescent="0.25">
      <c r="A143" s="430" t="s">
        <v>34</v>
      </c>
      <c r="B143" s="431"/>
      <c r="C143" s="431"/>
      <c r="D143" s="431"/>
      <c r="E143" s="431"/>
      <c r="F143" s="431"/>
      <c r="G143" s="431"/>
      <c r="H143" s="431"/>
      <c r="I143" s="431"/>
      <c r="J143" s="431"/>
      <c r="K143" s="431"/>
      <c r="L143" s="431"/>
      <c r="M143" s="431"/>
      <c r="N143" s="431"/>
      <c r="O143" s="431"/>
      <c r="P143" s="431"/>
      <c r="Q143" s="431"/>
      <c r="R143" s="431"/>
      <c r="S143" s="431"/>
      <c r="T143" s="431"/>
      <c r="U143" s="431"/>
      <c r="V143" s="431"/>
      <c r="W143" s="431"/>
      <c r="X143" s="431"/>
      <c r="Y143" s="431"/>
      <c r="Z143" s="431"/>
      <c r="AA143" s="431"/>
      <c r="AB143" s="431"/>
      <c r="AC143" s="431"/>
      <c r="AD143" s="431"/>
      <c r="AE143" s="431"/>
      <c r="AF143" s="431"/>
      <c r="AG143" s="431"/>
      <c r="AH143" s="431"/>
      <c r="AI143" s="431"/>
      <c r="AJ143" s="431"/>
      <c r="AK143" s="431"/>
      <c r="AL143" s="431"/>
      <c r="AM143" s="431"/>
      <c r="AN143" s="431"/>
      <c r="AO143" s="431"/>
      <c r="AP143" s="431"/>
      <c r="AQ143" s="431"/>
      <c r="AR143" s="431"/>
      <c r="AS143" s="431"/>
      <c r="AT143" s="431"/>
      <c r="AU143" s="431"/>
      <c r="AV143" s="431"/>
      <c r="AW143" s="431"/>
      <c r="AX143" s="431"/>
      <c r="AY143" s="431"/>
      <c r="AZ143" s="431"/>
      <c r="BA143" s="431"/>
      <c r="BB143" s="431"/>
      <c r="BC143" s="431"/>
      <c r="BD143" s="431"/>
      <c r="BE143" s="431"/>
      <c r="BF143" s="431"/>
      <c r="BG143" s="431"/>
      <c r="BH143" s="431"/>
      <c r="BI143" s="431"/>
      <c r="BJ143" s="431"/>
      <c r="BK143" s="431"/>
      <c r="BL143" s="431"/>
      <c r="BM143" s="431"/>
      <c r="BN143" s="431"/>
      <c r="BO143" s="431"/>
      <c r="BP143" s="431"/>
      <c r="BQ143" s="431"/>
      <c r="BR143" s="431"/>
      <c r="BS143" s="431"/>
      <c r="BT143" s="431"/>
      <c r="BU143" s="431"/>
      <c r="BV143" s="431"/>
      <c r="BW143" s="431"/>
      <c r="BX143" s="431"/>
      <c r="BY143" s="431"/>
      <c r="BZ143" s="431"/>
      <c r="CA143" s="431"/>
      <c r="CB143" s="431"/>
      <c r="CC143" s="431"/>
      <c r="CD143" s="431"/>
      <c r="CE143" s="431"/>
      <c r="CF143" s="432"/>
      <c r="CG143" s="108"/>
      <c r="CH143" s="108"/>
    </row>
    <row r="144" spans="1:86" ht="15.75" customHeight="1" thickBot="1" x14ac:dyDescent="0.3">
      <c r="A144" s="433"/>
      <c r="B144" s="434"/>
      <c r="C144" s="434"/>
      <c r="D144" s="434"/>
      <c r="E144" s="434"/>
      <c r="F144" s="434"/>
      <c r="G144" s="434"/>
      <c r="H144" s="434"/>
      <c r="I144" s="434"/>
      <c r="J144" s="434"/>
      <c r="K144" s="434"/>
      <c r="L144" s="434"/>
      <c r="M144" s="434"/>
      <c r="N144" s="434"/>
      <c r="O144" s="434"/>
      <c r="P144" s="434"/>
      <c r="Q144" s="434"/>
      <c r="R144" s="434"/>
      <c r="S144" s="434"/>
      <c r="T144" s="434"/>
      <c r="U144" s="434"/>
      <c r="V144" s="434"/>
      <c r="W144" s="434"/>
      <c r="X144" s="434"/>
      <c r="Y144" s="434"/>
      <c r="Z144" s="434"/>
      <c r="AA144" s="434"/>
      <c r="AB144" s="434"/>
      <c r="AC144" s="434"/>
      <c r="AD144" s="434"/>
      <c r="AE144" s="434"/>
      <c r="AF144" s="434"/>
      <c r="AG144" s="434"/>
      <c r="AH144" s="434"/>
      <c r="AI144" s="434"/>
      <c r="AJ144" s="434"/>
      <c r="AK144" s="434"/>
      <c r="AL144" s="434"/>
      <c r="AM144" s="434"/>
      <c r="AN144" s="434"/>
      <c r="AO144" s="434"/>
      <c r="AP144" s="434"/>
      <c r="AQ144" s="434"/>
      <c r="AR144" s="434"/>
      <c r="AS144" s="434"/>
      <c r="AT144" s="434"/>
      <c r="AU144" s="434"/>
      <c r="AV144" s="434"/>
      <c r="AW144" s="434"/>
      <c r="AX144" s="434"/>
      <c r="AY144" s="434"/>
      <c r="AZ144" s="434"/>
      <c r="BA144" s="434"/>
      <c r="BB144" s="434"/>
      <c r="BC144" s="434"/>
      <c r="BD144" s="434"/>
      <c r="BE144" s="434"/>
      <c r="BF144" s="434"/>
      <c r="BG144" s="434"/>
      <c r="BH144" s="434"/>
      <c r="BI144" s="434"/>
      <c r="BJ144" s="434"/>
      <c r="BK144" s="434"/>
      <c r="BL144" s="434"/>
      <c r="BM144" s="434"/>
      <c r="BN144" s="434"/>
      <c r="BO144" s="434"/>
      <c r="BP144" s="434"/>
      <c r="BQ144" s="434"/>
      <c r="BR144" s="434"/>
      <c r="BS144" s="434"/>
      <c r="BT144" s="434"/>
      <c r="BU144" s="434"/>
      <c r="BV144" s="434"/>
      <c r="BW144" s="434"/>
      <c r="BX144" s="434"/>
      <c r="BY144" s="434"/>
      <c r="BZ144" s="434"/>
      <c r="CA144" s="434"/>
      <c r="CB144" s="434"/>
      <c r="CC144" s="434"/>
      <c r="CD144" s="434"/>
      <c r="CE144" s="434"/>
      <c r="CF144" s="435"/>
      <c r="CG144" s="108"/>
      <c r="CH144" s="108"/>
    </row>
    <row r="145" spans="1:86" ht="15" customHeight="1" x14ac:dyDescent="0.25">
      <c r="A145" s="412"/>
      <c r="B145" s="413"/>
      <c r="C145" s="413"/>
      <c r="D145" s="413"/>
      <c r="E145" s="413"/>
      <c r="F145" s="413"/>
      <c r="G145" s="414"/>
      <c r="H145" s="412"/>
      <c r="I145" s="413"/>
      <c r="J145" s="413"/>
      <c r="K145" s="413"/>
      <c r="L145" s="413"/>
      <c r="M145" s="413"/>
      <c r="N145" s="414"/>
      <c r="O145" s="412"/>
      <c r="P145" s="413"/>
      <c r="Q145" s="413"/>
      <c r="R145" s="413"/>
      <c r="S145" s="413"/>
      <c r="T145" s="413"/>
      <c r="U145" s="414"/>
      <c r="V145" s="412"/>
      <c r="W145" s="413"/>
      <c r="X145" s="413"/>
      <c r="Y145" s="413"/>
      <c r="Z145" s="413"/>
      <c r="AA145" s="413"/>
      <c r="AB145" s="414"/>
      <c r="AC145" s="412"/>
      <c r="AD145" s="413"/>
      <c r="AE145" s="413"/>
      <c r="AF145" s="413"/>
      <c r="AG145" s="413"/>
      <c r="AH145" s="413"/>
      <c r="AI145" s="414"/>
      <c r="AJ145" s="412"/>
      <c r="AK145" s="413"/>
      <c r="AL145" s="413"/>
      <c r="AM145" s="413"/>
      <c r="AN145" s="413"/>
      <c r="AO145" s="413"/>
      <c r="AP145" s="414"/>
      <c r="AQ145" s="412"/>
      <c r="AR145" s="413"/>
      <c r="AS145" s="413"/>
      <c r="AT145" s="413"/>
      <c r="AU145" s="413"/>
      <c r="AV145" s="413"/>
      <c r="AW145" s="414"/>
      <c r="AX145" s="412"/>
      <c r="AY145" s="413"/>
      <c r="AZ145" s="413"/>
      <c r="BA145" s="413"/>
      <c r="BB145" s="413"/>
      <c r="BC145" s="413"/>
      <c r="BD145" s="414"/>
      <c r="BE145" s="412"/>
      <c r="BF145" s="413"/>
      <c r="BG145" s="413"/>
      <c r="BH145" s="413"/>
      <c r="BI145" s="413"/>
      <c r="BJ145" s="413"/>
      <c r="BK145" s="414"/>
      <c r="BL145" s="412"/>
      <c r="BM145" s="413"/>
      <c r="BN145" s="413"/>
      <c r="BO145" s="413"/>
      <c r="BP145" s="413"/>
      <c r="BQ145" s="413"/>
      <c r="BR145" s="414"/>
      <c r="BS145" s="412"/>
      <c r="BT145" s="413"/>
      <c r="BU145" s="413"/>
      <c r="BV145" s="413"/>
      <c r="BW145" s="413"/>
      <c r="BX145" s="413"/>
      <c r="BY145" s="414"/>
      <c r="BZ145" s="412"/>
      <c r="CA145" s="413"/>
      <c r="CB145" s="413"/>
      <c r="CC145" s="413"/>
      <c r="CD145" s="413"/>
      <c r="CE145" s="413"/>
      <c r="CF145" s="414"/>
      <c r="CG145" s="108"/>
      <c r="CH145" s="108"/>
    </row>
    <row r="146" spans="1:86" ht="15" customHeight="1" x14ac:dyDescent="0.25">
      <c r="A146" s="415"/>
      <c r="B146" s="416"/>
      <c r="C146" s="416"/>
      <c r="D146" s="416"/>
      <c r="E146" s="416"/>
      <c r="F146" s="416"/>
      <c r="G146" s="417"/>
      <c r="H146" s="415"/>
      <c r="I146" s="416"/>
      <c r="J146" s="416"/>
      <c r="K146" s="416"/>
      <c r="L146" s="416"/>
      <c r="M146" s="416"/>
      <c r="N146" s="417"/>
      <c r="O146" s="415"/>
      <c r="P146" s="416"/>
      <c r="Q146" s="416"/>
      <c r="R146" s="416"/>
      <c r="S146" s="416"/>
      <c r="T146" s="416"/>
      <c r="U146" s="417"/>
      <c r="V146" s="415"/>
      <c r="W146" s="416"/>
      <c r="X146" s="416"/>
      <c r="Y146" s="416"/>
      <c r="Z146" s="416"/>
      <c r="AA146" s="416"/>
      <c r="AB146" s="417"/>
      <c r="AC146" s="415"/>
      <c r="AD146" s="416"/>
      <c r="AE146" s="416"/>
      <c r="AF146" s="416"/>
      <c r="AG146" s="416"/>
      <c r="AH146" s="416"/>
      <c r="AI146" s="417"/>
      <c r="AJ146" s="415"/>
      <c r="AK146" s="416"/>
      <c r="AL146" s="416"/>
      <c r="AM146" s="416"/>
      <c r="AN146" s="416"/>
      <c r="AO146" s="416"/>
      <c r="AP146" s="417"/>
      <c r="AQ146" s="415"/>
      <c r="AR146" s="416"/>
      <c r="AS146" s="416"/>
      <c r="AT146" s="416"/>
      <c r="AU146" s="416"/>
      <c r="AV146" s="416"/>
      <c r="AW146" s="417"/>
      <c r="AX146" s="415"/>
      <c r="AY146" s="416"/>
      <c r="AZ146" s="416"/>
      <c r="BA146" s="416"/>
      <c r="BB146" s="416"/>
      <c r="BC146" s="416"/>
      <c r="BD146" s="417"/>
      <c r="BE146" s="415"/>
      <c r="BF146" s="416"/>
      <c r="BG146" s="416"/>
      <c r="BH146" s="416"/>
      <c r="BI146" s="416"/>
      <c r="BJ146" s="416"/>
      <c r="BK146" s="417"/>
      <c r="BL146" s="415"/>
      <c r="BM146" s="416"/>
      <c r="BN146" s="416"/>
      <c r="BO146" s="416"/>
      <c r="BP146" s="416"/>
      <c r="BQ146" s="416"/>
      <c r="BR146" s="417"/>
      <c r="BS146" s="415"/>
      <c r="BT146" s="416"/>
      <c r="BU146" s="416"/>
      <c r="BV146" s="416"/>
      <c r="BW146" s="416"/>
      <c r="BX146" s="416"/>
      <c r="BY146" s="417"/>
      <c r="BZ146" s="415"/>
      <c r="CA146" s="416"/>
      <c r="CB146" s="416"/>
      <c r="CC146" s="416"/>
      <c r="CD146" s="416"/>
      <c r="CE146" s="416"/>
      <c r="CF146" s="417"/>
      <c r="CG146" s="108"/>
      <c r="CH146" s="108"/>
    </row>
    <row r="147" spans="1:86" ht="15.75" customHeight="1" thickBot="1" x14ac:dyDescent="0.3">
      <c r="A147" s="418"/>
      <c r="B147" s="419"/>
      <c r="C147" s="419"/>
      <c r="D147" s="419"/>
      <c r="E147" s="419"/>
      <c r="F147" s="419"/>
      <c r="G147" s="420"/>
      <c r="H147" s="418"/>
      <c r="I147" s="419"/>
      <c r="J147" s="419"/>
      <c r="K147" s="419"/>
      <c r="L147" s="419"/>
      <c r="M147" s="419"/>
      <c r="N147" s="420"/>
      <c r="O147" s="418"/>
      <c r="P147" s="419"/>
      <c r="Q147" s="419"/>
      <c r="R147" s="419"/>
      <c r="S147" s="419"/>
      <c r="T147" s="419"/>
      <c r="U147" s="420"/>
      <c r="V147" s="418"/>
      <c r="W147" s="419"/>
      <c r="X147" s="419"/>
      <c r="Y147" s="419"/>
      <c r="Z147" s="419"/>
      <c r="AA147" s="419"/>
      <c r="AB147" s="420"/>
      <c r="AC147" s="418"/>
      <c r="AD147" s="419"/>
      <c r="AE147" s="419"/>
      <c r="AF147" s="419"/>
      <c r="AG147" s="419"/>
      <c r="AH147" s="419"/>
      <c r="AI147" s="420"/>
      <c r="AJ147" s="418"/>
      <c r="AK147" s="419"/>
      <c r="AL147" s="419"/>
      <c r="AM147" s="419"/>
      <c r="AN147" s="419"/>
      <c r="AO147" s="419"/>
      <c r="AP147" s="420"/>
      <c r="AQ147" s="418"/>
      <c r="AR147" s="419"/>
      <c r="AS147" s="419"/>
      <c r="AT147" s="419"/>
      <c r="AU147" s="419"/>
      <c r="AV147" s="419"/>
      <c r="AW147" s="420"/>
      <c r="AX147" s="418"/>
      <c r="AY147" s="419"/>
      <c r="AZ147" s="419"/>
      <c r="BA147" s="419"/>
      <c r="BB147" s="419"/>
      <c r="BC147" s="419"/>
      <c r="BD147" s="420"/>
      <c r="BE147" s="418"/>
      <c r="BF147" s="419"/>
      <c r="BG147" s="419"/>
      <c r="BH147" s="419"/>
      <c r="BI147" s="419"/>
      <c r="BJ147" s="419"/>
      <c r="BK147" s="420"/>
      <c r="BL147" s="418"/>
      <c r="BM147" s="419"/>
      <c r="BN147" s="419"/>
      <c r="BO147" s="419"/>
      <c r="BP147" s="419"/>
      <c r="BQ147" s="419"/>
      <c r="BR147" s="420"/>
      <c r="BS147" s="418"/>
      <c r="BT147" s="419"/>
      <c r="BU147" s="419"/>
      <c r="BV147" s="419"/>
      <c r="BW147" s="419"/>
      <c r="BX147" s="419"/>
      <c r="BY147" s="420"/>
      <c r="BZ147" s="418"/>
      <c r="CA147" s="419"/>
      <c r="CB147" s="419"/>
      <c r="CC147" s="419"/>
      <c r="CD147" s="419"/>
      <c r="CE147" s="419"/>
      <c r="CF147" s="420"/>
      <c r="CG147" s="108"/>
      <c r="CH147" s="108"/>
    </row>
    <row r="148" spans="1:86" x14ac:dyDescent="0.25">
      <c r="A148" s="108"/>
      <c r="B148" s="108"/>
      <c r="C148" s="108"/>
      <c r="D148" s="108"/>
      <c r="E148" s="108"/>
      <c r="F148" s="154"/>
      <c r="G148" s="154"/>
      <c r="H148" s="108"/>
      <c r="I148" s="108"/>
      <c r="J148" s="108"/>
      <c r="K148" s="108"/>
      <c r="L148" s="108"/>
      <c r="M148" s="108"/>
      <c r="N148" s="108"/>
      <c r="O148" s="108"/>
      <c r="P148" s="108"/>
      <c r="Q148" s="108"/>
      <c r="R148" s="108"/>
      <c r="S148" s="108"/>
      <c r="T148" s="108"/>
      <c r="U148" s="108"/>
      <c r="V148" s="108"/>
      <c r="W148" s="108"/>
      <c r="X148" s="108"/>
      <c r="Y148" s="108"/>
      <c r="Z148" s="108"/>
      <c r="AA148" s="108"/>
      <c r="AB148" s="108"/>
      <c r="AC148" s="108"/>
      <c r="AD148" s="108"/>
      <c r="AE148" s="108"/>
      <c r="AF148" s="108"/>
      <c r="AG148" s="108"/>
      <c r="AH148" s="108"/>
      <c r="AI148" s="108"/>
      <c r="AJ148" s="108"/>
      <c r="AK148" s="108"/>
      <c r="AL148" s="108"/>
      <c r="AM148" s="108"/>
      <c r="AN148" s="108"/>
      <c r="AO148" s="108"/>
      <c r="AP148" s="108"/>
      <c r="AQ148" s="108"/>
      <c r="AR148" s="108"/>
      <c r="AS148" s="108"/>
      <c r="AT148" s="108"/>
      <c r="AU148" s="108"/>
      <c r="AV148" s="108"/>
      <c r="AW148" s="108"/>
      <c r="AX148" s="108"/>
      <c r="AY148" s="108"/>
      <c r="AZ148" s="108"/>
      <c r="BA148" s="108"/>
      <c r="BB148" s="108"/>
      <c r="BC148" s="108"/>
      <c r="BD148" s="108"/>
      <c r="BE148" s="108"/>
      <c r="BF148" s="108"/>
      <c r="BG148" s="108"/>
      <c r="BH148" s="108"/>
      <c r="BI148" s="108"/>
      <c r="BJ148" s="108"/>
      <c r="BK148" s="108"/>
      <c r="BL148" s="108"/>
      <c r="BM148" s="108"/>
      <c r="BN148" s="108"/>
      <c r="BO148" s="108"/>
      <c r="BP148" s="108"/>
      <c r="BQ148" s="108"/>
      <c r="BR148" s="108"/>
      <c r="BS148" s="108"/>
      <c r="BT148" s="108"/>
      <c r="BU148" s="108"/>
      <c r="BV148" s="108"/>
      <c r="BW148" s="108"/>
      <c r="BX148" s="108"/>
      <c r="BY148" s="108"/>
      <c r="BZ148" s="108"/>
      <c r="CA148" s="108"/>
      <c r="CB148" s="108"/>
      <c r="CC148" s="108"/>
      <c r="CD148" s="108"/>
      <c r="CE148" s="108"/>
      <c r="CF148" s="108"/>
      <c r="CG148" s="108"/>
      <c r="CH148" s="108"/>
    </row>
    <row r="149" spans="1:86" x14ac:dyDescent="0.2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c r="AA149" s="108"/>
      <c r="AB149" s="108"/>
      <c r="AC149" s="108"/>
      <c r="AD149" s="108"/>
      <c r="AE149" s="108"/>
      <c r="AF149" s="108"/>
      <c r="AG149" s="108"/>
      <c r="AH149" s="108"/>
      <c r="AI149" s="108"/>
      <c r="AJ149" s="108"/>
      <c r="AK149" s="108"/>
      <c r="AL149" s="108"/>
      <c r="AM149" s="108"/>
      <c r="AN149" s="108"/>
      <c r="AO149" s="108"/>
      <c r="AP149" s="108"/>
      <c r="AQ149" s="108"/>
      <c r="AR149" s="108"/>
      <c r="AS149" s="108"/>
      <c r="AT149" s="108"/>
      <c r="AU149" s="108"/>
      <c r="AV149" s="108"/>
      <c r="AW149" s="108"/>
      <c r="AX149" s="108"/>
      <c r="AY149" s="108"/>
      <c r="AZ149" s="108"/>
      <c r="BA149" s="108"/>
      <c r="BB149" s="108"/>
      <c r="BC149" s="108"/>
      <c r="BD149" s="108"/>
      <c r="BE149" s="108"/>
      <c r="BF149" s="108"/>
      <c r="BG149" s="108"/>
      <c r="BH149" s="108"/>
      <c r="BI149" s="108"/>
      <c r="BJ149" s="108"/>
      <c r="BK149" s="108"/>
      <c r="BL149" s="108"/>
      <c r="BM149" s="108"/>
      <c r="BN149" s="108"/>
      <c r="BO149" s="108"/>
      <c r="BP149" s="108"/>
      <c r="BQ149" s="108"/>
      <c r="BR149" s="108"/>
      <c r="BS149" s="108"/>
      <c r="BT149" s="108"/>
      <c r="BU149" s="108"/>
      <c r="BV149" s="108"/>
      <c r="BW149" s="108"/>
      <c r="BX149" s="108"/>
      <c r="BY149" s="108"/>
      <c r="BZ149" s="108"/>
      <c r="CA149" s="108"/>
      <c r="CB149" s="108"/>
      <c r="CC149" s="108"/>
      <c r="CD149" s="108"/>
      <c r="CE149" s="108"/>
      <c r="CF149" s="108"/>
      <c r="CG149" s="108"/>
      <c r="CH149" s="108"/>
    </row>
    <row r="150" spans="1:86" x14ac:dyDescent="0.25">
      <c r="A150" s="151"/>
      <c r="B150" s="152"/>
      <c r="C150" s="151"/>
      <c r="D150" s="151"/>
      <c r="E150" s="151"/>
      <c r="F150" s="151"/>
      <c r="G150" s="151"/>
      <c r="H150" s="151"/>
      <c r="I150" s="152"/>
      <c r="J150" s="151"/>
      <c r="K150" s="151"/>
      <c r="L150" s="151"/>
      <c r="M150" s="151"/>
      <c r="N150" s="152"/>
      <c r="O150" s="151"/>
      <c r="P150" s="151"/>
      <c r="Q150" s="151"/>
      <c r="R150" s="151"/>
      <c r="S150" s="152"/>
      <c r="T150" s="151"/>
      <c r="U150" s="151"/>
      <c r="V150" s="151"/>
      <c r="W150" s="151"/>
      <c r="X150" s="152"/>
      <c r="Y150" s="151"/>
      <c r="Z150" s="151"/>
      <c r="AA150" s="151"/>
      <c r="AB150" s="151"/>
      <c r="AC150" s="152"/>
      <c r="AD150" s="151"/>
      <c r="AE150" s="151"/>
      <c r="AF150" s="151"/>
      <c r="AG150" s="151"/>
      <c r="AH150" s="152"/>
      <c r="AI150" s="151"/>
      <c r="AJ150" s="151"/>
      <c r="AK150" s="151"/>
      <c r="AL150" s="151"/>
      <c r="AM150" s="152"/>
      <c r="AN150" s="151"/>
      <c r="AO150" s="151"/>
      <c r="AP150" s="151"/>
      <c r="AQ150" s="151"/>
      <c r="AR150" s="152"/>
      <c r="AS150" s="151"/>
      <c r="AT150" s="151"/>
      <c r="AU150" s="151"/>
      <c r="AV150" s="151"/>
      <c r="AW150" s="152"/>
      <c r="AX150" s="151"/>
      <c r="AY150" s="151"/>
      <c r="AZ150" s="151"/>
      <c r="BA150" s="151"/>
      <c r="BB150" s="152"/>
      <c r="BC150" s="151"/>
      <c r="BD150" s="151"/>
      <c r="BE150" s="151"/>
      <c r="BF150" s="151"/>
      <c r="BG150" s="152"/>
      <c r="BH150" s="151"/>
      <c r="BI150" s="151"/>
      <c r="BJ150" s="151"/>
      <c r="BK150" s="108"/>
      <c r="BL150" s="108"/>
      <c r="BM150" s="108"/>
      <c r="BN150" s="108"/>
      <c r="BO150" s="108"/>
      <c r="BP150" s="108"/>
      <c r="BQ150" s="108"/>
      <c r="BR150" s="108"/>
      <c r="BS150" s="108"/>
      <c r="BT150" s="108"/>
      <c r="BU150" s="108"/>
      <c r="BV150" s="108"/>
      <c r="BW150" s="108"/>
      <c r="BX150" s="108"/>
      <c r="BY150" s="108"/>
      <c r="BZ150" s="108"/>
      <c r="CA150" s="108"/>
      <c r="CB150" s="108"/>
      <c r="CC150" s="108"/>
      <c r="CD150" s="108"/>
      <c r="CE150" s="108"/>
      <c r="CF150" s="108"/>
      <c r="CG150" s="108"/>
      <c r="CH150" s="108"/>
    </row>
    <row r="151" spans="1:86" x14ac:dyDescent="0.25">
      <c r="A151" s="151"/>
      <c r="B151" s="152"/>
      <c r="C151" s="151"/>
      <c r="D151" s="151"/>
      <c r="E151" s="151"/>
      <c r="F151" s="151"/>
      <c r="G151" s="151"/>
      <c r="H151" s="151"/>
      <c r="I151" s="152"/>
      <c r="J151" s="151"/>
      <c r="K151" s="151"/>
      <c r="L151" s="151"/>
      <c r="M151" s="151"/>
      <c r="N151" s="152"/>
      <c r="O151" s="151"/>
      <c r="P151" s="151"/>
      <c r="Q151" s="151"/>
      <c r="R151" s="151"/>
      <c r="S151" s="152"/>
      <c r="T151" s="151"/>
      <c r="U151" s="151"/>
      <c r="V151" s="151"/>
      <c r="W151" s="151"/>
      <c r="X151" s="152"/>
      <c r="Y151" s="151"/>
      <c r="Z151" s="151"/>
      <c r="AA151" s="151"/>
      <c r="AB151" s="151"/>
      <c r="AC151" s="152"/>
      <c r="AD151" s="151"/>
      <c r="AE151" s="151"/>
      <c r="AF151" s="151"/>
      <c r="AG151" s="151"/>
      <c r="AH151" s="152"/>
      <c r="AI151" s="151"/>
      <c r="AJ151" s="151"/>
      <c r="AK151" s="151"/>
      <c r="AL151" s="151"/>
      <c r="AM151" s="152"/>
      <c r="AN151" s="151"/>
      <c r="AO151" s="151"/>
      <c r="AP151" s="151"/>
      <c r="AQ151" s="151"/>
      <c r="AR151" s="152"/>
      <c r="AS151" s="151"/>
      <c r="AT151" s="151"/>
      <c r="AU151" s="151"/>
      <c r="AV151" s="151"/>
      <c r="AW151" s="152"/>
      <c r="AX151" s="151"/>
      <c r="AY151" s="151"/>
      <c r="AZ151" s="151"/>
      <c r="BA151" s="151"/>
      <c r="BB151" s="152"/>
      <c r="BC151" s="151"/>
      <c r="BD151" s="151"/>
      <c r="BE151" s="151"/>
      <c r="BF151" s="151"/>
      <c r="BG151" s="152"/>
      <c r="BH151" s="151"/>
      <c r="BI151" s="151"/>
      <c r="BJ151" s="151"/>
      <c r="BK151" s="108"/>
      <c r="BL151" s="108"/>
      <c r="BM151" s="108"/>
      <c r="BN151" s="108"/>
      <c r="BO151" s="108"/>
      <c r="BP151" s="108"/>
      <c r="BQ151" s="108"/>
      <c r="BR151" s="108"/>
      <c r="BS151" s="108"/>
      <c r="BT151" s="108"/>
      <c r="BU151" s="108"/>
      <c r="BV151" s="108"/>
      <c r="BW151" s="108"/>
      <c r="BX151" s="108"/>
      <c r="BY151" s="108"/>
      <c r="BZ151" s="108"/>
      <c r="CA151" s="108"/>
      <c r="CB151" s="108"/>
      <c r="CC151" s="108"/>
      <c r="CD151" s="108"/>
      <c r="CE151" s="108"/>
      <c r="CF151" s="108"/>
      <c r="CG151" s="108"/>
      <c r="CH151" s="108"/>
    </row>
    <row r="152" spans="1:86" x14ac:dyDescent="0.25">
      <c r="A152" s="151"/>
      <c r="B152" s="152"/>
      <c r="C152" s="151"/>
      <c r="D152" s="151"/>
      <c r="E152" s="151"/>
      <c r="F152" s="151"/>
      <c r="G152" s="151"/>
      <c r="H152" s="151"/>
      <c r="I152" s="152"/>
      <c r="J152" s="151"/>
      <c r="K152" s="151"/>
      <c r="L152" s="151"/>
      <c r="M152" s="151"/>
      <c r="N152" s="152"/>
      <c r="O152" s="151"/>
      <c r="P152" s="151"/>
      <c r="Q152" s="151"/>
      <c r="R152" s="151"/>
      <c r="S152" s="152"/>
      <c r="T152" s="151"/>
      <c r="U152" s="151"/>
      <c r="V152" s="151"/>
      <c r="W152" s="151"/>
      <c r="X152" s="152"/>
      <c r="Y152" s="151"/>
      <c r="Z152" s="151"/>
      <c r="AA152" s="151"/>
      <c r="AB152" s="151"/>
      <c r="AC152" s="152"/>
      <c r="AD152" s="151"/>
      <c r="AE152" s="151"/>
      <c r="AF152" s="151"/>
      <c r="AG152" s="151"/>
      <c r="AH152" s="152"/>
      <c r="AI152" s="151"/>
      <c r="AJ152" s="151"/>
      <c r="AK152" s="151"/>
      <c r="AL152" s="151"/>
      <c r="AM152" s="152"/>
      <c r="AN152" s="151"/>
      <c r="AO152" s="151"/>
      <c r="AP152" s="151"/>
      <c r="AQ152" s="151"/>
      <c r="AR152" s="152"/>
      <c r="AS152" s="151"/>
      <c r="AT152" s="151"/>
      <c r="AU152" s="151"/>
      <c r="AV152" s="151"/>
      <c r="AW152" s="152"/>
      <c r="AX152" s="151"/>
      <c r="AY152" s="151"/>
      <c r="AZ152" s="151"/>
      <c r="BA152" s="151"/>
      <c r="BB152" s="152"/>
      <c r="BC152" s="151"/>
      <c r="BD152" s="151"/>
      <c r="BE152" s="151"/>
      <c r="BF152" s="151"/>
      <c r="BG152" s="152"/>
      <c r="BH152" s="151"/>
      <c r="BI152" s="151"/>
      <c r="BJ152" s="151"/>
      <c r="BK152" s="108"/>
      <c r="BL152" s="108"/>
      <c r="BM152" s="108"/>
      <c r="BN152" s="108"/>
      <c r="BO152" s="108"/>
      <c r="BP152" s="108"/>
      <c r="BQ152" s="108"/>
      <c r="BR152" s="108"/>
      <c r="BS152" s="108"/>
      <c r="BT152" s="108"/>
      <c r="BU152" s="108"/>
      <c r="BV152" s="108"/>
      <c r="BW152" s="108"/>
      <c r="BX152" s="108"/>
      <c r="BY152" s="108"/>
      <c r="BZ152" s="108"/>
      <c r="CA152" s="108"/>
      <c r="CB152" s="108"/>
      <c r="CC152" s="108"/>
      <c r="CD152" s="108"/>
      <c r="CE152" s="108"/>
      <c r="CF152" s="108"/>
      <c r="CG152" s="108"/>
      <c r="CH152" s="108"/>
    </row>
    <row r="153" spans="1:86" x14ac:dyDescent="0.25">
      <c r="A153" s="151"/>
      <c r="B153" s="152"/>
      <c r="C153" s="151"/>
      <c r="D153" s="151"/>
      <c r="E153" s="151"/>
      <c r="F153" s="151"/>
      <c r="G153" s="151"/>
      <c r="H153" s="151"/>
      <c r="I153" s="152"/>
      <c r="J153" s="151"/>
      <c r="K153" s="151"/>
      <c r="L153" s="151"/>
      <c r="M153" s="151"/>
      <c r="N153" s="152"/>
      <c r="O153" s="151"/>
      <c r="P153" s="151"/>
      <c r="Q153" s="151"/>
      <c r="R153" s="151"/>
      <c r="S153" s="152"/>
      <c r="T153" s="151"/>
      <c r="U153" s="151"/>
      <c r="V153" s="151"/>
      <c r="W153" s="151"/>
      <c r="X153" s="152"/>
      <c r="Y153" s="151"/>
      <c r="Z153" s="151"/>
      <c r="AA153" s="151"/>
      <c r="AB153" s="151"/>
      <c r="AC153" s="152"/>
      <c r="AD153" s="151"/>
      <c r="AE153" s="151"/>
      <c r="AF153" s="151"/>
      <c r="AG153" s="151"/>
      <c r="AH153" s="152"/>
      <c r="AI153" s="151"/>
      <c r="AJ153" s="151"/>
      <c r="AK153" s="151"/>
      <c r="AL153" s="151"/>
      <c r="AM153" s="152"/>
      <c r="AN153" s="151"/>
      <c r="AO153" s="151"/>
      <c r="AP153" s="151"/>
      <c r="AQ153" s="151"/>
      <c r="AR153" s="152"/>
      <c r="AS153" s="151"/>
      <c r="AT153" s="151"/>
      <c r="AU153" s="151"/>
      <c r="AV153" s="151"/>
      <c r="AW153" s="152"/>
      <c r="AX153" s="151"/>
      <c r="AY153" s="151"/>
      <c r="AZ153" s="151"/>
      <c r="BA153" s="151"/>
      <c r="BB153" s="152"/>
      <c r="BC153" s="151"/>
      <c r="BD153" s="151"/>
      <c r="BE153" s="151"/>
      <c r="BF153" s="151"/>
      <c r="BG153" s="152"/>
      <c r="BH153" s="151"/>
      <c r="BI153" s="151"/>
      <c r="BJ153" s="151"/>
      <c r="BK153" s="108"/>
      <c r="BL153" s="108"/>
      <c r="BM153" s="108"/>
      <c r="BN153" s="108"/>
      <c r="BO153" s="108"/>
      <c r="BP153" s="108"/>
      <c r="BQ153" s="108"/>
      <c r="BR153" s="108"/>
      <c r="BS153" s="108"/>
      <c r="BT153" s="108"/>
      <c r="BU153" s="108"/>
      <c r="BV153" s="108"/>
      <c r="BW153" s="108"/>
      <c r="BX153" s="108"/>
      <c r="BY153" s="108"/>
      <c r="BZ153" s="108"/>
      <c r="CA153" s="108"/>
      <c r="CB153" s="108"/>
      <c r="CC153" s="108"/>
      <c r="CD153" s="108"/>
      <c r="CE153" s="108"/>
      <c r="CF153" s="108"/>
      <c r="CG153" s="108"/>
      <c r="CH153" s="108"/>
    </row>
    <row r="154" spans="1:86" x14ac:dyDescent="0.25">
      <c r="A154" s="151"/>
      <c r="B154" s="152"/>
      <c r="C154" s="151"/>
      <c r="D154" s="151"/>
      <c r="E154" s="151"/>
      <c r="F154" s="151"/>
      <c r="G154" s="151"/>
      <c r="H154" s="151"/>
      <c r="I154" s="152"/>
      <c r="J154" s="151"/>
      <c r="K154" s="151"/>
      <c r="L154" s="151"/>
      <c r="M154" s="151"/>
      <c r="N154" s="152"/>
      <c r="O154" s="151"/>
      <c r="P154" s="151"/>
      <c r="Q154" s="151"/>
      <c r="R154" s="151"/>
      <c r="S154" s="152"/>
      <c r="T154" s="151"/>
      <c r="U154" s="151"/>
      <c r="V154" s="151"/>
      <c r="W154" s="151"/>
      <c r="X154" s="152"/>
      <c r="Y154" s="151"/>
      <c r="Z154" s="151"/>
      <c r="AA154" s="151"/>
      <c r="AB154" s="151"/>
      <c r="AC154" s="152"/>
      <c r="AD154" s="151"/>
      <c r="AE154" s="151"/>
      <c r="AF154" s="151"/>
      <c r="AG154" s="151"/>
      <c r="AH154" s="152"/>
      <c r="AI154" s="151"/>
      <c r="AJ154" s="151"/>
      <c r="AK154" s="151"/>
      <c r="AL154" s="151"/>
      <c r="AM154" s="152"/>
      <c r="AN154" s="151"/>
      <c r="AO154" s="151"/>
      <c r="AP154" s="151"/>
      <c r="AQ154" s="151"/>
      <c r="AR154" s="152"/>
      <c r="AS154" s="151"/>
      <c r="AT154" s="151"/>
      <c r="AU154" s="151"/>
      <c r="AV154" s="151"/>
      <c r="AW154" s="152"/>
      <c r="AX154" s="151"/>
      <c r="AY154" s="151"/>
      <c r="AZ154" s="151"/>
      <c r="BA154" s="151"/>
      <c r="BB154" s="152"/>
      <c r="BC154" s="151"/>
      <c r="BD154" s="151"/>
      <c r="BE154" s="151"/>
      <c r="BF154" s="151"/>
      <c r="BG154" s="152"/>
      <c r="BH154" s="151"/>
      <c r="BI154" s="151"/>
      <c r="BJ154" s="151"/>
      <c r="BK154" s="108"/>
      <c r="BL154" s="108"/>
      <c r="BM154" s="108"/>
      <c r="BN154" s="108"/>
      <c r="BO154" s="108"/>
      <c r="BP154" s="108"/>
      <c r="BQ154" s="108"/>
      <c r="BR154" s="108"/>
      <c r="BS154" s="108"/>
      <c r="BT154" s="108"/>
      <c r="BU154" s="108"/>
      <c r="BV154" s="108"/>
      <c r="BW154" s="108"/>
      <c r="BX154" s="108"/>
      <c r="BY154" s="108"/>
      <c r="BZ154" s="108"/>
      <c r="CA154" s="108"/>
      <c r="CB154" s="108"/>
      <c r="CC154" s="108"/>
      <c r="CD154" s="108"/>
      <c r="CE154" s="108"/>
      <c r="CF154" s="108"/>
      <c r="CG154" s="108"/>
      <c r="CH154" s="108"/>
    </row>
    <row r="155" spans="1:86" x14ac:dyDescent="0.25">
      <c r="A155" s="199"/>
      <c r="B155" s="136"/>
      <c r="C155" s="199"/>
      <c r="D155" s="199"/>
      <c r="E155" s="199"/>
      <c r="F155" s="199"/>
      <c r="G155" s="199"/>
      <c r="H155" s="199"/>
      <c r="I155" s="136"/>
      <c r="J155" s="199"/>
      <c r="K155" s="199"/>
      <c r="L155" s="199"/>
      <c r="M155" s="199"/>
      <c r="N155" s="136"/>
      <c r="O155" s="199"/>
      <c r="P155" s="199"/>
      <c r="Q155" s="199"/>
      <c r="R155" s="199"/>
      <c r="S155" s="136"/>
      <c r="T155" s="199"/>
      <c r="U155" s="199"/>
      <c r="V155" s="199"/>
      <c r="W155" s="199"/>
      <c r="X155" s="136"/>
      <c r="Y155" s="199"/>
      <c r="Z155" s="199"/>
      <c r="AA155" s="199"/>
      <c r="AB155" s="199"/>
      <c r="AC155" s="136"/>
      <c r="AD155" s="199"/>
      <c r="AE155" s="199"/>
      <c r="AF155" s="199"/>
      <c r="AG155" s="199"/>
      <c r="AH155" s="136"/>
      <c r="AI155" s="199"/>
      <c r="AJ155" s="199"/>
      <c r="AK155" s="199"/>
      <c r="AL155" s="199"/>
      <c r="AM155" s="136"/>
      <c r="AN155" s="199"/>
      <c r="AO155" s="199"/>
      <c r="AP155" s="199"/>
      <c r="AQ155" s="199"/>
      <c r="AR155" s="136"/>
      <c r="AS155" s="199"/>
      <c r="AT155" s="199"/>
      <c r="AU155" s="199"/>
      <c r="AV155" s="199"/>
      <c r="AW155" s="136"/>
      <c r="AX155" s="199"/>
      <c r="AY155" s="199"/>
      <c r="AZ155" s="199"/>
      <c r="BA155" s="199"/>
      <c r="BB155" s="136"/>
      <c r="BC155" s="199"/>
      <c r="BD155" s="199"/>
      <c r="BE155" s="199"/>
      <c r="BF155" s="199"/>
      <c r="BG155" s="136"/>
      <c r="BH155" s="199"/>
      <c r="BI155" s="199"/>
      <c r="BJ155" s="199"/>
    </row>
    <row r="156" spans="1:86" x14ac:dyDescent="0.25">
      <c r="A156" s="199"/>
      <c r="B156" s="136"/>
      <c r="C156" s="199"/>
      <c r="D156" s="199"/>
      <c r="E156" s="199"/>
      <c r="F156" s="199"/>
      <c r="G156" s="199"/>
      <c r="H156" s="199"/>
      <c r="I156" s="136"/>
      <c r="J156" s="199"/>
      <c r="K156" s="199"/>
      <c r="L156" s="199"/>
      <c r="M156" s="199"/>
      <c r="N156" s="136"/>
      <c r="O156" s="199"/>
      <c r="P156" s="199"/>
      <c r="Q156" s="199"/>
      <c r="R156" s="199"/>
      <c r="S156" s="136"/>
      <c r="T156" s="199"/>
      <c r="U156" s="199"/>
      <c r="V156" s="199"/>
      <c r="W156" s="199"/>
      <c r="X156" s="136"/>
      <c r="Y156" s="199"/>
      <c r="Z156" s="199"/>
      <c r="AA156" s="199"/>
      <c r="AB156" s="199"/>
      <c r="AC156" s="136"/>
      <c r="AD156" s="199"/>
      <c r="AE156" s="199"/>
      <c r="AF156" s="199"/>
      <c r="AG156" s="199"/>
      <c r="AH156" s="136"/>
      <c r="AI156" s="199"/>
      <c r="AJ156" s="199"/>
      <c r="AK156" s="199"/>
      <c r="AL156" s="199"/>
      <c r="AM156" s="136"/>
      <c r="AN156" s="199"/>
      <c r="AO156" s="199"/>
      <c r="AP156" s="199"/>
      <c r="AQ156" s="199"/>
      <c r="AR156" s="136"/>
      <c r="AS156" s="199"/>
      <c r="AT156" s="199"/>
      <c r="AU156" s="199"/>
      <c r="AV156" s="199"/>
      <c r="AW156" s="136"/>
      <c r="AX156" s="199"/>
      <c r="AY156" s="199"/>
      <c r="AZ156" s="199"/>
      <c r="BA156" s="199"/>
      <c r="BB156" s="136"/>
      <c r="BC156" s="199"/>
      <c r="BD156" s="199"/>
      <c r="BE156" s="199"/>
      <c r="BF156" s="199"/>
      <c r="BG156" s="136"/>
      <c r="BH156" s="199"/>
      <c r="BI156" s="199"/>
      <c r="BJ156" s="199"/>
    </row>
    <row r="157" spans="1:86" x14ac:dyDescent="0.25">
      <c r="A157" s="199"/>
      <c r="B157" s="136"/>
      <c r="C157" s="199"/>
      <c r="D157" s="199"/>
      <c r="E157" s="199"/>
      <c r="F157" s="199"/>
      <c r="G157" s="199"/>
      <c r="H157" s="199"/>
      <c r="I157" s="136"/>
      <c r="J157" s="199"/>
      <c r="K157" s="199"/>
      <c r="L157" s="199"/>
      <c r="M157" s="199"/>
      <c r="N157" s="136"/>
      <c r="O157" s="199"/>
      <c r="P157" s="199"/>
      <c r="Q157" s="199"/>
      <c r="R157" s="199"/>
      <c r="S157" s="136"/>
      <c r="T157" s="199"/>
      <c r="U157" s="199"/>
      <c r="V157" s="199"/>
      <c r="W157" s="199"/>
      <c r="X157" s="136"/>
      <c r="Y157" s="199"/>
      <c r="Z157" s="199"/>
      <c r="AA157" s="199"/>
      <c r="AB157" s="199"/>
      <c r="AC157" s="136"/>
      <c r="AD157" s="199"/>
      <c r="AE157" s="199"/>
      <c r="AF157" s="199"/>
      <c r="AG157" s="199"/>
      <c r="AH157" s="136"/>
      <c r="AI157" s="199"/>
      <c r="AJ157" s="199"/>
      <c r="AK157" s="199"/>
      <c r="AL157" s="199"/>
      <c r="AM157" s="136"/>
      <c r="AN157" s="199"/>
      <c r="AO157" s="199"/>
      <c r="AP157" s="199"/>
      <c r="AQ157" s="199"/>
      <c r="AR157" s="136"/>
      <c r="AS157" s="199"/>
      <c r="AT157" s="199"/>
      <c r="AU157" s="199"/>
      <c r="AV157" s="199"/>
      <c r="AW157" s="136"/>
      <c r="AX157" s="199"/>
      <c r="AY157" s="199"/>
      <c r="AZ157" s="199"/>
      <c r="BA157" s="199"/>
      <c r="BB157" s="136"/>
      <c r="BC157" s="199"/>
      <c r="BD157" s="199"/>
      <c r="BE157" s="199"/>
      <c r="BF157" s="199"/>
      <c r="BG157" s="136"/>
      <c r="BH157" s="199"/>
      <c r="BI157" s="199"/>
      <c r="BJ157" s="199"/>
    </row>
    <row r="161" spans="1:62" ht="36" x14ac:dyDescent="0.25">
      <c r="A161" s="169"/>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row>
    <row r="162" spans="1:62" x14ac:dyDescent="0.25">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row>
    <row r="163" spans="1:62" x14ac:dyDescent="0.25">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row>
    <row r="164" spans="1:62" ht="36" x14ac:dyDescent="0.25">
      <c r="A164" s="169"/>
      <c r="B164" s="169"/>
      <c r="C164" s="169"/>
      <c r="D164" s="169"/>
      <c r="E164" s="169"/>
      <c r="F164" s="169"/>
      <c r="G164" s="169"/>
      <c r="H164" s="169"/>
      <c r="I164" s="169"/>
      <c r="J164" s="169"/>
      <c r="K164" s="169"/>
      <c r="L164" s="169"/>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c r="AZ164" s="169"/>
      <c r="BA164" s="169"/>
      <c r="BB164" s="169"/>
      <c r="BC164" s="169"/>
      <c r="BD164" s="169"/>
      <c r="BE164" s="169"/>
      <c r="BF164" s="169"/>
      <c r="BG164" s="169"/>
      <c r="BH164" s="169"/>
      <c r="BI164" s="169"/>
      <c r="BJ164" s="169"/>
    </row>
    <row r="165" spans="1:62" ht="36" x14ac:dyDescent="0.25">
      <c r="A165" s="169"/>
      <c r="B165" s="169"/>
      <c r="C165" s="169"/>
      <c r="D165" s="169"/>
      <c r="E165" s="169"/>
      <c r="F165" s="169"/>
      <c r="G165" s="169"/>
      <c r="H165" s="169"/>
      <c r="I165" s="169"/>
      <c r="J165" s="169"/>
      <c r="K165" s="169"/>
      <c r="L165" s="169"/>
      <c r="M165" s="169"/>
      <c r="N165" s="169"/>
      <c r="O165" s="169"/>
      <c r="P165" s="169"/>
      <c r="Q165" s="169"/>
      <c r="R165" s="169"/>
      <c r="S165" s="169"/>
      <c r="T165" s="169"/>
      <c r="U165" s="169"/>
      <c r="V165" s="169"/>
      <c r="W165" s="169"/>
      <c r="X165" s="169"/>
      <c r="Y165" s="169"/>
      <c r="Z165" s="169"/>
      <c r="AA165" s="169"/>
      <c r="AB165" s="169"/>
      <c r="AC165" s="169"/>
      <c r="AD165" s="169"/>
      <c r="AE165" s="169"/>
      <c r="AF165" s="169"/>
      <c r="AG165" s="169"/>
      <c r="AH165" s="169"/>
      <c r="AI165" s="169"/>
      <c r="AJ165" s="169"/>
      <c r="AK165" s="169"/>
      <c r="AL165" s="169"/>
      <c r="AM165" s="169"/>
      <c r="AN165" s="169"/>
      <c r="AO165" s="169"/>
      <c r="AP165" s="169"/>
      <c r="AQ165" s="169"/>
      <c r="AR165" s="169"/>
      <c r="AS165" s="169"/>
      <c r="AT165" s="169"/>
      <c r="AU165" s="169"/>
      <c r="AV165" s="169"/>
      <c r="AW165" s="169"/>
      <c r="AX165" s="169"/>
      <c r="AY165" s="169"/>
      <c r="AZ165" s="169"/>
      <c r="BA165" s="169"/>
      <c r="BB165" s="169"/>
      <c r="BC165" s="169"/>
      <c r="BD165" s="169"/>
      <c r="BE165" s="169"/>
      <c r="BF165" s="169"/>
      <c r="BG165" s="169"/>
      <c r="BH165" s="169"/>
      <c r="BI165" s="169"/>
      <c r="BJ165" s="169"/>
    </row>
    <row r="166" spans="1:62" ht="36" x14ac:dyDescent="0.25">
      <c r="A166" s="169"/>
      <c r="B166" s="169"/>
      <c r="C166" s="169"/>
      <c r="D166" s="169"/>
      <c r="E166" s="169"/>
      <c r="F166" s="169"/>
      <c r="G166" s="169"/>
      <c r="H166" s="169"/>
      <c r="I166" s="169"/>
      <c r="J166" s="169"/>
      <c r="K166" s="169"/>
      <c r="L166" s="169"/>
      <c r="M166" s="169"/>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c r="AZ166" s="169"/>
      <c r="BA166" s="169"/>
      <c r="BB166" s="169"/>
      <c r="BC166" s="169"/>
      <c r="BD166" s="169"/>
      <c r="BE166" s="169"/>
      <c r="BF166" s="169"/>
      <c r="BG166" s="169"/>
      <c r="BH166" s="169"/>
      <c r="BI166" s="169"/>
      <c r="BJ166" s="169"/>
    </row>
    <row r="167" spans="1:62" x14ac:dyDescent="0.25">
      <c r="F167" s="194"/>
      <c r="G167" s="194"/>
    </row>
    <row r="169" spans="1:62" x14ac:dyDescent="0.25">
      <c r="A169" s="199"/>
      <c r="B169" s="136"/>
      <c r="C169" s="199"/>
      <c r="D169" s="199"/>
      <c r="E169" s="199"/>
      <c r="F169" s="199"/>
      <c r="G169" s="199"/>
      <c r="H169" s="199"/>
      <c r="I169" s="136"/>
      <c r="J169" s="199"/>
      <c r="K169" s="199"/>
      <c r="L169" s="199"/>
      <c r="M169" s="199"/>
      <c r="N169" s="136"/>
      <c r="O169" s="199"/>
      <c r="P169" s="199"/>
      <c r="Q169" s="199"/>
      <c r="R169" s="199"/>
      <c r="S169" s="136"/>
      <c r="T169" s="199"/>
      <c r="U169" s="199"/>
      <c r="V169" s="199"/>
      <c r="W169" s="199"/>
      <c r="X169" s="136"/>
      <c r="Y169" s="199"/>
      <c r="Z169" s="199"/>
      <c r="AA169" s="199"/>
      <c r="AB169" s="199"/>
      <c r="AC169" s="136"/>
      <c r="AD169" s="199"/>
      <c r="AE169" s="199"/>
      <c r="AF169" s="199"/>
      <c r="AG169" s="199"/>
      <c r="AH169" s="136"/>
      <c r="AI169" s="199"/>
      <c r="AJ169" s="199"/>
      <c r="AK169" s="199"/>
      <c r="AL169" s="199"/>
      <c r="AM169" s="136"/>
      <c r="AN169" s="199"/>
      <c r="AO169" s="199"/>
      <c r="AP169" s="199"/>
      <c r="AQ169" s="199"/>
      <c r="AR169" s="136"/>
      <c r="AS169" s="199"/>
      <c r="AT169" s="199"/>
      <c r="AU169" s="199"/>
      <c r="AV169" s="199"/>
      <c r="AW169" s="136"/>
      <c r="AX169" s="199"/>
      <c r="AY169" s="199"/>
      <c r="AZ169" s="199"/>
      <c r="BA169" s="199"/>
      <c r="BB169" s="136"/>
      <c r="BC169" s="199"/>
      <c r="BD169" s="199"/>
      <c r="BE169" s="199"/>
      <c r="BF169" s="199"/>
      <c r="BG169" s="136"/>
      <c r="BH169" s="199"/>
      <c r="BI169" s="199"/>
      <c r="BJ169" s="199"/>
    </row>
    <row r="170" spans="1:62" x14ac:dyDescent="0.25">
      <c r="A170" s="199"/>
      <c r="B170" s="136"/>
      <c r="C170" s="199"/>
      <c r="D170" s="199"/>
      <c r="E170" s="199"/>
      <c r="F170" s="199"/>
      <c r="G170" s="199"/>
      <c r="H170" s="199"/>
      <c r="I170" s="136"/>
      <c r="J170" s="199"/>
      <c r="K170" s="199"/>
      <c r="L170" s="199"/>
      <c r="M170" s="199"/>
      <c r="N170" s="136"/>
      <c r="O170" s="199"/>
      <c r="P170" s="199"/>
      <c r="Q170" s="199"/>
      <c r="R170" s="199"/>
      <c r="S170" s="136"/>
      <c r="T170" s="199"/>
      <c r="U170" s="199"/>
      <c r="V170" s="199"/>
      <c r="W170" s="199"/>
      <c r="X170" s="136"/>
      <c r="Y170" s="199"/>
      <c r="Z170" s="199"/>
      <c r="AA170" s="199"/>
      <c r="AB170" s="199"/>
      <c r="AC170" s="136"/>
      <c r="AD170" s="199"/>
      <c r="AE170" s="199"/>
      <c r="AF170" s="199"/>
      <c r="AG170" s="199"/>
      <c r="AH170" s="136"/>
      <c r="AI170" s="199"/>
      <c r="AJ170" s="199"/>
      <c r="AK170" s="199"/>
      <c r="AL170" s="199"/>
      <c r="AM170" s="136"/>
      <c r="AN170" s="199"/>
      <c r="AO170" s="199"/>
      <c r="AP170" s="199"/>
      <c r="AQ170" s="199"/>
      <c r="AR170" s="136"/>
      <c r="AS170" s="199"/>
      <c r="AT170" s="199"/>
      <c r="AU170" s="199"/>
      <c r="AV170" s="199"/>
      <c r="AW170" s="136"/>
      <c r="AX170" s="199"/>
      <c r="AY170" s="199"/>
      <c r="AZ170" s="199"/>
      <c r="BA170" s="199"/>
      <c r="BB170" s="136"/>
      <c r="BC170" s="199"/>
      <c r="BD170" s="199"/>
      <c r="BE170" s="199"/>
      <c r="BF170" s="199"/>
      <c r="BG170" s="136"/>
      <c r="BH170" s="199"/>
      <c r="BI170" s="199"/>
      <c r="BJ170" s="199"/>
    </row>
    <row r="171" spans="1:62" x14ac:dyDescent="0.25">
      <c r="A171" s="199"/>
      <c r="B171" s="136"/>
      <c r="C171" s="199"/>
      <c r="D171" s="199"/>
      <c r="E171" s="199"/>
      <c r="F171" s="199"/>
      <c r="G171" s="199"/>
      <c r="H171" s="199"/>
      <c r="I171" s="136"/>
      <c r="J171" s="199"/>
      <c r="K171" s="199"/>
      <c r="L171" s="199"/>
      <c r="M171" s="199"/>
      <c r="N171" s="136"/>
      <c r="O171" s="199"/>
      <c r="P171" s="199"/>
      <c r="Q171" s="199"/>
      <c r="R171" s="199"/>
      <c r="S171" s="136"/>
      <c r="T171" s="199"/>
      <c r="U171" s="199"/>
      <c r="V171" s="199"/>
      <c r="W171" s="199"/>
      <c r="X171" s="136"/>
      <c r="Y171" s="199"/>
      <c r="Z171" s="199"/>
      <c r="AA171" s="199"/>
      <c r="AB171" s="199"/>
      <c r="AC171" s="136"/>
      <c r="AD171" s="199"/>
      <c r="AE171" s="199"/>
      <c r="AF171" s="199"/>
      <c r="AG171" s="199"/>
      <c r="AH171" s="136"/>
      <c r="AI171" s="199"/>
      <c r="AJ171" s="199"/>
      <c r="AK171" s="199"/>
      <c r="AL171" s="199"/>
      <c r="AM171" s="136"/>
      <c r="AN171" s="199"/>
      <c r="AO171" s="199"/>
      <c r="AP171" s="199"/>
      <c r="AQ171" s="199"/>
      <c r="AR171" s="136"/>
      <c r="AS171" s="199"/>
      <c r="AT171" s="199"/>
      <c r="AU171" s="199"/>
      <c r="AV171" s="199"/>
      <c r="AW171" s="136"/>
      <c r="AX171" s="199"/>
      <c r="AY171" s="199"/>
      <c r="AZ171" s="199"/>
      <c r="BA171" s="199"/>
      <c r="BB171" s="136"/>
      <c r="BC171" s="199"/>
      <c r="BD171" s="199"/>
      <c r="BE171" s="199"/>
      <c r="BF171" s="199"/>
      <c r="BG171" s="136"/>
      <c r="BH171" s="199"/>
      <c r="BI171" s="199"/>
      <c r="BJ171" s="199"/>
    </row>
    <row r="172" spans="1:62" x14ac:dyDescent="0.25">
      <c r="A172" s="199"/>
      <c r="B172" s="136"/>
      <c r="C172" s="199"/>
      <c r="D172" s="199"/>
      <c r="E172" s="199"/>
      <c r="F172" s="199"/>
      <c r="G172" s="199"/>
      <c r="H172" s="199"/>
      <c r="I172" s="136"/>
      <c r="J172" s="199"/>
      <c r="K172" s="199"/>
      <c r="L172" s="199"/>
      <c r="M172" s="199"/>
      <c r="N172" s="136"/>
      <c r="O172" s="199"/>
      <c r="P172" s="199"/>
      <c r="Q172" s="199"/>
      <c r="R172" s="199"/>
      <c r="S172" s="136"/>
      <c r="T172" s="199"/>
      <c r="U172" s="199"/>
      <c r="V172" s="199"/>
      <c r="W172" s="199"/>
      <c r="X172" s="136"/>
      <c r="Y172" s="199"/>
      <c r="Z172" s="199"/>
      <c r="AA172" s="199"/>
      <c r="AB172" s="199"/>
      <c r="AC172" s="136"/>
      <c r="AD172" s="199"/>
      <c r="AE172" s="199"/>
      <c r="AF172" s="199"/>
      <c r="AG172" s="199"/>
      <c r="AH172" s="136"/>
      <c r="AI172" s="199"/>
      <c r="AJ172" s="199"/>
      <c r="AK172" s="199"/>
      <c r="AL172" s="199"/>
      <c r="AM172" s="136"/>
      <c r="AN172" s="199"/>
      <c r="AO172" s="199"/>
      <c r="AP172" s="199"/>
      <c r="AQ172" s="199"/>
      <c r="AR172" s="136"/>
      <c r="AS172" s="199"/>
      <c r="AT172" s="199"/>
      <c r="AU172" s="199"/>
      <c r="AV172" s="199"/>
      <c r="AW172" s="136"/>
      <c r="AX172" s="199"/>
      <c r="AY172" s="199"/>
      <c r="AZ172" s="199"/>
      <c r="BA172" s="199"/>
      <c r="BB172" s="136"/>
      <c r="BC172" s="199"/>
      <c r="BD172" s="199"/>
      <c r="BE172" s="199"/>
      <c r="BF172" s="199"/>
      <c r="BG172" s="136"/>
      <c r="BH172" s="199"/>
      <c r="BI172" s="199"/>
      <c r="BJ172" s="199"/>
    </row>
    <row r="173" spans="1:62" x14ac:dyDescent="0.25">
      <c r="A173" s="199"/>
      <c r="B173" s="136"/>
      <c r="C173" s="199"/>
      <c r="D173" s="199"/>
      <c r="E173" s="199"/>
      <c r="F173" s="199"/>
      <c r="G173" s="199"/>
      <c r="H173" s="199"/>
      <c r="I173" s="136"/>
      <c r="J173" s="199"/>
      <c r="K173" s="199"/>
      <c r="L173" s="199"/>
      <c r="M173" s="199"/>
      <c r="N173" s="136"/>
      <c r="O173" s="199"/>
      <c r="P173" s="199"/>
      <c r="Q173" s="199"/>
      <c r="R173" s="199"/>
      <c r="S173" s="136"/>
      <c r="T173" s="199"/>
      <c r="U173" s="199"/>
      <c r="V173" s="199"/>
      <c r="W173" s="199"/>
      <c r="X173" s="136"/>
      <c r="Y173" s="199"/>
      <c r="Z173" s="199"/>
      <c r="AA173" s="199"/>
      <c r="AB173" s="199"/>
      <c r="AC173" s="136"/>
      <c r="AD173" s="199"/>
      <c r="AE173" s="199"/>
      <c r="AF173" s="199"/>
      <c r="AG173" s="199"/>
      <c r="AH173" s="136"/>
      <c r="AI173" s="199"/>
      <c r="AJ173" s="199"/>
      <c r="AK173" s="199"/>
      <c r="AL173" s="199"/>
      <c r="AM173" s="136"/>
      <c r="AN173" s="199"/>
      <c r="AO173" s="199"/>
      <c r="AP173" s="199"/>
      <c r="AQ173" s="199"/>
      <c r="AR173" s="136"/>
      <c r="AS173" s="199"/>
      <c r="AT173" s="199"/>
      <c r="AU173" s="199"/>
      <c r="AV173" s="199"/>
      <c r="AW173" s="136"/>
      <c r="AX173" s="199"/>
      <c r="AY173" s="199"/>
      <c r="AZ173" s="199"/>
      <c r="BA173" s="199"/>
      <c r="BB173" s="136"/>
      <c r="BC173" s="199"/>
      <c r="BD173" s="199"/>
      <c r="BE173" s="199"/>
      <c r="BF173" s="199"/>
      <c r="BG173" s="136"/>
      <c r="BH173" s="199"/>
      <c r="BI173" s="199"/>
      <c r="BJ173" s="199"/>
    </row>
    <row r="174" spans="1:62" x14ac:dyDescent="0.25">
      <c r="A174" s="199"/>
      <c r="B174" s="136"/>
      <c r="C174" s="199"/>
      <c r="D174" s="199"/>
      <c r="E174" s="199"/>
      <c r="F174" s="199"/>
      <c r="G174" s="199"/>
      <c r="H174" s="199"/>
      <c r="I174" s="136"/>
      <c r="J174" s="199"/>
      <c r="K174" s="199"/>
      <c r="L174" s="199"/>
      <c r="M174" s="199"/>
      <c r="N174" s="136"/>
      <c r="O174" s="199"/>
      <c r="P174" s="199"/>
      <c r="Q174" s="199"/>
      <c r="R174" s="199"/>
      <c r="S174" s="136"/>
      <c r="T174" s="199"/>
      <c r="U174" s="199"/>
      <c r="V174" s="199"/>
      <c r="W174" s="199"/>
      <c r="X174" s="136"/>
      <c r="Y174" s="199"/>
      <c r="Z174" s="199"/>
      <c r="AA174" s="199"/>
      <c r="AB174" s="199"/>
      <c r="AC174" s="136"/>
      <c r="AD174" s="199"/>
      <c r="AE174" s="199"/>
      <c r="AF174" s="199"/>
      <c r="AG174" s="199"/>
      <c r="AH174" s="136"/>
      <c r="AI174" s="199"/>
      <c r="AJ174" s="199"/>
      <c r="AK174" s="199"/>
      <c r="AL174" s="199"/>
      <c r="AM174" s="136"/>
      <c r="AN174" s="199"/>
      <c r="AO174" s="199"/>
      <c r="AP174" s="199"/>
      <c r="AQ174" s="199"/>
      <c r="AR174" s="136"/>
      <c r="AS174" s="199"/>
      <c r="AT174" s="199"/>
      <c r="AU174" s="199"/>
      <c r="AV174" s="199"/>
      <c r="AW174" s="136"/>
      <c r="AX174" s="199"/>
      <c r="AY174" s="199"/>
      <c r="AZ174" s="199"/>
      <c r="BA174" s="199"/>
      <c r="BB174" s="136"/>
      <c r="BC174" s="199"/>
      <c r="BD174" s="199"/>
      <c r="BE174" s="199"/>
      <c r="BF174" s="199"/>
      <c r="BG174" s="136"/>
      <c r="BH174" s="199"/>
      <c r="BI174" s="199"/>
      <c r="BJ174" s="199"/>
    </row>
    <row r="175" spans="1:62" x14ac:dyDescent="0.25">
      <c r="A175" s="199"/>
      <c r="B175" s="136"/>
      <c r="C175" s="199"/>
      <c r="D175" s="199"/>
      <c r="E175" s="199"/>
      <c r="F175" s="199"/>
      <c r="G175" s="199"/>
      <c r="H175" s="199"/>
      <c r="I175" s="136"/>
      <c r="J175" s="199"/>
      <c r="K175" s="199"/>
      <c r="L175" s="199"/>
      <c r="M175" s="199"/>
      <c r="N175" s="136"/>
      <c r="O175" s="199"/>
      <c r="P175" s="199"/>
      <c r="Q175" s="199"/>
      <c r="R175" s="199"/>
      <c r="S175" s="136"/>
      <c r="T175" s="199"/>
      <c r="U175" s="199"/>
      <c r="V175" s="199"/>
      <c r="W175" s="199"/>
      <c r="X175" s="136"/>
      <c r="Y175" s="199"/>
      <c r="Z175" s="199"/>
      <c r="AA175" s="199"/>
      <c r="AB175" s="199"/>
      <c r="AC175" s="136"/>
      <c r="AD175" s="199"/>
      <c r="AE175" s="199"/>
      <c r="AF175" s="199"/>
      <c r="AG175" s="199"/>
      <c r="AH175" s="136"/>
      <c r="AI175" s="199"/>
      <c r="AJ175" s="199"/>
      <c r="AK175" s="199"/>
      <c r="AL175" s="199"/>
      <c r="AM175" s="136"/>
      <c r="AN175" s="199"/>
      <c r="AO175" s="199"/>
      <c r="AP175" s="199"/>
      <c r="AQ175" s="199"/>
      <c r="AR175" s="136"/>
      <c r="AS175" s="199"/>
      <c r="AT175" s="199"/>
      <c r="AU175" s="199"/>
      <c r="AV175" s="199"/>
      <c r="AW175" s="136"/>
      <c r="AX175" s="199"/>
      <c r="AY175" s="199"/>
      <c r="AZ175" s="199"/>
      <c r="BA175" s="199"/>
      <c r="BB175" s="136"/>
      <c r="BC175" s="199"/>
      <c r="BD175" s="199"/>
      <c r="BE175" s="199"/>
      <c r="BF175" s="199"/>
      <c r="BG175" s="136"/>
      <c r="BH175" s="199"/>
      <c r="BI175" s="199"/>
      <c r="BJ175" s="199"/>
    </row>
    <row r="176" spans="1:62" x14ac:dyDescent="0.25">
      <c r="A176" s="199"/>
      <c r="B176" s="136"/>
      <c r="C176" s="199"/>
      <c r="D176" s="199"/>
      <c r="E176" s="199"/>
      <c r="F176" s="199"/>
      <c r="G176" s="199"/>
      <c r="H176" s="199"/>
      <c r="I176" s="136"/>
      <c r="J176" s="199"/>
      <c r="K176" s="199"/>
      <c r="L176" s="199"/>
      <c r="M176" s="199"/>
      <c r="N176" s="136"/>
      <c r="O176" s="199"/>
      <c r="P176" s="199"/>
      <c r="Q176" s="199"/>
      <c r="R176" s="199"/>
      <c r="S176" s="136"/>
      <c r="T176" s="199"/>
      <c r="U176" s="199"/>
      <c r="V176" s="199"/>
      <c r="W176" s="199"/>
      <c r="X176" s="136"/>
      <c r="Y176" s="199"/>
      <c r="Z176" s="199"/>
      <c r="AA176" s="199"/>
      <c r="AB176" s="199"/>
      <c r="AC176" s="136"/>
      <c r="AD176" s="199"/>
      <c r="AE176" s="199"/>
      <c r="AF176" s="199"/>
      <c r="AG176" s="199"/>
      <c r="AH176" s="136"/>
      <c r="AI176" s="199"/>
      <c r="AJ176" s="199"/>
      <c r="AK176" s="199"/>
      <c r="AL176" s="199"/>
      <c r="AM176" s="136"/>
      <c r="AN176" s="199"/>
      <c r="AO176" s="199"/>
      <c r="AP176" s="199"/>
      <c r="AQ176" s="199"/>
      <c r="AR176" s="136"/>
      <c r="AS176" s="199"/>
      <c r="AT176" s="199"/>
      <c r="AU176" s="199"/>
      <c r="AV176" s="199"/>
      <c r="AW176" s="136"/>
      <c r="AX176" s="199"/>
      <c r="AY176" s="199"/>
      <c r="AZ176" s="199"/>
      <c r="BA176" s="199"/>
      <c r="BB176" s="136"/>
      <c r="BC176" s="199"/>
      <c r="BD176" s="199"/>
      <c r="BE176" s="199"/>
      <c r="BF176" s="199"/>
      <c r="BG176" s="136"/>
      <c r="BH176" s="199"/>
      <c r="BI176" s="199"/>
      <c r="BJ176" s="199"/>
    </row>
    <row r="180" spans="1:62" ht="36" x14ac:dyDescent="0.25">
      <c r="A180" s="169"/>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J180" s="107"/>
    </row>
    <row r="181" spans="1:62" x14ac:dyDescent="0.25">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row>
    <row r="182" spans="1:62" x14ac:dyDescent="0.25">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row>
    <row r="183" spans="1:62" ht="36" x14ac:dyDescent="0.25">
      <c r="A183" s="169"/>
      <c r="B183" s="169"/>
      <c r="C183" s="169"/>
      <c r="D183" s="169"/>
      <c r="E183" s="169"/>
      <c r="F183" s="169"/>
      <c r="G183" s="169"/>
      <c r="H183" s="169"/>
      <c r="I183" s="169"/>
      <c r="J183" s="169"/>
      <c r="K183" s="169"/>
      <c r="L183" s="169"/>
      <c r="M183" s="169"/>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c r="AZ183" s="169"/>
      <c r="BA183" s="169"/>
      <c r="BB183" s="169"/>
      <c r="BC183" s="169"/>
      <c r="BD183" s="169"/>
      <c r="BE183" s="169"/>
      <c r="BF183" s="169"/>
      <c r="BG183" s="169"/>
      <c r="BH183" s="169"/>
      <c r="BI183" s="169"/>
      <c r="BJ183" s="169"/>
    </row>
    <row r="184" spans="1:62" ht="36" x14ac:dyDescent="0.25">
      <c r="A184" s="169"/>
      <c r="B184" s="169"/>
      <c r="C184" s="169"/>
      <c r="D184" s="169"/>
      <c r="E184" s="169"/>
      <c r="F184" s="169"/>
      <c r="G184" s="169"/>
      <c r="H184" s="169"/>
      <c r="I184" s="169"/>
      <c r="J184" s="169"/>
      <c r="K184" s="169"/>
      <c r="L184" s="169"/>
      <c r="M184" s="169"/>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c r="AZ184" s="169"/>
      <c r="BA184" s="169"/>
      <c r="BB184" s="169"/>
      <c r="BC184" s="169"/>
      <c r="BD184" s="169"/>
      <c r="BE184" s="169"/>
      <c r="BF184" s="169"/>
      <c r="BG184" s="169"/>
      <c r="BH184" s="169"/>
      <c r="BI184" s="169"/>
      <c r="BJ184" s="169"/>
    </row>
    <row r="185" spans="1:62" ht="36" x14ac:dyDescent="0.25">
      <c r="A185" s="169"/>
      <c r="B185" s="169"/>
      <c r="C185" s="169"/>
      <c r="D185" s="169"/>
      <c r="E185" s="169"/>
      <c r="F185" s="169"/>
      <c r="G185" s="169"/>
      <c r="H185" s="169"/>
      <c r="I185" s="169"/>
      <c r="J185" s="169"/>
      <c r="K185" s="169"/>
      <c r="L185" s="169"/>
      <c r="M185" s="169"/>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c r="AZ185" s="169"/>
      <c r="BA185" s="169"/>
      <c r="BB185" s="169"/>
      <c r="BC185" s="169"/>
      <c r="BD185" s="169"/>
      <c r="BE185" s="169"/>
      <c r="BF185" s="169"/>
      <c r="BG185" s="169"/>
      <c r="BH185" s="169"/>
      <c r="BI185" s="169"/>
      <c r="BJ185" s="169"/>
    </row>
    <row r="186" spans="1:62" x14ac:dyDescent="0.25">
      <c r="F186" s="194"/>
      <c r="G186" s="194"/>
    </row>
    <row r="188" spans="1:62" x14ac:dyDescent="0.25">
      <c r="A188" s="199"/>
      <c r="B188" s="136"/>
      <c r="C188" s="199"/>
      <c r="D188" s="199"/>
      <c r="E188" s="199"/>
      <c r="F188" s="199"/>
      <c r="G188" s="199"/>
      <c r="H188" s="199"/>
      <c r="I188" s="136"/>
      <c r="J188" s="199"/>
      <c r="K188" s="199"/>
      <c r="L188" s="199"/>
      <c r="M188" s="199"/>
      <c r="N188" s="136"/>
      <c r="O188" s="199"/>
      <c r="P188" s="199"/>
      <c r="Q188" s="199"/>
      <c r="R188" s="199"/>
      <c r="S188" s="136"/>
      <c r="T188" s="199"/>
      <c r="U188" s="199"/>
      <c r="V188" s="199"/>
      <c r="W188" s="199"/>
      <c r="X188" s="136"/>
      <c r="Y188" s="199"/>
      <c r="Z188" s="199"/>
      <c r="AA188" s="199"/>
      <c r="AB188" s="199"/>
      <c r="AC188" s="136"/>
      <c r="AD188" s="199"/>
      <c r="AE188" s="199"/>
      <c r="AF188" s="199"/>
      <c r="AG188" s="199"/>
      <c r="AH188" s="136"/>
      <c r="AI188" s="199"/>
      <c r="AJ188" s="199"/>
      <c r="AK188" s="199"/>
      <c r="AL188" s="199"/>
      <c r="AM188" s="136"/>
      <c r="AN188" s="199"/>
      <c r="AO188" s="199"/>
      <c r="AP188" s="199"/>
      <c r="AQ188" s="199"/>
      <c r="AR188" s="136"/>
      <c r="AS188" s="199"/>
      <c r="AT188" s="199"/>
      <c r="AU188" s="199"/>
      <c r="AV188" s="199"/>
      <c r="AW188" s="136"/>
      <c r="AX188" s="199"/>
      <c r="AY188" s="199"/>
      <c r="AZ188" s="199"/>
      <c r="BA188" s="199"/>
      <c r="BB188" s="136"/>
      <c r="BC188" s="199"/>
      <c r="BD188" s="199"/>
      <c r="BE188" s="199"/>
      <c r="BF188" s="199"/>
      <c r="BG188" s="136"/>
      <c r="BH188" s="199"/>
      <c r="BI188" s="199"/>
      <c r="BJ188" s="199"/>
    </row>
    <row r="189" spans="1:62" x14ac:dyDescent="0.25">
      <c r="A189" s="199"/>
      <c r="B189" s="136"/>
      <c r="C189" s="199"/>
      <c r="D189" s="199"/>
      <c r="E189" s="199"/>
      <c r="F189" s="199"/>
      <c r="G189" s="199"/>
      <c r="H189" s="199"/>
      <c r="I189" s="136"/>
      <c r="J189" s="199"/>
      <c r="K189" s="199"/>
      <c r="L189" s="199"/>
      <c r="M189" s="199"/>
      <c r="N189" s="136"/>
      <c r="O189" s="199"/>
      <c r="P189" s="199"/>
      <c r="Q189" s="199"/>
      <c r="R189" s="199"/>
      <c r="S189" s="136"/>
      <c r="T189" s="199"/>
      <c r="U189" s="199"/>
      <c r="V189" s="199"/>
      <c r="W189" s="199"/>
      <c r="X189" s="136"/>
      <c r="Y189" s="199"/>
      <c r="Z189" s="199"/>
      <c r="AA189" s="199"/>
      <c r="AB189" s="199"/>
      <c r="AC189" s="136"/>
      <c r="AD189" s="199"/>
      <c r="AE189" s="199"/>
      <c r="AF189" s="199"/>
      <c r="AG189" s="199"/>
      <c r="AH189" s="136"/>
      <c r="AI189" s="199"/>
      <c r="AJ189" s="199"/>
      <c r="AK189" s="199"/>
      <c r="AL189" s="199"/>
      <c r="AM189" s="136"/>
      <c r="AN189" s="199"/>
      <c r="AO189" s="199"/>
      <c r="AP189" s="199"/>
      <c r="AQ189" s="199"/>
      <c r="AR189" s="136"/>
      <c r="AS189" s="199"/>
      <c r="AT189" s="199"/>
      <c r="AU189" s="199"/>
      <c r="AV189" s="199"/>
      <c r="AW189" s="136"/>
      <c r="AX189" s="199"/>
      <c r="AY189" s="199"/>
      <c r="AZ189" s="199"/>
      <c r="BA189" s="199"/>
      <c r="BB189" s="136"/>
      <c r="BC189" s="199"/>
      <c r="BD189" s="199"/>
      <c r="BE189" s="199"/>
      <c r="BF189" s="199"/>
      <c r="BG189" s="136"/>
      <c r="BH189" s="199"/>
      <c r="BI189" s="199"/>
      <c r="BJ189" s="199"/>
    </row>
    <row r="190" spans="1:62" x14ac:dyDescent="0.25">
      <c r="A190" s="199"/>
      <c r="B190" s="136"/>
      <c r="C190" s="199"/>
      <c r="D190" s="199"/>
      <c r="E190" s="199"/>
      <c r="F190" s="199"/>
      <c r="G190" s="199"/>
      <c r="H190" s="199"/>
      <c r="I190" s="136"/>
      <c r="J190" s="199"/>
      <c r="K190" s="199"/>
      <c r="L190" s="199"/>
      <c r="M190" s="199"/>
      <c r="N190" s="136"/>
      <c r="O190" s="199"/>
      <c r="P190" s="199"/>
      <c r="Q190" s="199"/>
      <c r="R190" s="199"/>
      <c r="S190" s="136"/>
      <c r="T190" s="199"/>
      <c r="U190" s="199"/>
      <c r="V190" s="199"/>
      <c r="W190" s="199"/>
      <c r="X190" s="136"/>
      <c r="Y190" s="199"/>
      <c r="Z190" s="199"/>
      <c r="AA190" s="199"/>
      <c r="AB190" s="199"/>
      <c r="AC190" s="136"/>
      <c r="AD190" s="199"/>
      <c r="AE190" s="199"/>
      <c r="AF190" s="199"/>
      <c r="AG190" s="199"/>
      <c r="AH190" s="136"/>
      <c r="AI190" s="199"/>
      <c r="AJ190" s="199"/>
      <c r="AK190" s="199"/>
      <c r="AL190" s="199"/>
      <c r="AM190" s="136"/>
      <c r="AN190" s="199"/>
      <c r="AO190" s="199"/>
      <c r="AP190" s="199"/>
      <c r="AQ190" s="199"/>
      <c r="AR190" s="136"/>
      <c r="AS190" s="199"/>
      <c r="AT190" s="199"/>
      <c r="AU190" s="199"/>
      <c r="AV190" s="199"/>
      <c r="AW190" s="136"/>
      <c r="AX190" s="199"/>
      <c r="AY190" s="199"/>
      <c r="AZ190" s="199"/>
      <c r="BA190" s="199"/>
      <c r="BB190" s="136"/>
      <c r="BC190" s="199"/>
      <c r="BD190" s="199"/>
      <c r="BE190" s="199"/>
      <c r="BF190" s="199"/>
      <c r="BG190" s="136"/>
      <c r="BH190" s="199"/>
      <c r="BI190" s="199"/>
      <c r="BJ190" s="199"/>
    </row>
    <row r="191" spans="1:62" x14ac:dyDescent="0.25">
      <c r="A191" s="199"/>
      <c r="B191" s="136"/>
      <c r="C191" s="199"/>
      <c r="D191" s="199"/>
      <c r="E191" s="199"/>
      <c r="F191" s="199"/>
      <c r="G191" s="199"/>
      <c r="H191" s="199"/>
      <c r="I191" s="136"/>
      <c r="J191" s="199"/>
      <c r="K191" s="199"/>
      <c r="L191" s="199"/>
      <c r="M191" s="199"/>
      <c r="N191" s="136"/>
      <c r="O191" s="199"/>
      <c r="P191" s="199"/>
      <c r="Q191" s="199"/>
      <c r="R191" s="199"/>
      <c r="S191" s="136"/>
      <c r="T191" s="199"/>
      <c r="U191" s="199"/>
      <c r="V191" s="199"/>
      <c r="W191" s="199"/>
      <c r="X191" s="136"/>
      <c r="Y191" s="199"/>
      <c r="Z191" s="199"/>
      <c r="AA191" s="199"/>
      <c r="AB191" s="199"/>
      <c r="AC191" s="136"/>
      <c r="AD191" s="199"/>
      <c r="AE191" s="199"/>
      <c r="AF191" s="199"/>
      <c r="AG191" s="199"/>
      <c r="AH191" s="136"/>
      <c r="AI191" s="199"/>
      <c r="AJ191" s="199"/>
      <c r="AK191" s="199"/>
      <c r="AL191" s="199"/>
      <c r="AM191" s="136"/>
      <c r="AN191" s="199"/>
      <c r="AO191" s="199"/>
      <c r="AP191" s="199"/>
      <c r="AQ191" s="199"/>
      <c r="AR191" s="136"/>
      <c r="AS191" s="199"/>
      <c r="AT191" s="199"/>
      <c r="AU191" s="199"/>
      <c r="AV191" s="199"/>
      <c r="AW191" s="136"/>
      <c r="AX191" s="199"/>
      <c r="AY191" s="199"/>
      <c r="AZ191" s="199"/>
      <c r="BA191" s="199"/>
      <c r="BB191" s="136"/>
      <c r="BC191" s="199"/>
      <c r="BD191" s="199"/>
      <c r="BE191" s="199"/>
      <c r="BF191" s="199"/>
      <c r="BG191" s="136"/>
      <c r="BH191" s="199"/>
      <c r="BI191" s="199"/>
      <c r="BJ191" s="199"/>
    </row>
    <row r="192" spans="1:62" x14ac:dyDescent="0.25">
      <c r="A192" s="199"/>
      <c r="B192" s="136"/>
      <c r="C192" s="199"/>
      <c r="D192" s="199"/>
      <c r="E192" s="199"/>
      <c r="F192" s="199"/>
      <c r="G192" s="199"/>
      <c r="H192" s="199"/>
      <c r="I192" s="136"/>
      <c r="J192" s="199"/>
      <c r="K192" s="199"/>
      <c r="L192" s="199"/>
      <c r="M192" s="199"/>
      <c r="N192" s="136"/>
      <c r="O192" s="199"/>
      <c r="P192" s="199"/>
      <c r="Q192" s="199"/>
      <c r="R192" s="199"/>
      <c r="S192" s="136"/>
      <c r="T192" s="199"/>
      <c r="U192" s="199"/>
      <c r="V192" s="199"/>
      <c r="W192" s="199"/>
      <c r="X192" s="136"/>
      <c r="Y192" s="199"/>
      <c r="Z192" s="199"/>
      <c r="AA192" s="199"/>
      <c r="AB192" s="199"/>
      <c r="AC192" s="136"/>
      <c r="AD192" s="199"/>
      <c r="AE192" s="199"/>
      <c r="AF192" s="199"/>
      <c r="AG192" s="199"/>
      <c r="AH192" s="136"/>
      <c r="AI192" s="199"/>
      <c r="AJ192" s="199"/>
      <c r="AK192" s="199"/>
      <c r="AL192" s="199"/>
      <c r="AM192" s="136"/>
      <c r="AN192" s="199"/>
      <c r="AO192" s="199"/>
      <c r="AP192" s="199"/>
      <c r="AQ192" s="199"/>
      <c r="AR192" s="136"/>
      <c r="AS192" s="199"/>
      <c r="AT192" s="199"/>
      <c r="AU192" s="199"/>
      <c r="AV192" s="199"/>
      <c r="AW192" s="136"/>
      <c r="AX192" s="199"/>
      <c r="AY192" s="199"/>
      <c r="AZ192" s="199"/>
      <c r="BA192" s="199"/>
      <c r="BB192" s="136"/>
      <c r="BC192" s="199"/>
      <c r="BD192" s="199"/>
      <c r="BE192" s="199"/>
      <c r="BF192" s="199"/>
      <c r="BG192" s="136"/>
      <c r="BH192" s="199"/>
      <c r="BI192" s="199"/>
      <c r="BJ192" s="199"/>
    </row>
    <row r="193" spans="1:62" x14ac:dyDescent="0.25">
      <c r="A193" s="199"/>
      <c r="B193" s="136"/>
      <c r="C193" s="199"/>
      <c r="D193" s="199"/>
      <c r="E193" s="199"/>
      <c r="F193" s="199"/>
      <c r="G193" s="199"/>
      <c r="H193" s="199"/>
      <c r="I193" s="136"/>
      <c r="J193" s="199"/>
      <c r="K193" s="199"/>
      <c r="L193" s="199"/>
      <c r="M193" s="199"/>
      <c r="N193" s="136"/>
      <c r="O193" s="199"/>
      <c r="P193" s="199"/>
      <c r="Q193" s="199"/>
      <c r="R193" s="199"/>
      <c r="S193" s="136"/>
      <c r="T193" s="199"/>
      <c r="U193" s="199"/>
      <c r="V193" s="199"/>
      <c r="W193" s="199"/>
      <c r="X193" s="136"/>
      <c r="Y193" s="199"/>
      <c r="Z193" s="199"/>
      <c r="AA193" s="199"/>
      <c r="AB193" s="199"/>
      <c r="AC193" s="136"/>
      <c r="AD193" s="199"/>
      <c r="AE193" s="199"/>
      <c r="AF193" s="199"/>
      <c r="AG193" s="199"/>
      <c r="AH193" s="136"/>
      <c r="AI193" s="199"/>
      <c r="AJ193" s="199"/>
      <c r="AK193" s="199"/>
      <c r="AL193" s="199"/>
      <c r="AM193" s="136"/>
      <c r="AN193" s="199"/>
      <c r="AO193" s="199"/>
      <c r="AP193" s="199"/>
      <c r="AQ193" s="199"/>
      <c r="AR193" s="136"/>
      <c r="AS193" s="199"/>
      <c r="AT193" s="199"/>
      <c r="AU193" s="199"/>
      <c r="AV193" s="199"/>
      <c r="AW193" s="136"/>
      <c r="AX193" s="199"/>
      <c r="AY193" s="199"/>
      <c r="AZ193" s="199"/>
      <c r="BA193" s="199"/>
      <c r="BB193" s="136"/>
      <c r="BC193" s="199"/>
      <c r="BD193" s="199"/>
      <c r="BE193" s="199"/>
      <c r="BF193" s="199"/>
      <c r="BG193" s="136"/>
      <c r="BH193" s="199"/>
      <c r="BI193" s="199"/>
      <c r="BJ193" s="199"/>
    </row>
    <row r="194" spans="1:62" x14ac:dyDescent="0.25">
      <c r="A194" s="199"/>
      <c r="B194" s="136"/>
      <c r="C194" s="199"/>
      <c r="D194" s="199"/>
      <c r="E194" s="199"/>
      <c r="F194" s="199"/>
      <c r="G194" s="199"/>
      <c r="H194" s="199"/>
      <c r="I194" s="136"/>
      <c r="J194" s="199"/>
      <c r="K194" s="199"/>
      <c r="L194" s="199"/>
      <c r="M194" s="199"/>
      <c r="N194" s="136"/>
      <c r="O194" s="199"/>
      <c r="P194" s="199"/>
      <c r="Q194" s="199"/>
      <c r="R194" s="199"/>
      <c r="S194" s="136"/>
      <c r="T194" s="199"/>
      <c r="U194" s="199"/>
      <c r="V194" s="199"/>
      <c r="W194" s="199"/>
      <c r="X194" s="136"/>
      <c r="Y194" s="199"/>
      <c r="Z194" s="199"/>
      <c r="AA194" s="199"/>
      <c r="AB194" s="199"/>
      <c r="AC194" s="136"/>
      <c r="AD194" s="199"/>
      <c r="AE194" s="199"/>
      <c r="AF194" s="199"/>
      <c r="AG194" s="199"/>
      <c r="AH194" s="136"/>
      <c r="AI194" s="199"/>
      <c r="AJ194" s="199"/>
      <c r="AK194" s="199"/>
      <c r="AL194" s="199"/>
      <c r="AM194" s="136"/>
      <c r="AN194" s="199"/>
      <c r="AO194" s="199"/>
      <c r="AP194" s="199"/>
      <c r="AQ194" s="199"/>
      <c r="AR194" s="136"/>
      <c r="AS194" s="199"/>
      <c r="AT194" s="199"/>
      <c r="AU194" s="199"/>
      <c r="AV194" s="199"/>
      <c r="AW194" s="136"/>
      <c r="AX194" s="199"/>
      <c r="AY194" s="199"/>
      <c r="AZ194" s="199"/>
      <c r="BA194" s="199"/>
      <c r="BB194" s="136"/>
      <c r="BC194" s="199"/>
      <c r="BD194" s="199"/>
      <c r="BE194" s="199"/>
      <c r="BF194" s="199"/>
      <c r="BG194" s="136"/>
      <c r="BH194" s="199"/>
      <c r="BI194" s="199"/>
      <c r="BJ194" s="199"/>
    </row>
    <row r="195" spans="1:62" x14ac:dyDescent="0.25">
      <c r="A195" s="199"/>
      <c r="B195" s="136"/>
      <c r="C195" s="199"/>
      <c r="D195" s="199"/>
      <c r="E195" s="199"/>
      <c r="F195" s="199"/>
      <c r="G195" s="199"/>
      <c r="H195" s="199"/>
      <c r="I195" s="136"/>
      <c r="J195" s="199"/>
      <c r="K195" s="199"/>
      <c r="L195" s="199"/>
      <c r="M195" s="199"/>
      <c r="N195" s="136"/>
      <c r="O195" s="199"/>
      <c r="P195" s="199"/>
      <c r="Q195" s="199"/>
      <c r="R195" s="199"/>
      <c r="S195" s="136"/>
      <c r="T195" s="199"/>
      <c r="U195" s="199"/>
      <c r="V195" s="199"/>
      <c r="W195" s="199"/>
      <c r="X195" s="136"/>
      <c r="Y195" s="199"/>
      <c r="Z195" s="199"/>
      <c r="AA195" s="199"/>
      <c r="AB195" s="199"/>
      <c r="AC195" s="136"/>
      <c r="AD195" s="199"/>
      <c r="AE195" s="199"/>
      <c r="AF195" s="199"/>
      <c r="AG195" s="199"/>
      <c r="AH195" s="136"/>
      <c r="AI195" s="199"/>
      <c r="AJ195" s="199"/>
      <c r="AK195" s="199"/>
      <c r="AL195" s="199"/>
      <c r="AM195" s="136"/>
      <c r="AN195" s="199"/>
      <c r="AO195" s="199"/>
      <c r="AP195" s="199"/>
      <c r="AQ195" s="199"/>
      <c r="AR195" s="136"/>
      <c r="AS195" s="199"/>
      <c r="AT195" s="199"/>
      <c r="AU195" s="199"/>
      <c r="AV195" s="199"/>
      <c r="AW195" s="136"/>
      <c r="AX195" s="199"/>
      <c r="AY195" s="199"/>
      <c r="AZ195" s="199"/>
      <c r="BA195" s="199"/>
      <c r="BB195" s="136"/>
      <c r="BC195" s="199"/>
      <c r="BD195" s="199"/>
      <c r="BE195" s="199"/>
      <c r="BF195" s="199"/>
      <c r="BG195" s="136"/>
      <c r="BH195" s="199"/>
      <c r="BI195" s="199"/>
      <c r="BJ195" s="199"/>
    </row>
    <row r="199" spans="1:62" ht="36" x14ac:dyDescent="0.25">
      <c r="A199" s="169"/>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row>
    <row r="200" spans="1:62" x14ac:dyDescent="0.25">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row>
    <row r="201" spans="1:62" x14ac:dyDescent="0.25">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row>
    <row r="202" spans="1:62" ht="36" x14ac:dyDescent="0.25">
      <c r="A202" s="169"/>
      <c r="B202" s="169"/>
      <c r="C202" s="169"/>
      <c r="D202" s="169"/>
      <c r="E202" s="169"/>
      <c r="F202" s="169"/>
      <c r="G202" s="169"/>
      <c r="H202" s="169"/>
      <c r="I202" s="169"/>
      <c r="J202" s="169"/>
      <c r="K202" s="169"/>
      <c r="L202" s="169"/>
      <c r="M202" s="169"/>
      <c r="N202" s="169"/>
      <c r="O202" s="169"/>
      <c r="P202" s="169"/>
      <c r="Q202" s="169"/>
      <c r="R202" s="169"/>
      <c r="S202" s="169"/>
      <c r="T202" s="169"/>
      <c r="U202" s="169"/>
      <c r="V202" s="169"/>
      <c r="W202" s="169"/>
      <c r="X202" s="169"/>
      <c r="Y202" s="169"/>
      <c r="Z202" s="169"/>
      <c r="AA202" s="169"/>
      <c r="AB202" s="169"/>
      <c r="AC202" s="169"/>
      <c r="AD202" s="169"/>
      <c r="AE202" s="169"/>
      <c r="AF202" s="169"/>
      <c r="AG202" s="169"/>
      <c r="AH202" s="169"/>
      <c r="AI202" s="169"/>
      <c r="AJ202" s="169"/>
      <c r="AK202" s="169"/>
      <c r="AL202" s="169"/>
      <c r="AM202" s="169"/>
      <c r="AN202" s="169"/>
      <c r="AO202" s="169"/>
      <c r="AP202" s="169"/>
      <c r="AQ202" s="169"/>
      <c r="AR202" s="169"/>
      <c r="AS202" s="169"/>
      <c r="AT202" s="169"/>
      <c r="AU202" s="169"/>
      <c r="AV202" s="169"/>
      <c r="AW202" s="169"/>
      <c r="AX202" s="169"/>
      <c r="AY202" s="169"/>
      <c r="AZ202" s="169"/>
      <c r="BA202" s="169"/>
      <c r="BB202" s="169"/>
      <c r="BC202" s="169"/>
      <c r="BD202" s="169"/>
      <c r="BE202" s="169"/>
      <c r="BF202" s="169"/>
      <c r="BG202" s="169"/>
      <c r="BH202" s="169"/>
      <c r="BI202" s="169"/>
      <c r="BJ202" s="169"/>
    </row>
    <row r="203" spans="1:62" ht="36" x14ac:dyDescent="0.25">
      <c r="A203" s="169"/>
      <c r="B203" s="169"/>
      <c r="C203" s="169"/>
      <c r="D203" s="169"/>
      <c r="E203" s="169"/>
      <c r="F203" s="169"/>
      <c r="G203" s="169"/>
      <c r="H203" s="169"/>
      <c r="I203" s="169"/>
      <c r="J203" s="169"/>
      <c r="K203" s="169"/>
      <c r="L203" s="169"/>
      <c r="M203" s="169"/>
      <c r="N203" s="169"/>
      <c r="O203" s="169"/>
      <c r="P203" s="169"/>
      <c r="Q203" s="169"/>
      <c r="R203" s="169"/>
      <c r="S203" s="169"/>
      <c r="T203" s="169"/>
      <c r="U203" s="169"/>
      <c r="V203" s="169"/>
      <c r="W203" s="169"/>
      <c r="X203" s="169"/>
      <c r="Y203" s="169"/>
      <c r="Z203" s="169"/>
      <c r="AA203" s="169"/>
      <c r="AB203" s="169"/>
      <c r="AC203" s="169"/>
      <c r="AD203" s="169"/>
      <c r="AE203" s="169"/>
      <c r="AF203" s="169"/>
      <c r="AG203" s="169"/>
      <c r="AH203" s="169"/>
      <c r="AI203" s="169"/>
      <c r="AJ203" s="169"/>
      <c r="AK203" s="169"/>
      <c r="AL203" s="169"/>
      <c r="AM203" s="169"/>
      <c r="AN203" s="169"/>
      <c r="AO203" s="169"/>
      <c r="AP203" s="169"/>
      <c r="AQ203" s="169"/>
      <c r="AR203" s="169"/>
      <c r="AS203" s="169"/>
      <c r="AT203" s="169"/>
      <c r="AU203" s="169"/>
      <c r="AV203" s="169"/>
      <c r="AW203" s="169"/>
      <c r="AX203" s="169"/>
      <c r="AY203" s="169"/>
      <c r="AZ203" s="169"/>
      <c r="BA203" s="169"/>
      <c r="BB203" s="169"/>
      <c r="BC203" s="169"/>
      <c r="BD203" s="169"/>
      <c r="BE203" s="169"/>
      <c r="BF203" s="169"/>
      <c r="BG203" s="169"/>
      <c r="BH203" s="169"/>
      <c r="BI203" s="169"/>
      <c r="BJ203" s="169"/>
    </row>
    <row r="204" spans="1:62" ht="36" x14ac:dyDescent="0.25">
      <c r="A204" s="169"/>
      <c r="B204" s="169"/>
      <c r="C204" s="169"/>
      <c r="D204" s="169"/>
      <c r="E204" s="169"/>
      <c r="F204" s="169"/>
      <c r="G204" s="169"/>
      <c r="H204" s="169"/>
      <c r="I204" s="169"/>
      <c r="J204" s="169"/>
      <c r="K204" s="169"/>
      <c r="L204" s="169"/>
      <c r="M204" s="169"/>
      <c r="N204" s="169"/>
      <c r="O204" s="169"/>
      <c r="P204" s="169"/>
      <c r="Q204" s="169"/>
      <c r="R204" s="169"/>
      <c r="S204" s="169"/>
      <c r="T204" s="169"/>
      <c r="U204" s="169"/>
      <c r="V204" s="169"/>
      <c r="W204" s="169"/>
      <c r="X204" s="169"/>
      <c r="Y204" s="169"/>
      <c r="Z204" s="169"/>
      <c r="AA204" s="169"/>
      <c r="AB204" s="169"/>
      <c r="AC204" s="169"/>
      <c r="AD204" s="169"/>
      <c r="AE204" s="169"/>
      <c r="AF204" s="169"/>
      <c r="AG204" s="169"/>
      <c r="AH204" s="169"/>
      <c r="AI204" s="169"/>
      <c r="AJ204" s="169"/>
      <c r="AK204" s="169"/>
      <c r="AL204" s="169"/>
      <c r="AM204" s="169"/>
      <c r="AN204" s="169"/>
      <c r="AO204" s="169"/>
      <c r="AP204" s="169"/>
      <c r="AQ204" s="169"/>
      <c r="AR204" s="169"/>
      <c r="AS204" s="169"/>
      <c r="AT204" s="169"/>
      <c r="AU204" s="169"/>
      <c r="AV204" s="169"/>
      <c r="AW204" s="169"/>
      <c r="AX204" s="169"/>
      <c r="AY204" s="169"/>
      <c r="AZ204" s="169"/>
      <c r="BA204" s="169"/>
      <c r="BB204" s="169"/>
      <c r="BC204" s="169"/>
      <c r="BD204" s="169"/>
      <c r="BE204" s="169"/>
      <c r="BF204" s="169"/>
      <c r="BG204" s="169"/>
      <c r="BH204" s="169"/>
      <c r="BI204" s="169"/>
      <c r="BJ204" s="169"/>
    </row>
    <row r="205" spans="1:62" x14ac:dyDescent="0.25">
      <c r="F205" s="194"/>
      <c r="G205" s="194"/>
    </row>
    <row r="207" spans="1:62" x14ac:dyDescent="0.25">
      <c r="A207" s="199"/>
      <c r="B207" s="136"/>
      <c r="C207" s="199"/>
      <c r="D207" s="199"/>
      <c r="E207" s="199"/>
      <c r="F207" s="199"/>
      <c r="G207" s="199"/>
      <c r="H207" s="199"/>
      <c r="I207" s="136"/>
      <c r="J207" s="199"/>
      <c r="K207" s="199"/>
      <c r="L207" s="199"/>
      <c r="M207" s="199"/>
      <c r="N207" s="136"/>
      <c r="O207" s="199"/>
      <c r="P207" s="199"/>
      <c r="Q207" s="199"/>
      <c r="R207" s="199"/>
      <c r="S207" s="136"/>
      <c r="T207" s="199"/>
      <c r="U207" s="199"/>
      <c r="V207" s="199"/>
      <c r="W207" s="199"/>
      <c r="X207" s="136"/>
      <c r="Y207" s="199"/>
      <c r="Z207" s="199"/>
      <c r="AA207" s="199"/>
      <c r="AB207" s="199"/>
      <c r="AC207" s="136"/>
      <c r="AD207" s="199"/>
      <c r="AE207" s="199"/>
      <c r="AF207" s="199"/>
      <c r="AG207" s="199"/>
      <c r="AH207" s="136"/>
      <c r="AI207" s="199"/>
      <c r="AJ207" s="199"/>
      <c r="AK207" s="199"/>
      <c r="AL207" s="199"/>
      <c r="AM207" s="136"/>
      <c r="AN207" s="199"/>
      <c r="AO207" s="199"/>
      <c r="AP207" s="199"/>
      <c r="AQ207" s="199"/>
      <c r="AR207" s="136"/>
      <c r="AS207" s="199"/>
      <c r="AT207" s="199"/>
      <c r="AU207" s="199"/>
      <c r="AV207" s="199"/>
      <c r="AW207" s="136"/>
      <c r="AX207" s="199"/>
      <c r="AY207" s="199"/>
      <c r="AZ207" s="199"/>
      <c r="BA207" s="199"/>
      <c r="BB207" s="136"/>
      <c r="BC207" s="199"/>
      <c r="BD207" s="199"/>
      <c r="BE207" s="199"/>
      <c r="BF207" s="199"/>
      <c r="BG207" s="136"/>
      <c r="BH207" s="199"/>
      <c r="BI207" s="199"/>
      <c r="BJ207" s="199"/>
    </row>
    <row r="208" spans="1:62" x14ac:dyDescent="0.25">
      <c r="A208" s="199"/>
      <c r="B208" s="136"/>
      <c r="C208" s="199"/>
      <c r="D208" s="199"/>
      <c r="E208" s="199"/>
      <c r="F208" s="199"/>
      <c r="G208" s="199"/>
      <c r="H208" s="199"/>
      <c r="I208" s="136"/>
      <c r="J208" s="199"/>
      <c r="K208" s="199"/>
      <c r="L208" s="199"/>
      <c r="M208" s="199"/>
      <c r="N208" s="136"/>
      <c r="O208" s="199"/>
      <c r="P208" s="199"/>
      <c r="Q208" s="199"/>
      <c r="R208" s="199"/>
      <c r="S208" s="136"/>
      <c r="T208" s="199"/>
      <c r="U208" s="199"/>
      <c r="V208" s="199"/>
      <c r="W208" s="199"/>
      <c r="X208" s="136"/>
      <c r="Y208" s="199"/>
      <c r="Z208" s="199"/>
      <c r="AA208" s="199"/>
      <c r="AB208" s="199"/>
      <c r="AC208" s="136"/>
      <c r="AD208" s="199"/>
      <c r="AE208" s="199"/>
      <c r="AF208" s="199"/>
      <c r="AG208" s="199"/>
      <c r="AH208" s="136"/>
      <c r="AI208" s="199"/>
      <c r="AJ208" s="199"/>
      <c r="AK208" s="199"/>
      <c r="AL208" s="199"/>
      <c r="AM208" s="136"/>
      <c r="AN208" s="199"/>
      <c r="AO208" s="199"/>
      <c r="AP208" s="199"/>
      <c r="AQ208" s="199"/>
      <c r="AR208" s="136"/>
      <c r="AS208" s="199"/>
      <c r="AT208" s="199"/>
      <c r="AU208" s="199"/>
      <c r="AV208" s="199"/>
      <c r="AW208" s="136"/>
      <c r="AX208" s="199"/>
      <c r="AY208" s="199"/>
      <c r="AZ208" s="199"/>
      <c r="BA208" s="199"/>
      <c r="BB208" s="136"/>
      <c r="BC208" s="199"/>
      <c r="BD208" s="199"/>
      <c r="BE208" s="199"/>
      <c r="BF208" s="199"/>
      <c r="BG208" s="136"/>
      <c r="BH208" s="199"/>
      <c r="BI208" s="199"/>
      <c r="BJ208" s="199"/>
    </row>
    <row r="209" spans="1:62" x14ac:dyDescent="0.25">
      <c r="A209" s="199"/>
      <c r="B209" s="136"/>
      <c r="C209" s="199"/>
      <c r="D209" s="199"/>
      <c r="E209" s="199"/>
      <c r="F209" s="199"/>
      <c r="G209" s="199"/>
      <c r="H209" s="199"/>
      <c r="I209" s="136"/>
      <c r="J209" s="199"/>
      <c r="K209" s="199"/>
      <c r="L209" s="199"/>
      <c r="M209" s="199"/>
      <c r="N209" s="136"/>
      <c r="O209" s="199"/>
      <c r="P209" s="199"/>
      <c r="Q209" s="199"/>
      <c r="R209" s="199"/>
      <c r="S209" s="136"/>
      <c r="T209" s="199"/>
      <c r="U209" s="199"/>
      <c r="V209" s="199"/>
      <c r="W209" s="199"/>
      <c r="X209" s="136"/>
      <c r="Y209" s="199"/>
      <c r="Z209" s="199"/>
      <c r="AA209" s="199"/>
      <c r="AB209" s="199"/>
      <c r="AC209" s="136"/>
      <c r="AD209" s="199"/>
      <c r="AE209" s="199"/>
      <c r="AF209" s="199"/>
      <c r="AG209" s="199"/>
      <c r="AH209" s="136"/>
      <c r="AI209" s="199"/>
      <c r="AJ209" s="199"/>
      <c r="AK209" s="199"/>
      <c r="AL209" s="199"/>
      <c r="AM209" s="136"/>
      <c r="AN209" s="199"/>
      <c r="AO209" s="199"/>
      <c r="AP209" s="199"/>
      <c r="AQ209" s="199"/>
      <c r="AR209" s="136"/>
      <c r="AS209" s="199"/>
      <c r="AT209" s="199"/>
      <c r="AU209" s="199"/>
      <c r="AV209" s="199"/>
      <c r="AW209" s="136"/>
      <c r="AX209" s="199"/>
      <c r="AY209" s="199"/>
      <c r="AZ209" s="199"/>
      <c r="BA209" s="199"/>
      <c r="BB209" s="136"/>
      <c r="BC209" s="199"/>
      <c r="BD209" s="199"/>
      <c r="BE209" s="199"/>
      <c r="BF209" s="199"/>
      <c r="BG209" s="136"/>
      <c r="BH209" s="199"/>
      <c r="BI209" s="199"/>
      <c r="BJ209" s="199"/>
    </row>
    <row r="210" spans="1:62" x14ac:dyDescent="0.25">
      <c r="A210" s="199"/>
      <c r="B210" s="136"/>
      <c r="C210" s="199"/>
      <c r="D210" s="199"/>
      <c r="E210" s="199"/>
      <c r="F210" s="199"/>
      <c r="G210" s="199"/>
      <c r="H210" s="199"/>
      <c r="I210" s="136"/>
      <c r="J210" s="199"/>
      <c r="K210" s="199"/>
      <c r="L210" s="199"/>
      <c r="M210" s="199"/>
      <c r="N210" s="136"/>
      <c r="O210" s="199"/>
      <c r="P210" s="199"/>
      <c r="Q210" s="199"/>
      <c r="R210" s="199"/>
      <c r="S210" s="136"/>
      <c r="T210" s="199"/>
      <c r="U210" s="199"/>
      <c r="V210" s="199"/>
      <c r="W210" s="199"/>
      <c r="X210" s="136"/>
      <c r="Y210" s="199"/>
      <c r="Z210" s="199"/>
      <c r="AA210" s="199"/>
      <c r="AB210" s="199"/>
      <c r="AC210" s="136"/>
      <c r="AD210" s="199"/>
      <c r="AE210" s="199"/>
      <c r="AF210" s="199"/>
      <c r="AG210" s="199"/>
      <c r="AH210" s="136"/>
      <c r="AI210" s="199"/>
      <c r="AJ210" s="199"/>
      <c r="AK210" s="199"/>
      <c r="AL210" s="199"/>
      <c r="AM210" s="136"/>
      <c r="AN210" s="199"/>
      <c r="AO210" s="199"/>
      <c r="AP210" s="199"/>
      <c r="AQ210" s="199"/>
      <c r="AR210" s="136"/>
      <c r="AS210" s="199"/>
      <c r="AT210" s="199"/>
      <c r="AU210" s="199"/>
      <c r="AV210" s="199"/>
      <c r="AW210" s="136"/>
      <c r="AX210" s="199"/>
      <c r="AY210" s="199"/>
      <c r="AZ210" s="199"/>
      <c r="BA210" s="199"/>
      <c r="BB210" s="136"/>
      <c r="BC210" s="199"/>
      <c r="BD210" s="199"/>
      <c r="BE210" s="199"/>
      <c r="BF210" s="199"/>
      <c r="BG210" s="136"/>
      <c r="BH210" s="199"/>
      <c r="BI210" s="199"/>
      <c r="BJ210" s="199"/>
    </row>
    <row r="211" spans="1:62" x14ac:dyDescent="0.25">
      <c r="A211" s="199"/>
      <c r="B211" s="136"/>
      <c r="C211" s="199"/>
      <c r="D211" s="199"/>
      <c r="E211" s="199"/>
      <c r="F211" s="199"/>
      <c r="G211" s="199"/>
      <c r="H211" s="199"/>
      <c r="I211" s="136"/>
      <c r="J211" s="199"/>
      <c r="K211" s="199"/>
      <c r="L211" s="199"/>
      <c r="M211" s="199"/>
      <c r="N211" s="136"/>
      <c r="O211" s="199"/>
      <c r="P211" s="199"/>
      <c r="Q211" s="199"/>
      <c r="R211" s="199"/>
      <c r="S211" s="136"/>
      <c r="T211" s="199"/>
      <c r="U211" s="199"/>
      <c r="V211" s="199"/>
      <c r="W211" s="199"/>
      <c r="X211" s="136"/>
      <c r="Y211" s="199"/>
      <c r="Z211" s="199"/>
      <c r="AA211" s="199"/>
      <c r="AB211" s="199"/>
      <c r="AC211" s="136"/>
      <c r="AD211" s="199"/>
      <c r="AE211" s="199"/>
      <c r="AF211" s="199"/>
      <c r="AG211" s="199"/>
      <c r="AH211" s="136"/>
      <c r="AI211" s="199"/>
      <c r="AJ211" s="199"/>
      <c r="AK211" s="199"/>
      <c r="AL211" s="199"/>
      <c r="AM211" s="136"/>
      <c r="AN211" s="199"/>
      <c r="AO211" s="199"/>
      <c r="AP211" s="199"/>
      <c r="AQ211" s="199"/>
      <c r="AR211" s="136"/>
      <c r="AS211" s="199"/>
      <c r="AT211" s="199"/>
      <c r="AU211" s="199"/>
      <c r="AV211" s="199"/>
      <c r="AW211" s="136"/>
      <c r="AX211" s="199"/>
      <c r="AY211" s="199"/>
      <c r="AZ211" s="199"/>
      <c r="BA211" s="199"/>
      <c r="BB211" s="136"/>
      <c r="BC211" s="199"/>
      <c r="BD211" s="199"/>
      <c r="BE211" s="199"/>
      <c r="BF211" s="199"/>
      <c r="BG211" s="136"/>
      <c r="BH211" s="199"/>
      <c r="BI211" s="199"/>
      <c r="BJ211" s="199"/>
    </row>
    <row r="212" spans="1:62" x14ac:dyDescent="0.25">
      <c r="A212" s="199"/>
      <c r="B212" s="136"/>
      <c r="C212" s="199"/>
      <c r="D212" s="199"/>
      <c r="E212" s="199"/>
      <c r="F212" s="199"/>
      <c r="G212" s="199"/>
      <c r="H212" s="199"/>
      <c r="I212" s="136"/>
      <c r="J212" s="199"/>
      <c r="K212" s="199"/>
      <c r="L212" s="199"/>
      <c r="M212" s="199"/>
      <c r="N212" s="136"/>
      <c r="O212" s="199"/>
      <c r="P212" s="199"/>
      <c r="Q212" s="199"/>
      <c r="R212" s="199"/>
      <c r="S212" s="136"/>
      <c r="T212" s="199"/>
      <c r="U212" s="199"/>
      <c r="V212" s="199"/>
      <c r="W212" s="199"/>
      <c r="X212" s="136"/>
      <c r="Y212" s="199"/>
      <c r="Z212" s="199"/>
      <c r="AA212" s="199"/>
      <c r="AB212" s="199"/>
      <c r="AC212" s="136"/>
      <c r="AD212" s="199"/>
      <c r="AE212" s="199"/>
      <c r="AF212" s="199"/>
      <c r="AG212" s="199"/>
      <c r="AH212" s="136"/>
      <c r="AI212" s="199"/>
      <c r="AJ212" s="199"/>
      <c r="AK212" s="199"/>
      <c r="AL212" s="199"/>
      <c r="AM212" s="136"/>
      <c r="AN212" s="199"/>
      <c r="AO212" s="199"/>
      <c r="AP212" s="199"/>
      <c r="AQ212" s="199"/>
      <c r="AR212" s="136"/>
      <c r="AS212" s="199"/>
      <c r="AT212" s="199"/>
      <c r="AU212" s="199"/>
      <c r="AV212" s="199"/>
      <c r="AW212" s="136"/>
      <c r="AX212" s="199"/>
      <c r="AY212" s="199"/>
      <c r="AZ212" s="199"/>
      <c r="BA212" s="199"/>
      <c r="BB212" s="136"/>
      <c r="BC212" s="199"/>
      <c r="BD212" s="199"/>
      <c r="BE212" s="199"/>
      <c r="BF212" s="199"/>
      <c r="BG212" s="136"/>
      <c r="BH212" s="199"/>
      <c r="BI212" s="199"/>
      <c r="BJ212" s="199"/>
    </row>
    <row r="213" spans="1:62" x14ac:dyDescent="0.25">
      <c r="A213" s="199"/>
      <c r="B213" s="136"/>
      <c r="C213" s="199"/>
      <c r="D213" s="199"/>
      <c r="E213" s="199"/>
      <c r="F213" s="199"/>
      <c r="G213" s="199"/>
      <c r="H213" s="199"/>
      <c r="I213" s="136"/>
      <c r="J213" s="199"/>
      <c r="K213" s="199"/>
      <c r="L213" s="199"/>
      <c r="M213" s="199"/>
      <c r="N213" s="136"/>
      <c r="O213" s="199"/>
      <c r="P213" s="199"/>
      <c r="Q213" s="199"/>
      <c r="R213" s="199"/>
      <c r="S213" s="136"/>
      <c r="T213" s="199"/>
      <c r="U213" s="199"/>
      <c r="V213" s="199"/>
      <c r="W213" s="199"/>
      <c r="X213" s="136"/>
      <c r="Y213" s="199"/>
      <c r="Z213" s="199"/>
      <c r="AA213" s="199"/>
      <c r="AB213" s="199"/>
      <c r="AC213" s="136"/>
      <c r="AD213" s="199"/>
      <c r="AE213" s="199"/>
      <c r="AF213" s="199"/>
      <c r="AG213" s="199"/>
      <c r="AH213" s="136"/>
      <c r="AI213" s="199"/>
      <c r="AJ213" s="199"/>
      <c r="AK213" s="199"/>
      <c r="AL213" s="199"/>
      <c r="AM213" s="136"/>
      <c r="AN213" s="199"/>
      <c r="AO213" s="199"/>
      <c r="AP213" s="199"/>
      <c r="AQ213" s="199"/>
      <c r="AR213" s="136"/>
      <c r="AS213" s="199"/>
      <c r="AT213" s="199"/>
      <c r="AU213" s="199"/>
      <c r="AV213" s="199"/>
      <c r="AW213" s="136"/>
      <c r="AX213" s="199"/>
      <c r="AY213" s="199"/>
      <c r="AZ213" s="199"/>
      <c r="BA213" s="199"/>
      <c r="BB213" s="136"/>
      <c r="BC213" s="199"/>
      <c r="BD213" s="199"/>
      <c r="BE213" s="199"/>
      <c r="BF213" s="199"/>
      <c r="BG213" s="136"/>
      <c r="BH213" s="199"/>
      <c r="BI213" s="199"/>
      <c r="BJ213" s="199"/>
    </row>
    <row r="214" spans="1:62" x14ac:dyDescent="0.25">
      <c r="A214" s="199"/>
      <c r="B214" s="136"/>
      <c r="C214" s="199"/>
      <c r="D214" s="199"/>
      <c r="E214" s="199"/>
      <c r="F214" s="199"/>
      <c r="G214" s="199"/>
      <c r="H214" s="199"/>
      <c r="I214" s="136"/>
      <c r="J214" s="199"/>
      <c r="K214" s="199"/>
      <c r="L214" s="199"/>
      <c r="M214" s="199"/>
      <c r="N214" s="136"/>
      <c r="O214" s="199"/>
      <c r="P214" s="199"/>
      <c r="Q214" s="199"/>
      <c r="R214" s="199"/>
      <c r="S214" s="136"/>
      <c r="T214" s="199"/>
      <c r="U214" s="199"/>
      <c r="V214" s="199"/>
      <c r="W214" s="199"/>
      <c r="X214" s="136"/>
      <c r="Y214" s="199"/>
      <c r="Z214" s="199"/>
      <c r="AA214" s="199"/>
      <c r="AB214" s="199"/>
      <c r="AC214" s="136"/>
      <c r="AD214" s="199"/>
      <c r="AE214" s="199"/>
      <c r="AF214" s="199"/>
      <c r="AG214" s="199"/>
      <c r="AH214" s="136"/>
      <c r="AI214" s="199"/>
      <c r="AJ214" s="199"/>
      <c r="AK214" s="199"/>
      <c r="AL214" s="199"/>
      <c r="AM214" s="136"/>
      <c r="AN214" s="199"/>
      <c r="AO214" s="199"/>
      <c r="AP214" s="199"/>
      <c r="AQ214" s="199"/>
      <c r="AR214" s="136"/>
      <c r="AS214" s="199"/>
      <c r="AT214" s="199"/>
      <c r="AU214" s="199"/>
      <c r="AV214" s="199"/>
      <c r="AW214" s="136"/>
      <c r="AX214" s="199"/>
      <c r="AY214" s="199"/>
      <c r="AZ214" s="199"/>
      <c r="BA214" s="199"/>
      <c r="BB214" s="136"/>
      <c r="BC214" s="199"/>
      <c r="BD214" s="199"/>
      <c r="BE214" s="199"/>
      <c r="BF214" s="199"/>
      <c r="BG214" s="136"/>
      <c r="BH214" s="199"/>
      <c r="BI214" s="199"/>
      <c r="BJ214" s="199"/>
    </row>
    <row r="218" spans="1:62" ht="36" x14ac:dyDescent="0.25">
      <c r="A218" s="169"/>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row>
    <row r="219" spans="1:62" x14ac:dyDescent="0.25">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row>
    <row r="220" spans="1:62" x14ac:dyDescent="0.25">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row>
    <row r="221" spans="1:62" ht="36" x14ac:dyDescent="0.25">
      <c r="A221" s="169"/>
      <c r="B221" s="169"/>
      <c r="C221" s="169"/>
      <c r="D221" s="169"/>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c r="AZ221" s="169"/>
      <c r="BA221" s="169"/>
      <c r="BB221" s="169"/>
      <c r="BC221" s="169"/>
      <c r="BD221" s="169"/>
      <c r="BE221" s="169"/>
      <c r="BF221" s="169"/>
      <c r="BG221" s="169"/>
      <c r="BH221" s="169"/>
      <c r="BI221" s="169"/>
      <c r="BJ221" s="169"/>
    </row>
    <row r="222" spans="1:62" ht="36" x14ac:dyDescent="0.25">
      <c r="A222" s="169"/>
      <c r="B222" s="169"/>
      <c r="C222" s="169"/>
      <c r="D222" s="169"/>
      <c r="E222" s="169"/>
      <c r="F222" s="169"/>
      <c r="G222" s="169"/>
      <c r="H222" s="169"/>
      <c r="I222" s="169"/>
      <c r="J222" s="169"/>
      <c r="K222" s="169"/>
      <c r="L222" s="169"/>
      <c r="M222" s="169"/>
      <c r="N222" s="169"/>
      <c r="O222" s="169"/>
      <c r="P222" s="169"/>
      <c r="Q222" s="169"/>
      <c r="R222" s="169"/>
      <c r="S222" s="169"/>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c r="AZ222" s="169"/>
      <c r="BA222" s="169"/>
      <c r="BB222" s="169"/>
      <c r="BC222" s="169"/>
      <c r="BD222" s="169"/>
      <c r="BE222" s="169"/>
      <c r="BF222" s="169"/>
      <c r="BG222" s="169"/>
      <c r="BH222" s="169"/>
      <c r="BI222" s="169"/>
      <c r="BJ222" s="169"/>
    </row>
    <row r="223" spans="1:62" ht="36" x14ac:dyDescent="0.25">
      <c r="A223" s="169"/>
      <c r="B223" s="169"/>
      <c r="C223" s="169"/>
      <c r="D223" s="169"/>
      <c r="E223" s="169"/>
      <c r="F223" s="169"/>
      <c r="G223" s="169"/>
      <c r="H223" s="169"/>
      <c r="I223" s="169"/>
      <c r="J223" s="169"/>
      <c r="K223" s="169"/>
      <c r="L223" s="169"/>
      <c r="M223" s="169"/>
      <c r="N223" s="169"/>
      <c r="O223" s="169"/>
      <c r="P223" s="169"/>
      <c r="Q223" s="169"/>
      <c r="R223" s="169"/>
      <c r="S223" s="169"/>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c r="AZ223" s="169"/>
      <c r="BA223" s="169"/>
      <c r="BB223" s="169"/>
      <c r="BC223" s="169"/>
      <c r="BD223" s="169"/>
      <c r="BE223" s="169"/>
      <c r="BF223" s="169"/>
      <c r="BG223" s="169"/>
      <c r="BH223" s="169"/>
      <c r="BI223" s="169"/>
      <c r="BJ223" s="169"/>
    </row>
    <row r="224" spans="1:62" x14ac:dyDescent="0.25">
      <c r="F224" s="194"/>
      <c r="G224" s="194"/>
    </row>
    <row r="226" spans="1:62" x14ac:dyDescent="0.25">
      <c r="A226" s="199"/>
      <c r="B226" s="136"/>
      <c r="C226" s="199"/>
      <c r="D226" s="199"/>
      <c r="E226" s="199"/>
      <c r="F226" s="199"/>
      <c r="G226" s="199"/>
      <c r="H226" s="199"/>
      <c r="I226" s="136"/>
      <c r="J226" s="199"/>
      <c r="K226" s="199"/>
      <c r="L226" s="199"/>
      <c r="M226" s="199"/>
      <c r="N226" s="136"/>
      <c r="O226" s="199"/>
      <c r="P226" s="199"/>
      <c r="Q226" s="199"/>
      <c r="R226" s="199"/>
      <c r="S226" s="136"/>
      <c r="T226" s="199"/>
      <c r="U226" s="199"/>
      <c r="V226" s="199"/>
      <c r="W226" s="199"/>
      <c r="X226" s="136"/>
      <c r="Y226" s="199"/>
      <c r="Z226" s="199"/>
      <c r="AA226" s="199"/>
      <c r="AB226" s="199"/>
      <c r="AC226" s="136"/>
      <c r="AD226" s="199"/>
      <c r="AE226" s="199"/>
      <c r="AF226" s="199"/>
      <c r="AG226" s="199"/>
      <c r="AH226" s="136"/>
      <c r="AI226" s="199"/>
      <c r="AJ226" s="199"/>
      <c r="AK226" s="199"/>
      <c r="AL226" s="199"/>
      <c r="AM226" s="136"/>
      <c r="AN226" s="199"/>
      <c r="AO226" s="199"/>
      <c r="AP226" s="199"/>
      <c r="AQ226" s="199"/>
      <c r="AR226" s="136"/>
      <c r="AS226" s="199"/>
      <c r="AT226" s="199"/>
      <c r="AU226" s="199"/>
      <c r="AV226" s="199"/>
      <c r="AW226" s="136"/>
      <c r="AX226" s="199"/>
      <c r="AY226" s="199"/>
      <c r="AZ226" s="199"/>
      <c r="BA226" s="199"/>
      <c r="BB226" s="136"/>
      <c r="BC226" s="199"/>
      <c r="BD226" s="199"/>
      <c r="BE226" s="199"/>
      <c r="BF226" s="199"/>
      <c r="BG226" s="136"/>
      <c r="BH226" s="199"/>
      <c r="BI226" s="199"/>
      <c r="BJ226" s="199"/>
    </row>
    <row r="227" spans="1:62" x14ac:dyDescent="0.25">
      <c r="A227" s="199"/>
      <c r="B227" s="136"/>
      <c r="C227" s="199"/>
      <c r="D227" s="199"/>
      <c r="E227" s="199"/>
      <c r="F227" s="199"/>
      <c r="G227" s="199"/>
      <c r="H227" s="199"/>
      <c r="I227" s="136"/>
      <c r="J227" s="199"/>
      <c r="K227" s="199"/>
      <c r="L227" s="199"/>
      <c r="M227" s="199"/>
      <c r="N227" s="136"/>
      <c r="O227" s="199"/>
      <c r="P227" s="199"/>
      <c r="Q227" s="199"/>
      <c r="R227" s="199"/>
      <c r="S227" s="136"/>
      <c r="T227" s="199"/>
      <c r="U227" s="199"/>
      <c r="V227" s="199"/>
      <c r="W227" s="199"/>
      <c r="X227" s="136"/>
      <c r="Y227" s="199"/>
      <c r="Z227" s="199"/>
      <c r="AA227" s="199"/>
      <c r="AB227" s="199"/>
      <c r="AC227" s="136"/>
      <c r="AD227" s="199"/>
      <c r="AE227" s="199"/>
      <c r="AF227" s="199"/>
      <c r="AG227" s="199"/>
      <c r="AH227" s="136"/>
      <c r="AI227" s="199"/>
      <c r="AJ227" s="199"/>
      <c r="AK227" s="199"/>
      <c r="AL227" s="199"/>
      <c r="AM227" s="136"/>
      <c r="AN227" s="199"/>
      <c r="AO227" s="199"/>
      <c r="AP227" s="199"/>
      <c r="AQ227" s="199"/>
      <c r="AR227" s="136"/>
      <c r="AS227" s="199"/>
      <c r="AT227" s="199"/>
      <c r="AU227" s="199"/>
      <c r="AV227" s="199"/>
      <c r="AW227" s="136"/>
      <c r="AX227" s="199"/>
      <c r="AY227" s="199"/>
      <c r="AZ227" s="199"/>
      <c r="BA227" s="199"/>
      <c r="BB227" s="136"/>
      <c r="BC227" s="199"/>
      <c r="BD227" s="199"/>
      <c r="BE227" s="199"/>
      <c r="BF227" s="199"/>
      <c r="BG227" s="136"/>
      <c r="BH227" s="199"/>
      <c r="BI227" s="199"/>
      <c r="BJ227" s="199"/>
    </row>
    <row r="228" spans="1:62" x14ac:dyDescent="0.25">
      <c r="A228" s="199"/>
      <c r="B228" s="136"/>
      <c r="C228" s="199"/>
      <c r="D228" s="199"/>
      <c r="E228" s="199"/>
      <c r="F228" s="199"/>
      <c r="G228" s="199"/>
      <c r="H228" s="199"/>
      <c r="I228" s="136"/>
      <c r="J228" s="199"/>
      <c r="K228" s="199"/>
      <c r="L228" s="199"/>
      <c r="M228" s="199"/>
      <c r="N228" s="136"/>
      <c r="O228" s="199"/>
      <c r="P228" s="199"/>
      <c r="Q228" s="199"/>
      <c r="R228" s="199"/>
      <c r="S228" s="136"/>
      <c r="T228" s="199"/>
      <c r="U228" s="199"/>
      <c r="V228" s="199"/>
      <c r="W228" s="199"/>
      <c r="X228" s="136"/>
      <c r="Y228" s="199"/>
      <c r="Z228" s="199"/>
      <c r="AA228" s="199"/>
      <c r="AB228" s="199"/>
      <c r="AC228" s="136"/>
      <c r="AD228" s="199"/>
      <c r="AE228" s="199"/>
      <c r="AF228" s="199"/>
      <c r="AG228" s="199"/>
      <c r="AH228" s="136"/>
      <c r="AI228" s="199"/>
      <c r="AJ228" s="199"/>
      <c r="AK228" s="199"/>
      <c r="AL228" s="199"/>
      <c r="AM228" s="136"/>
      <c r="AN228" s="199"/>
      <c r="AO228" s="199"/>
      <c r="AP228" s="199"/>
      <c r="AQ228" s="199"/>
      <c r="AR228" s="136"/>
      <c r="AS228" s="199"/>
      <c r="AT228" s="199"/>
      <c r="AU228" s="199"/>
      <c r="AV228" s="199"/>
      <c r="AW228" s="136"/>
      <c r="AX228" s="199"/>
      <c r="AY228" s="199"/>
      <c r="AZ228" s="199"/>
      <c r="BA228" s="199"/>
      <c r="BB228" s="136"/>
      <c r="BC228" s="199"/>
      <c r="BD228" s="199"/>
      <c r="BE228" s="199"/>
      <c r="BF228" s="199"/>
      <c r="BG228" s="136"/>
      <c r="BH228" s="199"/>
      <c r="BI228" s="199"/>
      <c r="BJ228" s="199"/>
    </row>
    <row r="229" spans="1:62" x14ac:dyDescent="0.25">
      <c r="A229" s="199"/>
      <c r="B229" s="136"/>
      <c r="C229" s="199"/>
      <c r="D229" s="199"/>
      <c r="E229" s="199"/>
      <c r="F229" s="199"/>
      <c r="G229" s="199"/>
      <c r="H229" s="199"/>
      <c r="I229" s="136"/>
      <c r="J229" s="199"/>
      <c r="K229" s="199"/>
      <c r="L229" s="199"/>
      <c r="M229" s="199"/>
      <c r="N229" s="136"/>
      <c r="O229" s="199"/>
      <c r="P229" s="199"/>
      <c r="Q229" s="199"/>
      <c r="R229" s="199"/>
      <c r="S229" s="136"/>
      <c r="T229" s="199"/>
      <c r="U229" s="199"/>
      <c r="V229" s="199"/>
      <c r="W229" s="199"/>
      <c r="X229" s="136"/>
      <c r="Y229" s="199"/>
      <c r="Z229" s="199"/>
      <c r="AA229" s="199"/>
      <c r="AB229" s="199"/>
      <c r="AC229" s="136"/>
      <c r="AD229" s="199"/>
      <c r="AE229" s="199"/>
      <c r="AF229" s="199"/>
      <c r="AG229" s="199"/>
      <c r="AH229" s="136"/>
      <c r="AI229" s="199"/>
      <c r="AJ229" s="199"/>
      <c r="AK229" s="199"/>
      <c r="AL229" s="199"/>
      <c r="AM229" s="136"/>
      <c r="AN229" s="199"/>
      <c r="AO229" s="199"/>
      <c r="AP229" s="199"/>
      <c r="AQ229" s="199"/>
      <c r="AR229" s="136"/>
      <c r="AS229" s="199"/>
      <c r="AT229" s="199"/>
      <c r="AU229" s="199"/>
      <c r="AV229" s="199"/>
      <c r="AW229" s="136"/>
      <c r="AX229" s="199"/>
      <c r="AY229" s="199"/>
      <c r="AZ229" s="199"/>
      <c r="BA229" s="199"/>
      <c r="BB229" s="136"/>
      <c r="BC229" s="199"/>
      <c r="BD229" s="199"/>
      <c r="BE229" s="199"/>
      <c r="BF229" s="199"/>
      <c r="BG229" s="136"/>
      <c r="BH229" s="199"/>
      <c r="BI229" s="199"/>
      <c r="BJ229" s="199"/>
    </row>
    <row r="230" spans="1:62" x14ac:dyDescent="0.25">
      <c r="A230" s="199"/>
      <c r="B230" s="136"/>
      <c r="C230" s="199"/>
      <c r="D230" s="199"/>
      <c r="E230" s="199"/>
      <c r="F230" s="199"/>
      <c r="G230" s="199"/>
      <c r="H230" s="199"/>
      <c r="I230" s="136"/>
      <c r="J230" s="199"/>
      <c r="K230" s="199"/>
      <c r="L230" s="199"/>
      <c r="M230" s="199"/>
      <c r="N230" s="136"/>
      <c r="O230" s="199"/>
      <c r="P230" s="199"/>
      <c r="Q230" s="199"/>
      <c r="R230" s="199"/>
      <c r="S230" s="136"/>
      <c r="T230" s="199"/>
      <c r="U230" s="199"/>
      <c r="V230" s="199"/>
      <c r="W230" s="199"/>
      <c r="X230" s="136"/>
      <c r="Y230" s="199"/>
      <c r="Z230" s="199"/>
      <c r="AA230" s="199"/>
      <c r="AB230" s="199"/>
      <c r="AC230" s="136"/>
      <c r="AD230" s="199"/>
      <c r="AE230" s="199"/>
      <c r="AF230" s="199"/>
      <c r="AG230" s="199"/>
      <c r="AH230" s="136"/>
      <c r="AI230" s="199"/>
      <c r="AJ230" s="199"/>
      <c r="AK230" s="199"/>
      <c r="AL230" s="199"/>
      <c r="AM230" s="136"/>
      <c r="AN230" s="199"/>
      <c r="AO230" s="199"/>
      <c r="AP230" s="199"/>
      <c r="AQ230" s="199"/>
      <c r="AR230" s="136"/>
      <c r="AS230" s="199"/>
      <c r="AT230" s="199"/>
      <c r="AU230" s="199"/>
      <c r="AV230" s="199"/>
      <c r="AW230" s="136"/>
      <c r="AX230" s="199"/>
      <c r="AY230" s="199"/>
      <c r="AZ230" s="199"/>
      <c r="BA230" s="199"/>
      <c r="BB230" s="136"/>
      <c r="BC230" s="199"/>
      <c r="BD230" s="199"/>
      <c r="BE230" s="199"/>
      <c r="BF230" s="199"/>
      <c r="BG230" s="136"/>
      <c r="BH230" s="199"/>
      <c r="BI230" s="199"/>
      <c r="BJ230" s="199"/>
    </row>
    <row r="231" spans="1:62" x14ac:dyDescent="0.25">
      <c r="A231" s="199"/>
      <c r="B231" s="136"/>
      <c r="C231" s="199"/>
      <c r="D231" s="199"/>
      <c r="E231" s="199"/>
      <c r="F231" s="199"/>
      <c r="G231" s="199"/>
      <c r="H231" s="199"/>
      <c r="I231" s="136"/>
      <c r="J231" s="199"/>
      <c r="K231" s="199"/>
      <c r="L231" s="199"/>
      <c r="M231" s="199"/>
      <c r="N231" s="136"/>
      <c r="O231" s="199"/>
      <c r="P231" s="199"/>
      <c r="Q231" s="199"/>
      <c r="R231" s="199"/>
      <c r="S231" s="136"/>
      <c r="T231" s="199"/>
      <c r="U231" s="199"/>
      <c r="V231" s="199"/>
      <c r="W231" s="199"/>
      <c r="X231" s="136"/>
      <c r="Y231" s="199"/>
      <c r="Z231" s="199"/>
      <c r="AA231" s="199"/>
      <c r="AB231" s="199"/>
      <c r="AC231" s="136"/>
      <c r="AD231" s="199"/>
      <c r="AE231" s="199"/>
      <c r="AF231" s="199"/>
      <c r="AG231" s="199"/>
      <c r="AH231" s="136"/>
      <c r="AI231" s="199"/>
      <c r="AJ231" s="199"/>
      <c r="AK231" s="199"/>
      <c r="AL231" s="199"/>
      <c r="AM231" s="136"/>
      <c r="AN231" s="199"/>
      <c r="AO231" s="199"/>
      <c r="AP231" s="199"/>
      <c r="AQ231" s="199"/>
      <c r="AR231" s="136"/>
      <c r="AS231" s="199"/>
      <c r="AT231" s="199"/>
      <c r="AU231" s="199"/>
      <c r="AV231" s="199"/>
      <c r="AW231" s="136"/>
      <c r="AX231" s="199"/>
      <c r="AY231" s="199"/>
      <c r="AZ231" s="199"/>
      <c r="BA231" s="199"/>
      <c r="BB231" s="136"/>
      <c r="BC231" s="199"/>
      <c r="BD231" s="199"/>
      <c r="BE231" s="199"/>
      <c r="BF231" s="199"/>
      <c r="BG231" s="136"/>
      <c r="BH231" s="199"/>
      <c r="BI231" s="199"/>
      <c r="BJ231" s="199"/>
    </row>
    <row r="232" spans="1:62" x14ac:dyDescent="0.25">
      <c r="A232" s="199"/>
      <c r="B232" s="136"/>
      <c r="C232" s="199"/>
      <c r="D232" s="199"/>
      <c r="E232" s="199"/>
      <c r="F232" s="199"/>
      <c r="G232" s="199"/>
      <c r="H232" s="199"/>
      <c r="I232" s="136"/>
      <c r="J232" s="199"/>
      <c r="K232" s="199"/>
      <c r="L232" s="199"/>
      <c r="M232" s="199"/>
      <c r="N232" s="136"/>
      <c r="O232" s="199"/>
      <c r="P232" s="199"/>
      <c r="Q232" s="199"/>
      <c r="R232" s="199"/>
      <c r="S232" s="136"/>
      <c r="T232" s="199"/>
      <c r="U232" s="199"/>
      <c r="V232" s="199"/>
      <c r="W232" s="199"/>
      <c r="X232" s="136"/>
      <c r="Y232" s="199"/>
      <c r="Z232" s="199"/>
      <c r="AA232" s="199"/>
      <c r="AB232" s="199"/>
      <c r="AC232" s="136"/>
      <c r="AD232" s="199"/>
      <c r="AE232" s="199"/>
      <c r="AF232" s="199"/>
      <c r="AG232" s="199"/>
      <c r="AH232" s="136"/>
      <c r="AI232" s="199"/>
      <c r="AJ232" s="199"/>
      <c r="AK232" s="199"/>
      <c r="AL232" s="199"/>
      <c r="AM232" s="136"/>
      <c r="AN232" s="199"/>
      <c r="AO232" s="199"/>
      <c r="AP232" s="199"/>
      <c r="AQ232" s="199"/>
      <c r="AR232" s="136"/>
      <c r="AS232" s="199"/>
      <c r="AT232" s="199"/>
      <c r="AU232" s="199"/>
      <c r="AV232" s="199"/>
      <c r="AW232" s="136"/>
      <c r="AX232" s="199"/>
      <c r="AY232" s="199"/>
      <c r="AZ232" s="199"/>
      <c r="BA232" s="199"/>
      <c r="BB232" s="136"/>
      <c r="BC232" s="199"/>
      <c r="BD232" s="199"/>
      <c r="BE232" s="199"/>
      <c r="BF232" s="199"/>
      <c r="BG232" s="136"/>
      <c r="BH232" s="199"/>
      <c r="BI232" s="199"/>
      <c r="BJ232" s="199"/>
    </row>
    <row r="233" spans="1:62" x14ac:dyDescent="0.25">
      <c r="A233" s="199"/>
      <c r="B233" s="136"/>
      <c r="C233" s="199"/>
      <c r="D233" s="199"/>
      <c r="E233" s="199"/>
      <c r="F233" s="199"/>
      <c r="G233" s="199"/>
      <c r="H233" s="199"/>
      <c r="I233" s="136"/>
      <c r="J233" s="199"/>
      <c r="K233" s="199"/>
      <c r="L233" s="199"/>
      <c r="M233" s="199"/>
      <c r="N233" s="136"/>
      <c r="O233" s="199"/>
      <c r="P233" s="199"/>
      <c r="Q233" s="199"/>
      <c r="R233" s="199"/>
      <c r="S233" s="136"/>
      <c r="T233" s="199"/>
      <c r="U233" s="199"/>
      <c r="V233" s="199"/>
      <c r="W233" s="199"/>
      <c r="X233" s="136"/>
      <c r="Y233" s="199"/>
      <c r="Z233" s="199"/>
      <c r="AA233" s="199"/>
      <c r="AB233" s="199"/>
      <c r="AC233" s="136"/>
      <c r="AD233" s="199"/>
      <c r="AE233" s="199"/>
      <c r="AF233" s="199"/>
      <c r="AG233" s="199"/>
      <c r="AH233" s="136"/>
      <c r="AI233" s="199"/>
      <c r="AJ233" s="199"/>
      <c r="AK233" s="199"/>
      <c r="AL233" s="199"/>
      <c r="AM233" s="136"/>
      <c r="AN233" s="199"/>
      <c r="AO233" s="199"/>
      <c r="AP233" s="199"/>
      <c r="AQ233" s="199"/>
      <c r="AR233" s="136"/>
      <c r="AS233" s="199"/>
      <c r="AT233" s="199"/>
      <c r="AU233" s="199"/>
      <c r="AV233" s="199"/>
      <c r="AW233" s="136"/>
      <c r="AX233" s="199"/>
      <c r="AY233" s="199"/>
      <c r="AZ233" s="199"/>
      <c r="BA233" s="199"/>
      <c r="BB233" s="136"/>
      <c r="BC233" s="199"/>
      <c r="BD233" s="199"/>
      <c r="BE233" s="199"/>
      <c r="BF233" s="199"/>
      <c r="BG233" s="136"/>
      <c r="BH233" s="199"/>
      <c r="BI233" s="199"/>
      <c r="BJ233" s="199"/>
    </row>
    <row r="237" spans="1:62" ht="36" x14ac:dyDescent="0.25">
      <c r="A237" s="169"/>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row>
    <row r="238" spans="1:62" x14ac:dyDescent="0.25">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row>
    <row r="239" spans="1:62" x14ac:dyDescent="0.25">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row>
    <row r="240" spans="1:62" ht="36" x14ac:dyDescent="0.25">
      <c r="A240" s="169"/>
      <c r="B240" s="169"/>
      <c r="C240" s="169"/>
      <c r="D240" s="169"/>
      <c r="E240" s="169"/>
      <c r="F240" s="169"/>
      <c r="G240" s="169"/>
      <c r="H240" s="169"/>
      <c r="I240" s="169"/>
      <c r="J240" s="169"/>
      <c r="K240" s="169"/>
      <c r="L240" s="169"/>
      <c r="M240" s="169"/>
      <c r="N240" s="169"/>
      <c r="O240" s="169"/>
      <c r="P240" s="169"/>
      <c r="Q240" s="169"/>
      <c r="R240" s="169"/>
      <c r="S240" s="169"/>
      <c r="T240" s="169"/>
      <c r="U240" s="169"/>
      <c r="V240" s="169"/>
      <c r="W240" s="169"/>
      <c r="X240" s="169"/>
      <c r="Y240" s="169"/>
      <c r="Z240" s="169"/>
      <c r="AA240" s="169"/>
      <c r="AB240" s="169"/>
      <c r="AC240" s="169"/>
      <c r="AD240" s="169"/>
      <c r="AE240" s="169"/>
      <c r="AF240" s="169"/>
      <c r="AG240" s="169"/>
      <c r="AH240" s="169"/>
      <c r="AI240" s="169"/>
      <c r="AJ240" s="169"/>
      <c r="AK240" s="169"/>
      <c r="AL240" s="169"/>
      <c r="AM240" s="169"/>
      <c r="AN240" s="169"/>
      <c r="AO240" s="169"/>
      <c r="AP240" s="169"/>
      <c r="AQ240" s="169"/>
      <c r="AR240" s="169"/>
      <c r="AS240" s="169"/>
      <c r="AT240" s="169"/>
      <c r="AU240" s="169"/>
      <c r="AV240" s="169"/>
      <c r="AW240" s="169"/>
      <c r="AX240" s="169"/>
      <c r="AY240" s="169"/>
      <c r="AZ240" s="169"/>
      <c r="BA240" s="169"/>
      <c r="BB240" s="169"/>
      <c r="BC240" s="169"/>
      <c r="BD240" s="169"/>
      <c r="BE240" s="169"/>
      <c r="BF240" s="169"/>
      <c r="BG240" s="169"/>
      <c r="BH240" s="169"/>
      <c r="BI240" s="169"/>
      <c r="BJ240" s="169"/>
    </row>
    <row r="241" spans="1:62" ht="36" x14ac:dyDescent="0.25">
      <c r="A241" s="169"/>
      <c r="B241" s="169"/>
      <c r="C241" s="169"/>
      <c r="D241" s="169"/>
      <c r="E241" s="169"/>
      <c r="F241" s="169"/>
      <c r="G241" s="169"/>
      <c r="H241" s="169"/>
      <c r="I241" s="169"/>
      <c r="J241" s="169"/>
      <c r="K241" s="169"/>
      <c r="L241" s="169"/>
      <c r="M241" s="169"/>
      <c r="N241" s="169"/>
      <c r="O241" s="169"/>
      <c r="P241" s="169"/>
      <c r="Q241" s="169"/>
      <c r="R241" s="169"/>
      <c r="S241" s="169"/>
      <c r="T241" s="169"/>
      <c r="U241" s="169"/>
      <c r="V241" s="169"/>
      <c r="W241" s="169"/>
      <c r="X241" s="169"/>
      <c r="Y241" s="169"/>
      <c r="Z241" s="169"/>
      <c r="AA241" s="169"/>
      <c r="AB241" s="169"/>
      <c r="AC241" s="169"/>
      <c r="AD241" s="169"/>
      <c r="AE241" s="169"/>
      <c r="AF241" s="169"/>
      <c r="AG241" s="169"/>
      <c r="AH241" s="169"/>
      <c r="AI241" s="169"/>
      <c r="AJ241" s="169"/>
      <c r="AK241" s="169"/>
      <c r="AL241" s="169"/>
      <c r="AM241" s="169"/>
      <c r="AN241" s="169"/>
      <c r="AO241" s="169"/>
      <c r="AP241" s="169"/>
      <c r="AQ241" s="169"/>
      <c r="AR241" s="169"/>
      <c r="AS241" s="169"/>
      <c r="AT241" s="169"/>
      <c r="AU241" s="169"/>
      <c r="AV241" s="169"/>
      <c r="AW241" s="169"/>
      <c r="AX241" s="169"/>
      <c r="AY241" s="169"/>
      <c r="AZ241" s="169"/>
      <c r="BA241" s="169"/>
      <c r="BB241" s="169"/>
      <c r="BC241" s="169"/>
      <c r="BD241" s="169"/>
      <c r="BE241" s="169"/>
      <c r="BF241" s="169"/>
      <c r="BG241" s="169"/>
      <c r="BH241" s="169"/>
      <c r="BI241" s="169"/>
      <c r="BJ241" s="169"/>
    </row>
    <row r="242" spans="1:62" ht="36" x14ac:dyDescent="0.25">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c r="AA242" s="169"/>
      <c r="AB242" s="169"/>
      <c r="AC242" s="169"/>
      <c r="AD242" s="169"/>
      <c r="AE242" s="169"/>
      <c r="AF242" s="169"/>
      <c r="AG242" s="169"/>
      <c r="AH242" s="169"/>
      <c r="AI242" s="169"/>
      <c r="AJ242" s="169"/>
      <c r="AK242" s="169"/>
      <c r="AL242" s="169"/>
      <c r="AM242" s="169"/>
      <c r="AN242" s="169"/>
      <c r="AO242" s="169"/>
      <c r="AP242" s="169"/>
      <c r="AQ242" s="169"/>
      <c r="AR242" s="169"/>
      <c r="AS242" s="169"/>
      <c r="AT242" s="169"/>
      <c r="AU242" s="169"/>
      <c r="AV242" s="169"/>
      <c r="AW242" s="169"/>
      <c r="AX242" s="169"/>
      <c r="AY242" s="169"/>
      <c r="AZ242" s="169"/>
      <c r="BA242" s="169"/>
      <c r="BB242" s="169"/>
      <c r="BC242" s="169"/>
      <c r="BD242" s="169"/>
      <c r="BE242" s="169"/>
      <c r="BF242" s="169"/>
      <c r="BG242" s="169"/>
      <c r="BH242" s="169"/>
      <c r="BI242" s="169"/>
      <c r="BJ242" s="169"/>
    </row>
    <row r="243" spans="1:62" x14ac:dyDescent="0.25">
      <c r="F243" s="194"/>
      <c r="G243" s="194"/>
    </row>
    <row r="245" spans="1:62" x14ac:dyDescent="0.25">
      <c r="A245" s="199"/>
      <c r="B245" s="136"/>
      <c r="C245" s="199"/>
      <c r="D245" s="199"/>
      <c r="E245" s="199"/>
      <c r="F245" s="199"/>
      <c r="G245" s="199"/>
      <c r="H245" s="199"/>
      <c r="I245" s="136"/>
      <c r="J245" s="199"/>
      <c r="K245" s="199"/>
      <c r="L245" s="199"/>
      <c r="M245" s="199"/>
      <c r="N245" s="136"/>
      <c r="O245" s="199"/>
      <c r="P245" s="199"/>
      <c r="Q245" s="199"/>
      <c r="R245" s="199"/>
      <c r="S245" s="136"/>
      <c r="T245" s="199"/>
      <c r="U245" s="199"/>
      <c r="V245" s="199"/>
      <c r="W245" s="199"/>
      <c r="X245" s="136"/>
      <c r="Y245" s="199"/>
      <c r="Z245" s="199"/>
      <c r="AA245" s="199"/>
      <c r="AB245" s="199"/>
      <c r="AC245" s="136"/>
      <c r="AD245" s="199"/>
      <c r="AE245" s="199"/>
      <c r="AF245" s="199"/>
      <c r="AG245" s="199"/>
      <c r="AH245" s="136"/>
      <c r="AI245" s="199"/>
      <c r="AJ245" s="199"/>
      <c r="AK245" s="199"/>
      <c r="AL245" s="199"/>
      <c r="AM245" s="136"/>
      <c r="AN245" s="199"/>
      <c r="AO245" s="199"/>
      <c r="AP245" s="199"/>
      <c r="AQ245" s="199"/>
      <c r="AR245" s="136"/>
      <c r="AS245" s="199"/>
      <c r="AT245" s="199"/>
      <c r="AU245" s="199"/>
      <c r="AV245" s="199"/>
      <c r="AW245" s="136"/>
      <c r="AX245" s="199"/>
      <c r="AY245" s="199"/>
      <c r="AZ245" s="199"/>
      <c r="BA245" s="199"/>
      <c r="BB245" s="136"/>
      <c r="BC245" s="199"/>
      <c r="BD245" s="199"/>
      <c r="BE245" s="199"/>
      <c r="BF245" s="199"/>
      <c r="BG245" s="136"/>
      <c r="BH245" s="199"/>
      <c r="BI245" s="199"/>
      <c r="BJ245" s="199"/>
    </row>
    <row r="246" spans="1:62" x14ac:dyDescent="0.25">
      <c r="A246" s="199"/>
      <c r="B246" s="136"/>
      <c r="C246" s="199"/>
      <c r="D246" s="199"/>
      <c r="E246" s="199"/>
      <c r="F246" s="199"/>
      <c r="G246" s="199"/>
      <c r="H246" s="199"/>
      <c r="I246" s="136"/>
      <c r="J246" s="199"/>
      <c r="K246" s="199"/>
      <c r="L246" s="199"/>
      <c r="M246" s="199"/>
      <c r="N246" s="136"/>
      <c r="O246" s="199"/>
      <c r="P246" s="199"/>
      <c r="Q246" s="199"/>
      <c r="R246" s="199"/>
      <c r="S246" s="136"/>
      <c r="T246" s="199"/>
      <c r="U246" s="199"/>
      <c r="V246" s="199"/>
      <c r="W246" s="199"/>
      <c r="X246" s="136"/>
      <c r="Y246" s="199"/>
      <c r="Z246" s="199"/>
      <c r="AA246" s="199"/>
      <c r="AB246" s="199"/>
      <c r="AC246" s="136"/>
      <c r="AD246" s="199"/>
      <c r="AE246" s="199"/>
      <c r="AF246" s="199"/>
      <c r="AG246" s="199"/>
      <c r="AH246" s="136"/>
      <c r="AI246" s="199"/>
      <c r="AJ246" s="199"/>
      <c r="AK246" s="199"/>
      <c r="AL246" s="199"/>
      <c r="AM246" s="136"/>
      <c r="AN246" s="199"/>
      <c r="AO246" s="199"/>
      <c r="AP246" s="199"/>
      <c r="AQ246" s="199"/>
      <c r="AR246" s="136"/>
      <c r="AS246" s="199"/>
      <c r="AT246" s="199"/>
      <c r="AU246" s="199"/>
      <c r="AV246" s="199"/>
      <c r="AW246" s="136"/>
      <c r="AX246" s="199"/>
      <c r="AY246" s="199"/>
      <c r="AZ246" s="199"/>
      <c r="BA246" s="199"/>
      <c r="BB246" s="136"/>
      <c r="BC246" s="199"/>
      <c r="BD246" s="199"/>
      <c r="BE246" s="199"/>
      <c r="BF246" s="199"/>
      <c r="BG246" s="136"/>
      <c r="BH246" s="199"/>
      <c r="BI246" s="199"/>
      <c r="BJ246" s="199"/>
    </row>
    <row r="247" spans="1:62" x14ac:dyDescent="0.25">
      <c r="A247" s="199"/>
      <c r="B247" s="136"/>
      <c r="C247" s="199"/>
      <c r="D247" s="199"/>
      <c r="E247" s="199"/>
      <c r="F247" s="199"/>
      <c r="G247" s="199"/>
      <c r="H247" s="199"/>
      <c r="I247" s="136"/>
      <c r="J247" s="199"/>
      <c r="K247" s="199"/>
      <c r="L247" s="199"/>
      <c r="M247" s="199"/>
      <c r="N247" s="136"/>
      <c r="O247" s="199"/>
      <c r="P247" s="199"/>
      <c r="Q247" s="199"/>
      <c r="R247" s="199"/>
      <c r="S247" s="136"/>
      <c r="T247" s="199"/>
      <c r="U247" s="199"/>
      <c r="V247" s="199"/>
      <c r="W247" s="199"/>
      <c r="X247" s="136"/>
      <c r="Y247" s="199"/>
      <c r="Z247" s="199"/>
      <c r="AA247" s="199"/>
      <c r="AB247" s="199"/>
      <c r="AC247" s="136"/>
      <c r="AD247" s="199"/>
      <c r="AE247" s="199"/>
      <c r="AF247" s="199"/>
      <c r="AG247" s="199"/>
      <c r="AH247" s="136"/>
      <c r="AI247" s="199"/>
      <c r="AJ247" s="199"/>
      <c r="AK247" s="199"/>
      <c r="AL247" s="199"/>
      <c r="AM247" s="136"/>
      <c r="AN247" s="199"/>
      <c r="AO247" s="199"/>
      <c r="AP247" s="199"/>
      <c r="AQ247" s="199"/>
      <c r="AR247" s="136"/>
      <c r="AS247" s="199"/>
      <c r="AT247" s="199"/>
      <c r="AU247" s="199"/>
      <c r="AV247" s="199"/>
      <c r="AW247" s="136"/>
      <c r="AX247" s="199"/>
      <c r="AY247" s="199"/>
      <c r="AZ247" s="199"/>
      <c r="BA247" s="199"/>
      <c r="BB247" s="136"/>
      <c r="BC247" s="199"/>
      <c r="BD247" s="199"/>
      <c r="BE247" s="199"/>
      <c r="BF247" s="199"/>
      <c r="BG247" s="136"/>
      <c r="BH247" s="199"/>
      <c r="BI247" s="199"/>
      <c r="BJ247" s="199"/>
    </row>
    <row r="248" spans="1:62" x14ac:dyDescent="0.25">
      <c r="A248" s="199"/>
      <c r="B248" s="136"/>
      <c r="C248" s="199"/>
      <c r="D248" s="199"/>
      <c r="E248" s="199"/>
      <c r="F248" s="199"/>
      <c r="G248" s="199"/>
      <c r="H248" s="199"/>
      <c r="I248" s="136"/>
      <c r="J248" s="199"/>
      <c r="K248" s="199"/>
      <c r="L248" s="199"/>
      <c r="M248" s="199"/>
      <c r="N248" s="136"/>
      <c r="O248" s="199"/>
      <c r="P248" s="199"/>
      <c r="Q248" s="199"/>
      <c r="R248" s="199"/>
      <c r="S248" s="136"/>
      <c r="T248" s="199"/>
      <c r="U248" s="199"/>
      <c r="V248" s="199"/>
      <c r="W248" s="199"/>
      <c r="X248" s="136"/>
      <c r="Y248" s="199"/>
      <c r="Z248" s="199"/>
      <c r="AA248" s="199"/>
      <c r="AB248" s="199"/>
      <c r="AC248" s="136"/>
      <c r="AD248" s="199"/>
      <c r="AE248" s="199"/>
      <c r="AF248" s="199"/>
      <c r="AG248" s="199"/>
      <c r="AH248" s="136"/>
      <c r="AI248" s="199"/>
      <c r="AJ248" s="199"/>
      <c r="AK248" s="199"/>
      <c r="AL248" s="199"/>
      <c r="AM248" s="136"/>
      <c r="AN248" s="199"/>
      <c r="AO248" s="199"/>
      <c r="AP248" s="199"/>
      <c r="AQ248" s="199"/>
      <c r="AR248" s="136"/>
      <c r="AS248" s="199"/>
      <c r="AT248" s="199"/>
      <c r="AU248" s="199"/>
      <c r="AV248" s="199"/>
      <c r="AW248" s="136"/>
      <c r="AX248" s="199"/>
      <c r="AY248" s="199"/>
      <c r="AZ248" s="199"/>
      <c r="BA248" s="199"/>
      <c r="BB248" s="136"/>
      <c r="BC248" s="199"/>
      <c r="BD248" s="199"/>
      <c r="BE248" s="199"/>
      <c r="BF248" s="199"/>
      <c r="BG248" s="136"/>
      <c r="BH248" s="199"/>
      <c r="BI248" s="199"/>
      <c r="BJ248" s="199"/>
    </row>
    <row r="249" spans="1:62" x14ac:dyDescent="0.25">
      <c r="A249" s="199"/>
      <c r="B249" s="136"/>
      <c r="C249" s="199"/>
      <c r="D249" s="199"/>
      <c r="E249" s="199"/>
      <c r="F249" s="199"/>
      <c r="G249" s="199"/>
      <c r="H249" s="199"/>
      <c r="I249" s="136"/>
      <c r="J249" s="199"/>
      <c r="K249" s="199"/>
      <c r="L249" s="199"/>
      <c r="M249" s="199"/>
      <c r="N249" s="136"/>
      <c r="O249" s="199"/>
      <c r="P249" s="199"/>
      <c r="Q249" s="199"/>
      <c r="R249" s="199"/>
      <c r="S249" s="136"/>
      <c r="T249" s="199"/>
      <c r="U249" s="199"/>
      <c r="V249" s="199"/>
      <c r="W249" s="199"/>
      <c r="X249" s="136"/>
      <c r="Y249" s="199"/>
      <c r="Z249" s="199"/>
      <c r="AA249" s="199"/>
      <c r="AB249" s="199"/>
      <c r="AC249" s="136"/>
      <c r="AD249" s="199"/>
      <c r="AE249" s="199"/>
      <c r="AF249" s="199"/>
      <c r="AG249" s="199"/>
      <c r="AH249" s="136"/>
      <c r="AI249" s="199"/>
      <c r="AJ249" s="199"/>
      <c r="AK249" s="199"/>
      <c r="AL249" s="199"/>
      <c r="AM249" s="136"/>
      <c r="AN249" s="199"/>
      <c r="AO249" s="199"/>
      <c r="AP249" s="199"/>
      <c r="AQ249" s="199"/>
      <c r="AR249" s="136"/>
      <c r="AS249" s="199"/>
      <c r="AT249" s="199"/>
      <c r="AU249" s="199"/>
      <c r="AV249" s="199"/>
      <c r="AW249" s="136"/>
      <c r="AX249" s="199"/>
      <c r="AY249" s="199"/>
      <c r="AZ249" s="199"/>
      <c r="BA249" s="199"/>
      <c r="BB249" s="136"/>
      <c r="BC249" s="199"/>
      <c r="BD249" s="199"/>
      <c r="BE249" s="199"/>
      <c r="BF249" s="199"/>
      <c r="BG249" s="136"/>
      <c r="BH249" s="199"/>
      <c r="BI249" s="199"/>
      <c r="BJ249" s="199"/>
    </row>
    <row r="250" spans="1:62" x14ac:dyDescent="0.25">
      <c r="A250" s="199"/>
      <c r="B250" s="136"/>
      <c r="C250" s="199"/>
      <c r="D250" s="199"/>
      <c r="E250" s="199"/>
      <c r="F250" s="199"/>
      <c r="G250" s="199"/>
      <c r="H250" s="199"/>
      <c r="I250" s="136"/>
      <c r="J250" s="199"/>
      <c r="K250" s="199"/>
      <c r="L250" s="199"/>
      <c r="M250" s="199"/>
      <c r="N250" s="136"/>
      <c r="O250" s="199"/>
      <c r="P250" s="199"/>
      <c r="Q250" s="199"/>
      <c r="R250" s="199"/>
      <c r="S250" s="136"/>
      <c r="T250" s="199"/>
      <c r="U250" s="199"/>
      <c r="V250" s="199"/>
      <c r="W250" s="199"/>
      <c r="X250" s="136"/>
      <c r="Y250" s="199"/>
      <c r="Z250" s="199"/>
      <c r="AA250" s="199"/>
      <c r="AB250" s="199"/>
      <c r="AC250" s="136"/>
      <c r="AD250" s="199"/>
      <c r="AE250" s="199"/>
      <c r="AF250" s="199"/>
      <c r="AG250" s="199"/>
      <c r="AH250" s="136"/>
      <c r="AI250" s="199"/>
      <c r="AJ250" s="199"/>
      <c r="AK250" s="199"/>
      <c r="AL250" s="199"/>
      <c r="AM250" s="136"/>
      <c r="AN250" s="199"/>
      <c r="AO250" s="199"/>
      <c r="AP250" s="199"/>
      <c r="AQ250" s="199"/>
      <c r="AR250" s="136"/>
      <c r="AS250" s="199"/>
      <c r="AT250" s="199"/>
      <c r="AU250" s="199"/>
      <c r="AV250" s="199"/>
      <c r="AW250" s="136"/>
      <c r="AX250" s="199"/>
      <c r="AY250" s="199"/>
      <c r="AZ250" s="199"/>
      <c r="BA250" s="199"/>
      <c r="BB250" s="136"/>
      <c r="BC250" s="199"/>
      <c r="BD250" s="199"/>
      <c r="BE250" s="199"/>
      <c r="BF250" s="199"/>
      <c r="BG250" s="136"/>
      <c r="BH250" s="199"/>
      <c r="BI250" s="199"/>
      <c r="BJ250" s="199"/>
    </row>
    <row r="251" spans="1:62" x14ac:dyDescent="0.25">
      <c r="A251" s="199"/>
      <c r="B251" s="136"/>
      <c r="C251" s="199"/>
      <c r="D251" s="199"/>
      <c r="E251" s="199"/>
      <c r="F251" s="199"/>
      <c r="G251" s="199"/>
      <c r="H251" s="199"/>
      <c r="I251" s="136"/>
      <c r="J251" s="199"/>
      <c r="K251" s="199"/>
      <c r="L251" s="199"/>
      <c r="M251" s="199"/>
      <c r="N251" s="136"/>
      <c r="O251" s="199"/>
      <c r="P251" s="199"/>
      <c r="Q251" s="199"/>
      <c r="R251" s="199"/>
      <c r="S251" s="136"/>
      <c r="T251" s="199"/>
      <c r="U251" s="199"/>
      <c r="V251" s="199"/>
      <c r="W251" s="199"/>
      <c r="X251" s="136"/>
      <c r="Y251" s="199"/>
      <c r="Z251" s="199"/>
      <c r="AA251" s="199"/>
      <c r="AB251" s="199"/>
      <c r="AC251" s="136"/>
      <c r="AD251" s="199"/>
      <c r="AE251" s="199"/>
      <c r="AF251" s="199"/>
      <c r="AG251" s="199"/>
      <c r="AH251" s="136"/>
      <c r="AI251" s="199"/>
      <c r="AJ251" s="199"/>
      <c r="AK251" s="199"/>
      <c r="AL251" s="199"/>
      <c r="AM251" s="136"/>
      <c r="AN251" s="199"/>
      <c r="AO251" s="199"/>
      <c r="AP251" s="199"/>
      <c r="AQ251" s="199"/>
      <c r="AR251" s="136"/>
      <c r="AS251" s="199"/>
      <c r="AT251" s="199"/>
      <c r="AU251" s="199"/>
      <c r="AV251" s="199"/>
      <c r="AW251" s="136"/>
      <c r="AX251" s="199"/>
      <c r="AY251" s="199"/>
      <c r="AZ251" s="199"/>
      <c r="BA251" s="199"/>
      <c r="BB251" s="136"/>
      <c r="BC251" s="199"/>
      <c r="BD251" s="199"/>
      <c r="BE251" s="199"/>
      <c r="BF251" s="199"/>
      <c r="BG251" s="136"/>
      <c r="BH251" s="199"/>
      <c r="BI251" s="199"/>
      <c r="BJ251" s="199"/>
    </row>
    <row r="252" spans="1:62" x14ac:dyDescent="0.25">
      <c r="A252" s="199"/>
      <c r="B252" s="136"/>
      <c r="C252" s="199"/>
      <c r="D252" s="199"/>
      <c r="E252" s="199"/>
      <c r="F252" s="199"/>
      <c r="G252" s="199"/>
      <c r="H252" s="199"/>
      <c r="I252" s="136"/>
      <c r="J252" s="199"/>
      <c r="K252" s="199"/>
      <c r="L252" s="199"/>
      <c r="M252" s="199"/>
      <c r="N252" s="136"/>
      <c r="O252" s="199"/>
      <c r="P252" s="199"/>
      <c r="Q252" s="199"/>
      <c r="R252" s="199"/>
      <c r="S252" s="136"/>
      <c r="T252" s="199"/>
      <c r="U252" s="199"/>
      <c r="V252" s="199"/>
      <c r="W252" s="199"/>
      <c r="X252" s="136"/>
      <c r="Y252" s="199"/>
      <c r="Z252" s="199"/>
      <c r="AA252" s="199"/>
      <c r="AB252" s="199"/>
      <c r="AC252" s="136"/>
      <c r="AD252" s="199"/>
      <c r="AE252" s="199"/>
      <c r="AF252" s="199"/>
      <c r="AG252" s="199"/>
      <c r="AH252" s="136"/>
      <c r="AI252" s="199"/>
      <c r="AJ252" s="199"/>
      <c r="AK252" s="199"/>
      <c r="AL252" s="199"/>
      <c r="AM252" s="136"/>
      <c r="AN252" s="199"/>
      <c r="AO252" s="199"/>
      <c r="AP252" s="199"/>
      <c r="AQ252" s="199"/>
      <c r="AR252" s="136"/>
      <c r="AS252" s="199"/>
      <c r="AT252" s="199"/>
      <c r="AU252" s="199"/>
      <c r="AV252" s="199"/>
      <c r="AW252" s="136"/>
      <c r="AX252" s="199"/>
      <c r="AY252" s="199"/>
      <c r="AZ252" s="199"/>
      <c r="BA252" s="199"/>
      <c r="BB252" s="136"/>
      <c r="BC252" s="199"/>
      <c r="BD252" s="199"/>
      <c r="BE252" s="199"/>
      <c r="BF252" s="199"/>
      <c r="BG252" s="136"/>
      <c r="BH252" s="199"/>
      <c r="BI252" s="199"/>
      <c r="BJ252" s="199"/>
    </row>
    <row r="256" spans="1:62" ht="36" x14ac:dyDescent="0.25">
      <c r="A256" s="169"/>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row>
    <row r="257" spans="1:62" x14ac:dyDescent="0.25">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row>
    <row r="258" spans="1:62" x14ac:dyDescent="0.25">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c r="AD258" s="107"/>
      <c r="AE258" s="107"/>
      <c r="AF258" s="107"/>
      <c r="AG258" s="107"/>
      <c r="AH258" s="107"/>
      <c r="AI258" s="107"/>
      <c r="AJ258" s="107"/>
      <c r="AK258" s="107"/>
      <c r="AL258" s="107"/>
      <c r="AM258" s="107"/>
      <c r="AN258" s="107"/>
      <c r="AO258" s="107"/>
      <c r="AP258" s="107"/>
      <c r="AQ258" s="107"/>
      <c r="AR258" s="107"/>
      <c r="AS258" s="107"/>
      <c r="AT258" s="107"/>
      <c r="AU258" s="107"/>
      <c r="AV258" s="107"/>
      <c r="AW258" s="107"/>
      <c r="AX258" s="107"/>
      <c r="AY258" s="107"/>
      <c r="AZ258" s="107"/>
      <c r="BA258" s="107"/>
      <c r="BB258" s="107"/>
      <c r="BC258" s="107"/>
      <c r="BD258" s="107"/>
      <c r="BE258" s="107"/>
      <c r="BF258" s="107"/>
      <c r="BG258" s="107"/>
      <c r="BH258" s="107"/>
      <c r="BI258" s="107"/>
      <c r="BJ258" s="107"/>
    </row>
    <row r="259" spans="1:62" ht="36" x14ac:dyDescent="0.25">
      <c r="A259" s="169"/>
      <c r="B259" s="169"/>
      <c r="C259" s="169"/>
      <c r="D259" s="169"/>
      <c r="E259" s="169"/>
      <c r="F259" s="169"/>
      <c r="G259" s="169"/>
      <c r="H259" s="169"/>
      <c r="I259" s="169"/>
      <c r="J259" s="169"/>
      <c r="K259" s="169"/>
      <c r="L259" s="169"/>
      <c r="M259" s="169"/>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c r="AZ259" s="169"/>
      <c r="BA259" s="169"/>
      <c r="BB259" s="169"/>
      <c r="BC259" s="169"/>
      <c r="BD259" s="169"/>
      <c r="BE259" s="169"/>
      <c r="BF259" s="169"/>
      <c r="BG259" s="169"/>
      <c r="BH259" s="169"/>
      <c r="BI259" s="169"/>
      <c r="BJ259" s="169"/>
    </row>
    <row r="260" spans="1:62" ht="36" x14ac:dyDescent="0.25">
      <c r="A260" s="169"/>
      <c r="B260" s="169"/>
      <c r="C260" s="169"/>
      <c r="D260" s="169"/>
      <c r="E260" s="169"/>
      <c r="F260" s="169"/>
      <c r="G260" s="169"/>
      <c r="H260" s="169"/>
      <c r="I260" s="169"/>
      <c r="J260" s="169"/>
      <c r="K260" s="169"/>
      <c r="L260" s="169"/>
      <c r="M260" s="169"/>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c r="AZ260" s="169"/>
      <c r="BA260" s="169"/>
      <c r="BB260" s="169"/>
      <c r="BC260" s="169"/>
      <c r="BD260" s="169"/>
      <c r="BE260" s="169"/>
      <c r="BF260" s="169"/>
      <c r="BG260" s="169"/>
      <c r="BH260" s="169"/>
      <c r="BI260" s="169"/>
      <c r="BJ260" s="169"/>
    </row>
    <row r="261" spans="1:62" ht="36" x14ac:dyDescent="0.25">
      <c r="A261" s="169"/>
      <c r="B261" s="169"/>
      <c r="C261" s="169"/>
      <c r="D261" s="169"/>
      <c r="E261" s="169"/>
      <c r="F261" s="169"/>
      <c r="G261" s="169"/>
      <c r="H261" s="169"/>
      <c r="I261" s="169"/>
      <c r="J261" s="169"/>
      <c r="K261" s="169"/>
      <c r="L261" s="169"/>
      <c r="M261" s="169"/>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c r="AZ261" s="169"/>
      <c r="BA261" s="169"/>
      <c r="BB261" s="169"/>
      <c r="BC261" s="169"/>
      <c r="BD261" s="169"/>
      <c r="BE261" s="169"/>
      <c r="BF261" s="169"/>
      <c r="BG261" s="169"/>
      <c r="BH261" s="169"/>
      <c r="BI261" s="169"/>
      <c r="BJ261" s="169"/>
    </row>
    <row r="262" spans="1:62" x14ac:dyDescent="0.25">
      <c r="F262" s="194"/>
      <c r="G262" s="194"/>
    </row>
    <row r="264" spans="1:62" x14ac:dyDescent="0.25">
      <c r="A264" s="199"/>
      <c r="B264" s="136"/>
      <c r="C264" s="199"/>
      <c r="D264" s="199"/>
      <c r="E264" s="199"/>
      <c r="F264" s="199"/>
      <c r="G264" s="199"/>
      <c r="H264" s="199"/>
      <c r="I264" s="136"/>
      <c r="J264" s="199"/>
      <c r="K264" s="199"/>
      <c r="L264" s="199"/>
      <c r="M264" s="199"/>
      <c r="N264" s="136"/>
      <c r="O264" s="199"/>
      <c r="P264" s="199"/>
      <c r="Q264" s="199"/>
      <c r="R264" s="199"/>
      <c r="S264" s="136"/>
      <c r="T264" s="199"/>
      <c r="U264" s="199"/>
      <c r="V264" s="199"/>
      <c r="W264" s="199"/>
      <c r="X264" s="136"/>
      <c r="Y264" s="199"/>
      <c r="Z264" s="199"/>
      <c r="AA264" s="199"/>
      <c r="AB264" s="199"/>
      <c r="AC264" s="136"/>
      <c r="AD264" s="199"/>
      <c r="AE264" s="199"/>
      <c r="AF264" s="199"/>
      <c r="AG264" s="199"/>
      <c r="AH264" s="136"/>
      <c r="AI264" s="199"/>
      <c r="AJ264" s="199"/>
      <c r="AK264" s="199"/>
      <c r="AL264" s="199"/>
      <c r="AM264" s="136"/>
      <c r="AN264" s="199"/>
      <c r="AO264" s="199"/>
      <c r="AP264" s="199"/>
      <c r="AQ264" s="199"/>
      <c r="AR264" s="136"/>
      <c r="AS264" s="199"/>
      <c r="AT264" s="199"/>
      <c r="AU264" s="199"/>
      <c r="AV264" s="199"/>
      <c r="AW264" s="136"/>
      <c r="AX264" s="199"/>
      <c r="AY264" s="199"/>
      <c r="AZ264" s="199"/>
      <c r="BA264" s="199"/>
      <c r="BB264" s="136"/>
      <c r="BC264" s="199"/>
      <c r="BD264" s="199"/>
      <c r="BE264" s="199"/>
      <c r="BF264" s="199"/>
      <c r="BG264" s="136"/>
      <c r="BH264" s="199"/>
      <c r="BI264" s="199"/>
      <c r="BJ264" s="199"/>
    </row>
    <row r="265" spans="1:62" x14ac:dyDescent="0.25">
      <c r="A265" s="199"/>
      <c r="B265" s="136"/>
      <c r="C265" s="199"/>
      <c r="D265" s="199"/>
      <c r="E265" s="199"/>
      <c r="F265" s="199"/>
      <c r="G265" s="199"/>
      <c r="H265" s="199"/>
      <c r="I265" s="136"/>
      <c r="J265" s="199"/>
      <c r="K265" s="199"/>
      <c r="L265" s="199"/>
      <c r="M265" s="199"/>
      <c r="N265" s="136"/>
      <c r="O265" s="199"/>
      <c r="P265" s="199"/>
      <c r="Q265" s="199"/>
      <c r="R265" s="199"/>
      <c r="S265" s="136"/>
      <c r="T265" s="199"/>
      <c r="U265" s="199"/>
      <c r="V265" s="199"/>
      <c r="W265" s="199"/>
      <c r="X265" s="136"/>
      <c r="Y265" s="199"/>
      <c r="Z265" s="199"/>
      <c r="AA265" s="199"/>
      <c r="AB265" s="199"/>
      <c r="AC265" s="136"/>
      <c r="AD265" s="199"/>
      <c r="AE265" s="199"/>
      <c r="AF265" s="199"/>
      <c r="AG265" s="199"/>
      <c r="AH265" s="136"/>
      <c r="AI265" s="199"/>
      <c r="AJ265" s="199"/>
      <c r="AK265" s="199"/>
      <c r="AL265" s="199"/>
      <c r="AM265" s="136"/>
      <c r="AN265" s="199"/>
      <c r="AO265" s="199"/>
      <c r="AP265" s="199"/>
      <c r="AQ265" s="199"/>
      <c r="AR265" s="136"/>
      <c r="AS265" s="199"/>
      <c r="AT265" s="199"/>
      <c r="AU265" s="199"/>
      <c r="AV265" s="199"/>
      <c r="AW265" s="136"/>
      <c r="AX265" s="199"/>
      <c r="AY265" s="199"/>
      <c r="AZ265" s="199"/>
      <c r="BA265" s="199"/>
      <c r="BB265" s="136"/>
      <c r="BC265" s="199"/>
      <c r="BD265" s="199"/>
      <c r="BE265" s="199"/>
      <c r="BF265" s="199"/>
      <c r="BG265" s="136"/>
      <c r="BH265" s="199"/>
      <c r="BI265" s="199"/>
      <c r="BJ265" s="199"/>
    </row>
    <row r="266" spans="1:62" x14ac:dyDescent="0.25">
      <c r="A266" s="199"/>
      <c r="B266" s="136"/>
      <c r="C266" s="199"/>
      <c r="D266" s="199"/>
      <c r="E266" s="199"/>
      <c r="F266" s="199"/>
      <c r="G266" s="199"/>
      <c r="H266" s="199"/>
      <c r="I266" s="136"/>
      <c r="J266" s="199"/>
      <c r="K266" s="199"/>
      <c r="L266" s="199"/>
      <c r="M266" s="199"/>
      <c r="N266" s="136"/>
      <c r="O266" s="199"/>
      <c r="P266" s="199"/>
      <c r="Q266" s="199"/>
      <c r="R266" s="199"/>
      <c r="S266" s="136"/>
      <c r="T266" s="199"/>
      <c r="U266" s="199"/>
      <c r="V266" s="199"/>
      <c r="W266" s="199"/>
      <c r="X266" s="136"/>
      <c r="Y266" s="199"/>
      <c r="Z266" s="199"/>
      <c r="AA266" s="199"/>
      <c r="AB266" s="199"/>
      <c r="AC266" s="136"/>
      <c r="AD266" s="199"/>
      <c r="AE266" s="199"/>
      <c r="AF266" s="199"/>
      <c r="AG266" s="199"/>
      <c r="AH266" s="136"/>
      <c r="AI266" s="199"/>
      <c r="AJ266" s="199"/>
      <c r="AK266" s="199"/>
      <c r="AL266" s="199"/>
      <c r="AM266" s="136"/>
      <c r="AN266" s="199"/>
      <c r="AO266" s="199"/>
      <c r="AP266" s="199"/>
      <c r="AQ266" s="199"/>
      <c r="AR266" s="136"/>
      <c r="AS266" s="199"/>
      <c r="AT266" s="199"/>
      <c r="AU266" s="199"/>
      <c r="AV266" s="199"/>
      <c r="AW266" s="136"/>
      <c r="AX266" s="199"/>
      <c r="AY266" s="199"/>
      <c r="AZ266" s="199"/>
      <c r="BA266" s="199"/>
      <c r="BB266" s="136"/>
      <c r="BC266" s="199"/>
      <c r="BD266" s="199"/>
      <c r="BE266" s="199"/>
      <c r="BF266" s="199"/>
      <c r="BG266" s="136"/>
      <c r="BH266" s="199"/>
      <c r="BI266" s="199"/>
      <c r="BJ266" s="199"/>
    </row>
    <row r="267" spans="1:62" x14ac:dyDescent="0.25">
      <c r="A267" s="199"/>
      <c r="B267" s="136"/>
      <c r="C267" s="199"/>
      <c r="D267" s="199"/>
      <c r="E267" s="199"/>
      <c r="F267" s="199"/>
      <c r="G267" s="199"/>
      <c r="H267" s="199"/>
      <c r="I267" s="136"/>
      <c r="J267" s="199"/>
      <c r="K267" s="199"/>
      <c r="L267" s="199"/>
      <c r="M267" s="199"/>
      <c r="N267" s="136"/>
      <c r="O267" s="199"/>
      <c r="P267" s="199"/>
      <c r="Q267" s="199"/>
      <c r="R267" s="199"/>
      <c r="S267" s="136"/>
      <c r="T267" s="199"/>
      <c r="U267" s="199"/>
      <c r="V267" s="199"/>
      <c r="W267" s="199"/>
      <c r="X267" s="136"/>
      <c r="Y267" s="199"/>
      <c r="Z267" s="199"/>
      <c r="AA267" s="199"/>
      <c r="AB267" s="199"/>
      <c r="AC267" s="136"/>
      <c r="AD267" s="199"/>
      <c r="AE267" s="199"/>
      <c r="AF267" s="199"/>
      <c r="AG267" s="199"/>
      <c r="AH267" s="136"/>
      <c r="AI267" s="199"/>
      <c r="AJ267" s="199"/>
      <c r="AK267" s="199"/>
      <c r="AL267" s="199"/>
      <c r="AM267" s="136"/>
      <c r="AN267" s="199"/>
      <c r="AO267" s="199"/>
      <c r="AP267" s="199"/>
      <c r="AQ267" s="199"/>
      <c r="AR267" s="136"/>
      <c r="AS267" s="199"/>
      <c r="AT267" s="199"/>
      <c r="AU267" s="199"/>
      <c r="AV267" s="199"/>
      <c r="AW267" s="136"/>
      <c r="AX267" s="199"/>
      <c r="AY267" s="199"/>
      <c r="AZ267" s="199"/>
      <c r="BA267" s="199"/>
      <c r="BB267" s="136"/>
      <c r="BC267" s="199"/>
      <c r="BD267" s="199"/>
      <c r="BE267" s="199"/>
      <c r="BF267" s="199"/>
      <c r="BG267" s="136"/>
      <c r="BH267" s="199"/>
      <c r="BI267" s="199"/>
      <c r="BJ267" s="199"/>
    </row>
    <row r="268" spans="1:62" x14ac:dyDescent="0.25">
      <c r="A268" s="199"/>
      <c r="B268" s="136"/>
      <c r="C268" s="199"/>
      <c r="D268" s="199"/>
      <c r="E268" s="199"/>
      <c r="F268" s="199"/>
      <c r="G268" s="199"/>
      <c r="H268" s="199"/>
      <c r="I268" s="136"/>
      <c r="J268" s="199"/>
      <c r="K268" s="199"/>
      <c r="L268" s="199"/>
      <c r="M268" s="199"/>
      <c r="N268" s="136"/>
      <c r="O268" s="199"/>
      <c r="P268" s="199"/>
      <c r="Q268" s="199"/>
      <c r="R268" s="199"/>
      <c r="S268" s="136"/>
      <c r="T268" s="199"/>
      <c r="U268" s="199"/>
      <c r="V268" s="199"/>
      <c r="W268" s="199"/>
      <c r="X268" s="136"/>
      <c r="Y268" s="199"/>
      <c r="Z268" s="199"/>
      <c r="AA268" s="199"/>
      <c r="AB268" s="199"/>
      <c r="AC268" s="136"/>
      <c r="AD268" s="199"/>
      <c r="AE268" s="199"/>
      <c r="AF268" s="199"/>
      <c r="AG268" s="199"/>
      <c r="AH268" s="136"/>
      <c r="AI268" s="199"/>
      <c r="AJ268" s="199"/>
      <c r="AK268" s="199"/>
      <c r="AL268" s="199"/>
      <c r="AM268" s="136"/>
      <c r="AN268" s="199"/>
      <c r="AO268" s="199"/>
      <c r="AP268" s="199"/>
      <c r="AQ268" s="199"/>
      <c r="AR268" s="136"/>
      <c r="AS268" s="199"/>
      <c r="AT268" s="199"/>
      <c r="AU268" s="199"/>
      <c r="AV268" s="199"/>
      <c r="AW268" s="136"/>
      <c r="AX268" s="199"/>
      <c r="AY268" s="199"/>
      <c r="AZ268" s="199"/>
      <c r="BA268" s="199"/>
      <c r="BB268" s="136"/>
      <c r="BC268" s="199"/>
      <c r="BD268" s="199"/>
      <c r="BE268" s="199"/>
      <c r="BF268" s="199"/>
      <c r="BG268" s="136"/>
      <c r="BH268" s="199"/>
      <c r="BI268" s="199"/>
      <c r="BJ268" s="199"/>
    </row>
    <row r="269" spans="1:62" x14ac:dyDescent="0.25">
      <c r="A269" s="199"/>
      <c r="B269" s="136"/>
      <c r="C269" s="199"/>
      <c r="D269" s="199"/>
      <c r="E269" s="199"/>
      <c r="F269" s="199"/>
      <c r="G269" s="199"/>
      <c r="H269" s="199"/>
      <c r="I269" s="136"/>
      <c r="J269" s="199"/>
      <c r="K269" s="199"/>
      <c r="L269" s="199"/>
      <c r="M269" s="199"/>
      <c r="N269" s="136"/>
      <c r="O269" s="199"/>
      <c r="P269" s="199"/>
      <c r="Q269" s="199"/>
      <c r="R269" s="199"/>
      <c r="S269" s="136"/>
      <c r="T269" s="199"/>
      <c r="U269" s="199"/>
      <c r="V269" s="199"/>
      <c r="W269" s="199"/>
      <c r="X269" s="136"/>
      <c r="Y269" s="199"/>
      <c r="Z269" s="199"/>
      <c r="AA269" s="199"/>
      <c r="AB269" s="199"/>
      <c r="AC269" s="136"/>
      <c r="AD269" s="199"/>
      <c r="AE269" s="199"/>
      <c r="AF269" s="199"/>
      <c r="AG269" s="199"/>
      <c r="AH269" s="136"/>
      <c r="AI269" s="199"/>
      <c r="AJ269" s="199"/>
      <c r="AK269" s="199"/>
      <c r="AL269" s="199"/>
      <c r="AM269" s="136"/>
      <c r="AN269" s="199"/>
      <c r="AO269" s="199"/>
      <c r="AP269" s="199"/>
      <c r="AQ269" s="199"/>
      <c r="AR269" s="136"/>
      <c r="AS269" s="199"/>
      <c r="AT269" s="199"/>
      <c r="AU269" s="199"/>
      <c r="AV269" s="199"/>
      <c r="AW269" s="136"/>
      <c r="AX269" s="199"/>
      <c r="AY269" s="199"/>
      <c r="AZ269" s="199"/>
      <c r="BA269" s="199"/>
      <c r="BB269" s="136"/>
      <c r="BC269" s="199"/>
      <c r="BD269" s="199"/>
      <c r="BE269" s="199"/>
      <c r="BF269" s="199"/>
      <c r="BG269" s="136"/>
      <c r="BH269" s="199"/>
      <c r="BI269" s="199"/>
      <c r="BJ269" s="199"/>
    </row>
    <row r="270" spans="1:62" x14ac:dyDescent="0.25">
      <c r="A270" s="199"/>
      <c r="B270" s="136"/>
      <c r="C270" s="199"/>
      <c r="D270" s="199"/>
      <c r="E270" s="199"/>
      <c r="F270" s="199"/>
      <c r="G270" s="199"/>
      <c r="H270" s="199"/>
      <c r="I270" s="136"/>
      <c r="J270" s="199"/>
      <c r="K270" s="199"/>
      <c r="L270" s="199"/>
      <c r="M270" s="199"/>
      <c r="N270" s="136"/>
      <c r="O270" s="199"/>
      <c r="P270" s="199"/>
      <c r="Q270" s="199"/>
      <c r="R270" s="199"/>
      <c r="S270" s="136"/>
      <c r="T270" s="199"/>
      <c r="U270" s="199"/>
      <c r="V270" s="199"/>
      <c r="W270" s="199"/>
      <c r="X270" s="136"/>
      <c r="Y270" s="199"/>
      <c r="Z270" s="199"/>
      <c r="AA270" s="199"/>
      <c r="AB270" s="199"/>
      <c r="AC270" s="136"/>
      <c r="AD270" s="199"/>
      <c r="AE270" s="199"/>
      <c r="AF270" s="199"/>
      <c r="AG270" s="199"/>
      <c r="AH270" s="136"/>
      <c r="AI270" s="199"/>
      <c r="AJ270" s="199"/>
      <c r="AK270" s="199"/>
      <c r="AL270" s="199"/>
      <c r="AM270" s="136"/>
      <c r="AN270" s="199"/>
      <c r="AO270" s="199"/>
      <c r="AP270" s="199"/>
      <c r="AQ270" s="199"/>
      <c r="AR270" s="136"/>
      <c r="AS270" s="199"/>
      <c r="AT270" s="199"/>
      <c r="AU270" s="199"/>
      <c r="AV270" s="199"/>
      <c r="AW270" s="136"/>
      <c r="AX270" s="199"/>
      <c r="AY270" s="199"/>
      <c r="AZ270" s="199"/>
      <c r="BA270" s="199"/>
      <c r="BB270" s="136"/>
      <c r="BC270" s="199"/>
      <c r="BD270" s="199"/>
      <c r="BE270" s="199"/>
      <c r="BF270" s="199"/>
      <c r="BG270" s="136"/>
      <c r="BH270" s="199"/>
      <c r="BI270" s="199"/>
      <c r="BJ270" s="199"/>
    </row>
    <row r="271" spans="1:62" x14ac:dyDescent="0.25">
      <c r="A271" s="199"/>
      <c r="B271" s="136"/>
      <c r="C271" s="199"/>
      <c r="D271" s="199"/>
      <c r="E271" s="199"/>
      <c r="F271" s="199"/>
      <c r="G271" s="199"/>
      <c r="H271" s="199"/>
      <c r="I271" s="136"/>
      <c r="J271" s="199"/>
      <c r="K271" s="199"/>
      <c r="L271" s="199"/>
      <c r="M271" s="199"/>
      <c r="N271" s="136"/>
      <c r="O271" s="199"/>
      <c r="P271" s="199"/>
      <c r="Q271" s="199"/>
      <c r="R271" s="199"/>
      <c r="S271" s="136"/>
      <c r="T271" s="199"/>
      <c r="U271" s="199"/>
      <c r="V271" s="199"/>
      <c r="W271" s="199"/>
      <c r="X271" s="136"/>
      <c r="Y271" s="199"/>
      <c r="Z271" s="199"/>
      <c r="AA271" s="199"/>
      <c r="AB271" s="199"/>
      <c r="AC271" s="136"/>
      <c r="AD271" s="199"/>
      <c r="AE271" s="199"/>
      <c r="AF271" s="199"/>
      <c r="AG271" s="199"/>
      <c r="AH271" s="136"/>
      <c r="AI271" s="199"/>
      <c r="AJ271" s="199"/>
      <c r="AK271" s="199"/>
      <c r="AL271" s="199"/>
      <c r="AM271" s="136"/>
      <c r="AN271" s="199"/>
      <c r="AO271" s="199"/>
      <c r="AP271" s="199"/>
      <c r="AQ271" s="199"/>
      <c r="AR271" s="136"/>
      <c r="AS271" s="199"/>
      <c r="AT271" s="199"/>
      <c r="AU271" s="199"/>
      <c r="AV271" s="199"/>
      <c r="AW271" s="136"/>
      <c r="AX271" s="199"/>
      <c r="AY271" s="199"/>
      <c r="AZ271" s="199"/>
      <c r="BA271" s="199"/>
      <c r="BB271" s="136"/>
      <c r="BC271" s="199"/>
      <c r="BD271" s="199"/>
      <c r="BE271" s="199"/>
      <c r="BF271" s="199"/>
      <c r="BG271" s="136"/>
      <c r="BH271" s="199"/>
      <c r="BI271" s="199"/>
      <c r="BJ271" s="199"/>
    </row>
    <row r="275" spans="1:62" ht="36" x14ac:dyDescent="0.25">
      <c r="A275" s="169"/>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c r="AD275" s="107"/>
      <c r="AE275" s="107"/>
      <c r="AF275" s="107"/>
      <c r="AG275" s="107"/>
      <c r="AH275" s="107"/>
      <c r="AI275" s="107"/>
      <c r="AJ275" s="107"/>
      <c r="AK275" s="107"/>
      <c r="AL275" s="107"/>
      <c r="AM275" s="107"/>
      <c r="AN275" s="107"/>
      <c r="AO275" s="107"/>
      <c r="AP275" s="107"/>
      <c r="AQ275" s="107"/>
      <c r="AR275" s="107"/>
      <c r="AS275" s="107"/>
      <c r="AT275" s="107"/>
      <c r="AU275" s="107"/>
      <c r="AV275" s="107"/>
      <c r="AW275" s="107"/>
      <c r="AX275" s="107"/>
      <c r="AY275" s="107"/>
      <c r="AZ275" s="107"/>
      <c r="BA275" s="107"/>
      <c r="BB275" s="107"/>
      <c r="BC275" s="107"/>
      <c r="BD275" s="107"/>
      <c r="BE275" s="107"/>
      <c r="BF275" s="107"/>
      <c r="BG275" s="107"/>
      <c r="BH275" s="107"/>
      <c r="BI275" s="107"/>
      <c r="BJ275" s="107"/>
    </row>
    <row r="276" spans="1:62" x14ac:dyDescent="0.25">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row>
    <row r="277" spans="1:62" x14ac:dyDescent="0.25">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row>
    <row r="278" spans="1:62" ht="36" x14ac:dyDescent="0.25">
      <c r="A278" s="169"/>
      <c r="B278" s="169"/>
      <c r="C278" s="169"/>
      <c r="D278" s="169"/>
      <c r="E278" s="169"/>
      <c r="F278" s="169"/>
      <c r="G278" s="169"/>
      <c r="H278" s="169"/>
      <c r="I278" s="169"/>
      <c r="J278" s="169"/>
      <c r="K278" s="169"/>
      <c r="L278" s="169"/>
      <c r="M278" s="169"/>
      <c r="N278" s="169"/>
      <c r="O278" s="169"/>
      <c r="P278" s="169"/>
      <c r="Q278" s="169"/>
      <c r="R278" s="169"/>
      <c r="S278" s="169"/>
      <c r="T278" s="169"/>
      <c r="U278" s="169"/>
      <c r="V278" s="169"/>
      <c r="W278" s="169"/>
      <c r="X278" s="169"/>
      <c r="Y278" s="169"/>
      <c r="Z278" s="169"/>
      <c r="AA278" s="169"/>
      <c r="AB278" s="169"/>
      <c r="AC278" s="169"/>
      <c r="AD278" s="169"/>
      <c r="AE278" s="169"/>
      <c r="AF278" s="169"/>
      <c r="AG278" s="169"/>
      <c r="AH278" s="169"/>
      <c r="AI278" s="169"/>
      <c r="AJ278" s="169"/>
      <c r="AK278" s="169"/>
      <c r="AL278" s="169"/>
      <c r="AM278" s="169"/>
      <c r="AN278" s="169"/>
      <c r="AO278" s="169"/>
      <c r="AP278" s="169"/>
      <c r="AQ278" s="169"/>
      <c r="AR278" s="169"/>
      <c r="AS278" s="169"/>
      <c r="AT278" s="169"/>
      <c r="AU278" s="169"/>
      <c r="AV278" s="169"/>
      <c r="AW278" s="169"/>
      <c r="AX278" s="169"/>
      <c r="AY278" s="169"/>
      <c r="AZ278" s="169"/>
      <c r="BA278" s="169"/>
      <c r="BB278" s="169"/>
      <c r="BC278" s="169"/>
      <c r="BD278" s="169"/>
      <c r="BE278" s="169"/>
      <c r="BF278" s="169"/>
      <c r="BG278" s="169"/>
      <c r="BH278" s="169"/>
      <c r="BI278" s="169"/>
      <c r="BJ278" s="169"/>
    </row>
    <row r="279" spans="1:62" ht="36" x14ac:dyDescent="0.25">
      <c r="A279" s="169"/>
      <c r="B279" s="169"/>
      <c r="C279" s="169"/>
      <c r="D279" s="169"/>
      <c r="E279" s="169"/>
      <c r="F279" s="169"/>
      <c r="G279" s="169"/>
      <c r="H279" s="169"/>
      <c r="I279" s="169"/>
      <c r="J279" s="169"/>
      <c r="K279" s="169"/>
      <c r="L279" s="169"/>
      <c r="M279" s="169"/>
      <c r="N279" s="169"/>
      <c r="O279" s="169"/>
      <c r="P279" s="169"/>
      <c r="Q279" s="169"/>
      <c r="R279" s="169"/>
      <c r="S279" s="169"/>
      <c r="T279" s="169"/>
      <c r="U279" s="169"/>
      <c r="V279" s="169"/>
      <c r="W279" s="169"/>
      <c r="X279" s="169"/>
      <c r="Y279" s="169"/>
      <c r="Z279" s="169"/>
      <c r="AA279" s="169"/>
      <c r="AB279" s="169"/>
      <c r="AC279" s="169"/>
      <c r="AD279" s="169"/>
      <c r="AE279" s="169"/>
      <c r="AF279" s="169"/>
      <c r="AG279" s="169"/>
      <c r="AH279" s="169"/>
      <c r="AI279" s="169"/>
      <c r="AJ279" s="169"/>
      <c r="AK279" s="169"/>
      <c r="AL279" s="169"/>
      <c r="AM279" s="169"/>
      <c r="AN279" s="169"/>
      <c r="AO279" s="169"/>
      <c r="AP279" s="169"/>
      <c r="AQ279" s="169"/>
      <c r="AR279" s="169"/>
      <c r="AS279" s="169"/>
      <c r="AT279" s="169"/>
      <c r="AU279" s="169"/>
      <c r="AV279" s="169"/>
      <c r="AW279" s="169"/>
      <c r="AX279" s="169"/>
      <c r="AY279" s="169"/>
      <c r="AZ279" s="169"/>
      <c r="BA279" s="169"/>
      <c r="BB279" s="169"/>
      <c r="BC279" s="169"/>
      <c r="BD279" s="169"/>
      <c r="BE279" s="169"/>
      <c r="BF279" s="169"/>
      <c r="BG279" s="169"/>
      <c r="BH279" s="169"/>
      <c r="BI279" s="169"/>
      <c r="BJ279" s="169"/>
    </row>
    <row r="280" spans="1:62" ht="36" x14ac:dyDescent="0.25">
      <c r="A280" s="169"/>
      <c r="B280" s="169"/>
      <c r="C280" s="169"/>
      <c r="D280" s="169"/>
      <c r="E280" s="169"/>
      <c r="F280" s="169"/>
      <c r="G280" s="169"/>
      <c r="H280" s="169"/>
      <c r="I280" s="169"/>
      <c r="J280" s="169"/>
      <c r="K280" s="169"/>
      <c r="L280" s="169"/>
      <c r="M280" s="169"/>
      <c r="N280" s="169"/>
      <c r="O280" s="169"/>
      <c r="P280" s="169"/>
      <c r="Q280" s="169"/>
      <c r="R280" s="169"/>
      <c r="S280" s="169"/>
      <c r="T280" s="169"/>
      <c r="U280" s="169"/>
      <c r="V280" s="169"/>
      <c r="W280" s="169"/>
      <c r="X280" s="169"/>
      <c r="Y280" s="169"/>
      <c r="Z280" s="169"/>
      <c r="AA280" s="169"/>
      <c r="AB280" s="169"/>
      <c r="AC280" s="169"/>
      <c r="AD280" s="169"/>
      <c r="AE280" s="169"/>
      <c r="AF280" s="169"/>
      <c r="AG280" s="169"/>
      <c r="AH280" s="169"/>
      <c r="AI280" s="169"/>
      <c r="AJ280" s="169"/>
      <c r="AK280" s="169"/>
      <c r="AL280" s="169"/>
      <c r="AM280" s="169"/>
      <c r="AN280" s="169"/>
      <c r="AO280" s="169"/>
      <c r="AP280" s="169"/>
      <c r="AQ280" s="169"/>
      <c r="AR280" s="169"/>
      <c r="AS280" s="169"/>
      <c r="AT280" s="169"/>
      <c r="AU280" s="169"/>
      <c r="AV280" s="169"/>
      <c r="AW280" s="169"/>
      <c r="AX280" s="169"/>
      <c r="AY280" s="169"/>
      <c r="AZ280" s="169"/>
      <c r="BA280" s="169"/>
      <c r="BB280" s="169"/>
      <c r="BC280" s="169"/>
      <c r="BD280" s="169"/>
      <c r="BE280" s="169"/>
      <c r="BF280" s="169"/>
      <c r="BG280" s="169"/>
      <c r="BH280" s="169"/>
      <c r="BI280" s="169"/>
      <c r="BJ280" s="169"/>
    </row>
    <row r="281" spans="1:62" x14ac:dyDescent="0.25">
      <c r="F281" s="194"/>
      <c r="G281" s="194"/>
    </row>
    <row r="283" spans="1:62" x14ac:dyDescent="0.25">
      <c r="A283" s="199"/>
      <c r="B283" s="136"/>
      <c r="C283" s="199"/>
      <c r="D283" s="199"/>
      <c r="E283" s="199"/>
      <c r="F283" s="199"/>
      <c r="G283" s="199"/>
      <c r="H283" s="199"/>
      <c r="I283" s="136"/>
      <c r="J283" s="199"/>
      <c r="K283" s="199"/>
      <c r="L283" s="199"/>
      <c r="M283" s="199"/>
      <c r="N283" s="136"/>
      <c r="O283" s="199"/>
      <c r="P283" s="199"/>
      <c r="Q283" s="199"/>
      <c r="R283" s="199"/>
      <c r="S283" s="136"/>
      <c r="T283" s="199"/>
      <c r="U283" s="199"/>
      <c r="V283" s="199"/>
      <c r="W283" s="199"/>
      <c r="X283" s="136"/>
      <c r="Y283" s="199"/>
      <c r="Z283" s="199"/>
      <c r="AA283" s="199"/>
      <c r="AB283" s="199"/>
      <c r="AC283" s="136"/>
      <c r="AD283" s="199"/>
      <c r="AE283" s="199"/>
      <c r="AF283" s="199"/>
      <c r="AG283" s="199"/>
      <c r="AH283" s="136"/>
      <c r="AI283" s="199"/>
      <c r="AJ283" s="199"/>
      <c r="AK283" s="199"/>
      <c r="AL283" s="199"/>
      <c r="AM283" s="136"/>
      <c r="AN283" s="199"/>
      <c r="AO283" s="199"/>
      <c r="AP283" s="199"/>
      <c r="AQ283" s="199"/>
      <c r="AR283" s="136"/>
      <c r="AS283" s="199"/>
      <c r="AT283" s="199"/>
      <c r="AU283" s="199"/>
      <c r="AV283" s="199"/>
      <c r="AW283" s="136"/>
      <c r="AX283" s="199"/>
      <c r="AY283" s="199"/>
      <c r="AZ283" s="199"/>
      <c r="BA283" s="199"/>
      <c r="BB283" s="136"/>
      <c r="BC283" s="199"/>
      <c r="BD283" s="199"/>
      <c r="BE283" s="199"/>
      <c r="BF283" s="199"/>
      <c r="BG283" s="136"/>
      <c r="BH283" s="199"/>
      <c r="BI283" s="199"/>
      <c r="BJ283" s="199"/>
    </row>
    <row r="284" spans="1:62" x14ac:dyDescent="0.25">
      <c r="A284" s="199"/>
      <c r="B284" s="136"/>
      <c r="C284" s="199"/>
      <c r="D284" s="199"/>
      <c r="E284" s="199"/>
      <c r="F284" s="199"/>
      <c r="G284" s="199"/>
      <c r="H284" s="199"/>
      <c r="I284" s="136"/>
      <c r="J284" s="199"/>
      <c r="K284" s="199"/>
      <c r="L284" s="199"/>
      <c r="M284" s="199"/>
      <c r="N284" s="136"/>
      <c r="O284" s="199"/>
      <c r="P284" s="199"/>
      <c r="Q284" s="199"/>
      <c r="R284" s="199"/>
      <c r="S284" s="136"/>
      <c r="T284" s="199"/>
      <c r="U284" s="199"/>
      <c r="V284" s="199"/>
      <c r="W284" s="199"/>
      <c r="X284" s="136"/>
      <c r="Y284" s="199"/>
      <c r="Z284" s="199"/>
      <c r="AA284" s="199"/>
      <c r="AB284" s="199"/>
      <c r="AC284" s="136"/>
      <c r="AD284" s="199"/>
      <c r="AE284" s="199"/>
      <c r="AF284" s="199"/>
      <c r="AG284" s="199"/>
      <c r="AH284" s="136"/>
      <c r="AI284" s="199"/>
      <c r="AJ284" s="199"/>
      <c r="AK284" s="199"/>
      <c r="AL284" s="199"/>
      <c r="AM284" s="136"/>
      <c r="AN284" s="199"/>
      <c r="AO284" s="199"/>
      <c r="AP284" s="199"/>
      <c r="AQ284" s="199"/>
      <c r="AR284" s="136"/>
      <c r="AS284" s="199"/>
      <c r="AT284" s="199"/>
      <c r="AU284" s="199"/>
      <c r="AV284" s="199"/>
      <c r="AW284" s="136"/>
      <c r="AX284" s="199"/>
      <c r="AY284" s="199"/>
      <c r="AZ284" s="199"/>
      <c r="BA284" s="199"/>
      <c r="BB284" s="136"/>
      <c r="BC284" s="199"/>
      <c r="BD284" s="199"/>
      <c r="BE284" s="199"/>
      <c r="BF284" s="199"/>
      <c r="BG284" s="136"/>
      <c r="BH284" s="199"/>
      <c r="BI284" s="199"/>
      <c r="BJ284" s="199"/>
    </row>
    <row r="285" spans="1:62" x14ac:dyDescent="0.25">
      <c r="A285" s="199"/>
      <c r="B285" s="136"/>
      <c r="C285" s="199"/>
      <c r="D285" s="199"/>
      <c r="E285" s="199"/>
      <c r="F285" s="199"/>
      <c r="G285" s="199"/>
      <c r="H285" s="199"/>
      <c r="I285" s="136"/>
      <c r="J285" s="199"/>
      <c r="K285" s="199"/>
      <c r="L285" s="199"/>
      <c r="M285" s="199"/>
      <c r="N285" s="136"/>
      <c r="O285" s="199"/>
      <c r="P285" s="199"/>
      <c r="Q285" s="199"/>
      <c r="R285" s="199"/>
      <c r="S285" s="136"/>
      <c r="T285" s="199"/>
      <c r="U285" s="199"/>
      <c r="V285" s="199"/>
      <c r="W285" s="199"/>
      <c r="X285" s="136"/>
      <c r="Y285" s="199"/>
      <c r="Z285" s="199"/>
      <c r="AA285" s="199"/>
      <c r="AB285" s="199"/>
      <c r="AC285" s="136"/>
      <c r="AD285" s="199"/>
      <c r="AE285" s="199"/>
      <c r="AF285" s="199"/>
      <c r="AG285" s="199"/>
      <c r="AH285" s="136"/>
      <c r="AI285" s="199"/>
      <c r="AJ285" s="199"/>
      <c r="AK285" s="199"/>
      <c r="AL285" s="199"/>
      <c r="AM285" s="136"/>
      <c r="AN285" s="199"/>
      <c r="AO285" s="199"/>
      <c r="AP285" s="199"/>
      <c r="AQ285" s="199"/>
      <c r="AR285" s="136"/>
      <c r="AS285" s="199"/>
      <c r="AT285" s="199"/>
      <c r="AU285" s="199"/>
      <c r="AV285" s="199"/>
      <c r="AW285" s="136"/>
      <c r="AX285" s="199"/>
      <c r="AY285" s="199"/>
      <c r="AZ285" s="199"/>
      <c r="BA285" s="199"/>
      <c r="BB285" s="136"/>
      <c r="BC285" s="199"/>
      <c r="BD285" s="199"/>
      <c r="BE285" s="199"/>
      <c r="BF285" s="199"/>
      <c r="BG285" s="136"/>
      <c r="BH285" s="199"/>
      <c r="BI285" s="199"/>
      <c r="BJ285" s="199"/>
    </row>
    <row r="286" spans="1:62" x14ac:dyDescent="0.25">
      <c r="A286" s="199"/>
      <c r="B286" s="136"/>
      <c r="C286" s="199"/>
      <c r="D286" s="199"/>
      <c r="E286" s="199"/>
      <c r="F286" s="199"/>
      <c r="G286" s="199"/>
      <c r="H286" s="199"/>
      <c r="I286" s="136"/>
      <c r="J286" s="199"/>
      <c r="K286" s="199"/>
      <c r="L286" s="199"/>
      <c r="M286" s="199"/>
      <c r="N286" s="136"/>
      <c r="O286" s="199"/>
      <c r="P286" s="199"/>
      <c r="Q286" s="199"/>
      <c r="R286" s="199"/>
      <c r="S286" s="136"/>
      <c r="T286" s="199"/>
      <c r="U286" s="199"/>
      <c r="V286" s="199"/>
      <c r="W286" s="199"/>
      <c r="X286" s="136"/>
      <c r="Y286" s="199"/>
      <c r="Z286" s="199"/>
      <c r="AA286" s="199"/>
      <c r="AB286" s="199"/>
      <c r="AC286" s="136"/>
      <c r="AD286" s="199"/>
      <c r="AE286" s="199"/>
      <c r="AF286" s="199"/>
      <c r="AG286" s="199"/>
      <c r="AH286" s="136"/>
      <c r="AI286" s="199"/>
      <c r="AJ286" s="199"/>
      <c r="AK286" s="199"/>
      <c r="AL286" s="199"/>
      <c r="AM286" s="136"/>
      <c r="AN286" s="199"/>
      <c r="AO286" s="199"/>
      <c r="AP286" s="199"/>
      <c r="AQ286" s="199"/>
      <c r="AR286" s="136"/>
      <c r="AS286" s="199"/>
      <c r="AT286" s="199"/>
      <c r="AU286" s="199"/>
      <c r="AV286" s="199"/>
      <c r="AW286" s="136"/>
      <c r="AX286" s="199"/>
      <c r="AY286" s="199"/>
      <c r="AZ286" s="199"/>
      <c r="BA286" s="199"/>
      <c r="BB286" s="136"/>
      <c r="BC286" s="199"/>
      <c r="BD286" s="199"/>
      <c r="BE286" s="199"/>
      <c r="BF286" s="199"/>
      <c r="BG286" s="136"/>
      <c r="BH286" s="199"/>
      <c r="BI286" s="199"/>
      <c r="BJ286" s="199"/>
    </row>
    <row r="287" spans="1:62" x14ac:dyDescent="0.25">
      <c r="A287" s="199"/>
      <c r="B287" s="136"/>
      <c r="C287" s="199"/>
      <c r="D287" s="199"/>
      <c r="E287" s="199"/>
      <c r="F287" s="199"/>
      <c r="G287" s="199"/>
      <c r="H287" s="199"/>
      <c r="I287" s="136"/>
      <c r="J287" s="199"/>
      <c r="K287" s="199"/>
      <c r="L287" s="199"/>
      <c r="M287" s="199"/>
      <c r="N287" s="136"/>
      <c r="O287" s="199"/>
      <c r="P287" s="199"/>
      <c r="Q287" s="199"/>
      <c r="R287" s="199"/>
      <c r="S287" s="136"/>
      <c r="T287" s="199"/>
      <c r="U287" s="199"/>
      <c r="V287" s="199"/>
      <c r="W287" s="199"/>
      <c r="X287" s="136"/>
      <c r="Y287" s="199"/>
      <c r="Z287" s="199"/>
      <c r="AA287" s="199"/>
      <c r="AB287" s="199"/>
      <c r="AC287" s="136"/>
      <c r="AD287" s="199"/>
      <c r="AE287" s="199"/>
      <c r="AF287" s="199"/>
      <c r="AG287" s="199"/>
      <c r="AH287" s="136"/>
      <c r="AI287" s="199"/>
      <c r="AJ287" s="199"/>
      <c r="AK287" s="199"/>
      <c r="AL287" s="199"/>
      <c r="AM287" s="136"/>
      <c r="AN287" s="199"/>
      <c r="AO287" s="199"/>
      <c r="AP287" s="199"/>
      <c r="AQ287" s="199"/>
      <c r="AR287" s="136"/>
      <c r="AS287" s="199"/>
      <c r="AT287" s="199"/>
      <c r="AU287" s="199"/>
      <c r="AV287" s="199"/>
      <c r="AW287" s="136"/>
      <c r="AX287" s="199"/>
      <c r="AY287" s="199"/>
      <c r="AZ287" s="199"/>
      <c r="BA287" s="199"/>
      <c r="BB287" s="136"/>
      <c r="BC287" s="199"/>
      <c r="BD287" s="199"/>
      <c r="BE287" s="199"/>
      <c r="BF287" s="199"/>
      <c r="BG287" s="136"/>
      <c r="BH287" s="199"/>
      <c r="BI287" s="199"/>
      <c r="BJ287" s="199"/>
    </row>
    <row r="288" spans="1:62" x14ac:dyDescent="0.25">
      <c r="A288" s="199"/>
      <c r="B288" s="136"/>
      <c r="C288" s="199"/>
      <c r="D288" s="199"/>
      <c r="E288" s="199"/>
      <c r="F288" s="199"/>
      <c r="G288" s="199"/>
      <c r="H288" s="199"/>
      <c r="I288" s="136"/>
      <c r="J288" s="199"/>
      <c r="K288" s="199"/>
      <c r="L288" s="199"/>
      <c r="M288" s="199"/>
      <c r="N288" s="136"/>
      <c r="O288" s="199"/>
      <c r="P288" s="199"/>
      <c r="Q288" s="199"/>
      <c r="R288" s="199"/>
      <c r="S288" s="136"/>
      <c r="T288" s="199"/>
      <c r="U288" s="199"/>
      <c r="V288" s="199"/>
      <c r="W288" s="199"/>
      <c r="X288" s="136"/>
      <c r="Y288" s="199"/>
      <c r="Z288" s="199"/>
      <c r="AA288" s="199"/>
      <c r="AB288" s="199"/>
      <c r="AC288" s="136"/>
      <c r="AD288" s="199"/>
      <c r="AE288" s="199"/>
      <c r="AF288" s="199"/>
      <c r="AG288" s="199"/>
      <c r="AH288" s="136"/>
      <c r="AI288" s="199"/>
      <c r="AJ288" s="199"/>
      <c r="AK288" s="199"/>
      <c r="AL288" s="199"/>
      <c r="AM288" s="136"/>
      <c r="AN288" s="199"/>
      <c r="AO288" s="199"/>
      <c r="AP288" s="199"/>
      <c r="AQ288" s="199"/>
      <c r="AR288" s="136"/>
      <c r="AS288" s="199"/>
      <c r="AT288" s="199"/>
      <c r="AU288" s="199"/>
      <c r="AV288" s="199"/>
      <c r="AW288" s="136"/>
      <c r="AX288" s="199"/>
      <c r="AY288" s="199"/>
      <c r="AZ288" s="199"/>
      <c r="BA288" s="199"/>
      <c r="BB288" s="136"/>
      <c r="BC288" s="199"/>
      <c r="BD288" s="199"/>
      <c r="BE288" s="199"/>
      <c r="BF288" s="199"/>
      <c r="BG288" s="136"/>
      <c r="BH288" s="199"/>
      <c r="BI288" s="199"/>
      <c r="BJ288" s="199"/>
    </row>
    <row r="289" spans="1:62" x14ac:dyDescent="0.25">
      <c r="A289" s="199"/>
      <c r="B289" s="136"/>
      <c r="C289" s="199"/>
      <c r="D289" s="199"/>
      <c r="E289" s="199"/>
      <c r="F289" s="199"/>
      <c r="G289" s="199"/>
      <c r="H289" s="199"/>
      <c r="I289" s="136"/>
      <c r="J289" s="199"/>
      <c r="K289" s="199"/>
      <c r="L289" s="199"/>
      <c r="M289" s="199"/>
      <c r="N289" s="136"/>
      <c r="O289" s="199"/>
      <c r="P289" s="199"/>
      <c r="Q289" s="199"/>
      <c r="R289" s="199"/>
      <c r="S289" s="136"/>
      <c r="T289" s="199"/>
      <c r="U289" s="199"/>
      <c r="V289" s="199"/>
      <c r="W289" s="199"/>
      <c r="X289" s="136"/>
      <c r="Y289" s="199"/>
      <c r="Z289" s="199"/>
      <c r="AA289" s="199"/>
      <c r="AB289" s="199"/>
      <c r="AC289" s="136"/>
      <c r="AD289" s="199"/>
      <c r="AE289" s="199"/>
      <c r="AF289" s="199"/>
      <c r="AG289" s="199"/>
      <c r="AH289" s="136"/>
      <c r="AI289" s="199"/>
      <c r="AJ289" s="199"/>
      <c r="AK289" s="199"/>
      <c r="AL289" s="199"/>
      <c r="AM289" s="136"/>
      <c r="AN289" s="199"/>
      <c r="AO289" s="199"/>
      <c r="AP289" s="199"/>
      <c r="AQ289" s="199"/>
      <c r="AR289" s="136"/>
      <c r="AS289" s="199"/>
      <c r="AT289" s="199"/>
      <c r="AU289" s="199"/>
      <c r="AV289" s="199"/>
      <c r="AW289" s="136"/>
      <c r="AX289" s="199"/>
      <c r="AY289" s="199"/>
      <c r="AZ289" s="199"/>
      <c r="BA289" s="199"/>
      <c r="BB289" s="136"/>
      <c r="BC289" s="199"/>
      <c r="BD289" s="199"/>
      <c r="BE289" s="199"/>
      <c r="BF289" s="199"/>
      <c r="BG289" s="136"/>
      <c r="BH289" s="199"/>
      <c r="BI289" s="199"/>
      <c r="BJ289" s="199"/>
    </row>
    <row r="290" spans="1:62" x14ac:dyDescent="0.25">
      <c r="A290" s="199"/>
      <c r="B290" s="136"/>
      <c r="C290" s="199"/>
      <c r="D290" s="199"/>
      <c r="E290" s="199"/>
      <c r="F290" s="199"/>
      <c r="G290" s="199"/>
      <c r="H290" s="199"/>
      <c r="I290" s="136"/>
      <c r="J290" s="199"/>
      <c r="K290" s="199"/>
      <c r="L290" s="199"/>
      <c r="M290" s="199"/>
      <c r="N290" s="136"/>
      <c r="O290" s="199"/>
      <c r="P290" s="199"/>
      <c r="Q290" s="199"/>
      <c r="R290" s="199"/>
      <c r="S290" s="136"/>
      <c r="T290" s="199"/>
      <c r="U290" s="199"/>
      <c r="V290" s="199"/>
      <c r="W290" s="199"/>
      <c r="X290" s="136"/>
      <c r="Y290" s="199"/>
      <c r="Z290" s="199"/>
      <c r="AA290" s="199"/>
      <c r="AB290" s="199"/>
      <c r="AC290" s="136"/>
      <c r="AD290" s="199"/>
      <c r="AE290" s="199"/>
      <c r="AF290" s="199"/>
      <c r="AG290" s="199"/>
      <c r="AH290" s="136"/>
      <c r="AI290" s="199"/>
      <c r="AJ290" s="199"/>
      <c r="AK290" s="199"/>
      <c r="AL290" s="199"/>
      <c r="AM290" s="136"/>
      <c r="AN290" s="199"/>
      <c r="AO290" s="199"/>
      <c r="AP290" s="199"/>
      <c r="AQ290" s="199"/>
      <c r="AR290" s="136"/>
      <c r="AS290" s="199"/>
      <c r="AT290" s="199"/>
      <c r="AU290" s="199"/>
      <c r="AV290" s="199"/>
      <c r="AW290" s="136"/>
      <c r="AX290" s="199"/>
      <c r="AY290" s="199"/>
      <c r="AZ290" s="199"/>
      <c r="BA290" s="199"/>
      <c r="BB290" s="136"/>
      <c r="BC290" s="199"/>
      <c r="BD290" s="199"/>
      <c r="BE290" s="199"/>
      <c r="BF290" s="199"/>
      <c r="BG290" s="136"/>
      <c r="BH290" s="199"/>
      <c r="BI290" s="199"/>
      <c r="BJ290" s="199"/>
    </row>
    <row r="294" spans="1:62" ht="36" x14ac:dyDescent="0.25">
      <c r="A294" s="169"/>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row>
    <row r="295" spans="1:62" x14ac:dyDescent="0.25">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row>
    <row r="296" spans="1:62" x14ac:dyDescent="0.25">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row>
    <row r="297" spans="1:62" ht="36" x14ac:dyDescent="0.25">
      <c r="A297" s="169"/>
      <c r="B297" s="169"/>
      <c r="C297" s="169"/>
      <c r="D297" s="169"/>
      <c r="E297" s="169"/>
      <c r="F297" s="169"/>
      <c r="G297" s="169"/>
      <c r="H297" s="169"/>
      <c r="I297" s="169"/>
      <c r="J297" s="169"/>
      <c r="K297" s="169"/>
      <c r="L297" s="169"/>
      <c r="M297" s="169"/>
      <c r="N297" s="169"/>
      <c r="O297" s="169"/>
      <c r="P297" s="169"/>
      <c r="Q297" s="169"/>
      <c r="R297" s="169"/>
      <c r="S297" s="169"/>
      <c r="T297" s="169"/>
      <c r="U297" s="169"/>
      <c r="V297" s="169"/>
      <c r="W297" s="169"/>
      <c r="X297" s="169"/>
      <c r="Y297" s="169"/>
      <c r="Z297" s="169"/>
      <c r="AA297" s="169"/>
      <c r="AB297" s="169"/>
      <c r="AC297" s="169"/>
      <c r="AD297" s="169"/>
      <c r="AE297" s="169"/>
      <c r="AF297" s="169"/>
      <c r="AG297" s="169"/>
      <c r="AH297" s="169"/>
      <c r="AI297" s="169"/>
      <c r="AJ297" s="169"/>
      <c r="AK297" s="169"/>
      <c r="AL297" s="169"/>
      <c r="AM297" s="169"/>
      <c r="AN297" s="169"/>
      <c r="AO297" s="169"/>
      <c r="AP297" s="169"/>
      <c r="AQ297" s="169"/>
      <c r="AR297" s="169"/>
      <c r="AS297" s="169"/>
      <c r="AT297" s="169"/>
      <c r="AU297" s="169"/>
      <c r="AV297" s="169"/>
      <c r="AW297" s="169"/>
      <c r="AX297" s="169"/>
      <c r="AY297" s="169"/>
      <c r="AZ297" s="169"/>
      <c r="BA297" s="169"/>
      <c r="BB297" s="169"/>
      <c r="BC297" s="169"/>
      <c r="BD297" s="169"/>
      <c r="BE297" s="169"/>
      <c r="BF297" s="169"/>
      <c r="BG297" s="169"/>
      <c r="BH297" s="169"/>
      <c r="BI297" s="169"/>
      <c r="BJ297" s="169"/>
    </row>
    <row r="298" spans="1:62" ht="36" x14ac:dyDescent="0.25">
      <c r="A298" s="169"/>
      <c r="B298" s="169"/>
      <c r="C298" s="169"/>
      <c r="D298" s="169"/>
      <c r="E298" s="169"/>
      <c r="F298" s="169"/>
      <c r="G298" s="169"/>
      <c r="H298" s="169"/>
      <c r="I298" s="169"/>
      <c r="J298" s="169"/>
      <c r="K298" s="169"/>
      <c r="L298" s="169"/>
      <c r="M298" s="169"/>
      <c r="N298" s="169"/>
      <c r="O298" s="169"/>
      <c r="P298" s="169"/>
      <c r="Q298" s="169"/>
      <c r="R298" s="169"/>
      <c r="S298" s="169"/>
      <c r="T298" s="169"/>
      <c r="U298" s="169"/>
      <c r="V298" s="169"/>
      <c r="W298" s="169"/>
      <c r="X298" s="169"/>
      <c r="Y298" s="169"/>
      <c r="Z298" s="169"/>
      <c r="AA298" s="169"/>
      <c r="AB298" s="169"/>
      <c r="AC298" s="169"/>
      <c r="AD298" s="169"/>
      <c r="AE298" s="169"/>
      <c r="AF298" s="169"/>
      <c r="AG298" s="169"/>
      <c r="AH298" s="169"/>
      <c r="AI298" s="169"/>
      <c r="AJ298" s="169"/>
      <c r="AK298" s="169"/>
      <c r="AL298" s="169"/>
      <c r="AM298" s="169"/>
      <c r="AN298" s="169"/>
      <c r="AO298" s="169"/>
      <c r="AP298" s="169"/>
      <c r="AQ298" s="169"/>
      <c r="AR298" s="169"/>
      <c r="AS298" s="169"/>
      <c r="AT298" s="169"/>
      <c r="AU298" s="169"/>
      <c r="AV298" s="169"/>
      <c r="AW298" s="169"/>
      <c r="AX298" s="169"/>
      <c r="AY298" s="169"/>
      <c r="AZ298" s="169"/>
      <c r="BA298" s="169"/>
      <c r="BB298" s="169"/>
      <c r="BC298" s="169"/>
      <c r="BD298" s="169"/>
      <c r="BE298" s="169"/>
      <c r="BF298" s="169"/>
      <c r="BG298" s="169"/>
      <c r="BH298" s="169"/>
      <c r="BI298" s="169"/>
      <c r="BJ298" s="169"/>
    </row>
    <row r="299" spans="1:62" ht="36" x14ac:dyDescent="0.25">
      <c r="A299" s="169"/>
      <c r="B299" s="169"/>
      <c r="C299" s="169"/>
      <c r="D299" s="169"/>
      <c r="E299" s="169"/>
      <c r="F299" s="169"/>
      <c r="G299" s="169"/>
      <c r="H299" s="169"/>
      <c r="I299" s="169"/>
      <c r="J299" s="169"/>
      <c r="K299" s="169"/>
      <c r="L299" s="169"/>
      <c r="M299" s="169"/>
      <c r="N299" s="169"/>
      <c r="O299" s="169"/>
      <c r="P299" s="169"/>
      <c r="Q299" s="169"/>
      <c r="R299" s="169"/>
      <c r="S299" s="169"/>
      <c r="T299" s="169"/>
      <c r="U299" s="169"/>
      <c r="V299" s="169"/>
      <c r="W299" s="169"/>
      <c r="X299" s="169"/>
      <c r="Y299" s="169"/>
      <c r="Z299" s="169"/>
      <c r="AA299" s="169"/>
      <c r="AB299" s="169"/>
      <c r="AC299" s="169"/>
      <c r="AD299" s="169"/>
      <c r="AE299" s="169"/>
      <c r="AF299" s="169"/>
      <c r="AG299" s="169"/>
      <c r="AH299" s="169"/>
      <c r="AI299" s="169"/>
      <c r="AJ299" s="169"/>
      <c r="AK299" s="169"/>
      <c r="AL299" s="169"/>
      <c r="AM299" s="169"/>
      <c r="AN299" s="169"/>
      <c r="AO299" s="169"/>
      <c r="AP299" s="169"/>
      <c r="AQ299" s="169"/>
      <c r="AR299" s="169"/>
      <c r="AS299" s="169"/>
      <c r="AT299" s="169"/>
      <c r="AU299" s="169"/>
      <c r="AV299" s="169"/>
      <c r="AW299" s="169"/>
      <c r="AX299" s="169"/>
      <c r="AY299" s="169"/>
      <c r="AZ299" s="169"/>
      <c r="BA299" s="169"/>
      <c r="BB299" s="169"/>
      <c r="BC299" s="169"/>
      <c r="BD299" s="169"/>
      <c r="BE299" s="169"/>
      <c r="BF299" s="169"/>
      <c r="BG299" s="169"/>
      <c r="BH299" s="169"/>
      <c r="BI299" s="169"/>
      <c r="BJ299" s="169"/>
    </row>
    <row r="300" spans="1:62" x14ac:dyDescent="0.25">
      <c r="F300" s="194"/>
      <c r="G300" s="194"/>
    </row>
    <row r="302" spans="1:62" x14ac:dyDescent="0.25">
      <c r="A302" s="199"/>
      <c r="B302" s="136"/>
      <c r="C302" s="199"/>
      <c r="D302" s="199"/>
      <c r="E302" s="199"/>
      <c r="F302" s="199"/>
      <c r="G302" s="199"/>
      <c r="H302" s="199"/>
      <c r="I302" s="136"/>
      <c r="J302" s="199"/>
      <c r="K302" s="199"/>
      <c r="L302" s="199"/>
      <c r="M302" s="199"/>
      <c r="N302" s="136"/>
      <c r="O302" s="199"/>
      <c r="P302" s="199"/>
      <c r="Q302" s="199"/>
      <c r="R302" s="199"/>
      <c r="S302" s="136"/>
      <c r="T302" s="199"/>
      <c r="U302" s="199"/>
      <c r="V302" s="199"/>
      <c r="W302" s="199"/>
      <c r="X302" s="136"/>
      <c r="Y302" s="199"/>
      <c r="Z302" s="199"/>
      <c r="AA302" s="199"/>
      <c r="AB302" s="199"/>
      <c r="AC302" s="136"/>
      <c r="AD302" s="199"/>
      <c r="AE302" s="199"/>
      <c r="AF302" s="199"/>
      <c r="AG302" s="199"/>
      <c r="AH302" s="136"/>
      <c r="AI302" s="199"/>
      <c r="AJ302" s="199"/>
      <c r="AK302" s="199"/>
      <c r="AL302" s="199"/>
      <c r="AM302" s="136"/>
      <c r="AN302" s="199"/>
      <c r="AO302" s="199"/>
      <c r="AP302" s="199"/>
      <c r="AQ302" s="199"/>
      <c r="AR302" s="136"/>
      <c r="AS302" s="199"/>
      <c r="AT302" s="199"/>
      <c r="AU302" s="199"/>
      <c r="AV302" s="199"/>
      <c r="AW302" s="136"/>
      <c r="AX302" s="199"/>
      <c r="AY302" s="199"/>
      <c r="AZ302" s="199"/>
      <c r="BA302" s="199"/>
      <c r="BB302" s="136"/>
      <c r="BC302" s="199"/>
      <c r="BD302" s="199"/>
      <c r="BE302" s="199"/>
      <c r="BF302" s="199"/>
      <c r="BG302" s="136"/>
      <c r="BH302" s="199"/>
      <c r="BI302" s="199"/>
      <c r="BJ302" s="199"/>
    </row>
    <row r="303" spans="1:62" x14ac:dyDescent="0.25">
      <c r="A303" s="199"/>
      <c r="B303" s="136"/>
      <c r="C303" s="199"/>
      <c r="D303" s="199"/>
      <c r="E303" s="199"/>
      <c r="F303" s="199"/>
      <c r="G303" s="199"/>
      <c r="H303" s="199"/>
      <c r="I303" s="136"/>
      <c r="J303" s="199"/>
      <c r="K303" s="199"/>
      <c r="L303" s="199"/>
      <c r="M303" s="199"/>
      <c r="N303" s="136"/>
      <c r="O303" s="199"/>
      <c r="P303" s="199"/>
      <c r="Q303" s="199"/>
      <c r="R303" s="199"/>
      <c r="S303" s="136"/>
      <c r="T303" s="199"/>
      <c r="U303" s="199"/>
      <c r="V303" s="199"/>
      <c r="W303" s="199"/>
      <c r="X303" s="136"/>
      <c r="Y303" s="199"/>
      <c r="Z303" s="199"/>
      <c r="AA303" s="199"/>
      <c r="AB303" s="199"/>
      <c r="AC303" s="136"/>
      <c r="AD303" s="199"/>
      <c r="AE303" s="199"/>
      <c r="AF303" s="199"/>
      <c r="AG303" s="199"/>
      <c r="AH303" s="136"/>
      <c r="AI303" s="199"/>
      <c r="AJ303" s="199"/>
      <c r="AK303" s="199"/>
      <c r="AL303" s="199"/>
      <c r="AM303" s="136"/>
      <c r="AN303" s="199"/>
      <c r="AO303" s="199"/>
      <c r="AP303" s="199"/>
      <c r="AQ303" s="199"/>
      <c r="AR303" s="136"/>
      <c r="AS303" s="199"/>
      <c r="AT303" s="199"/>
      <c r="AU303" s="199"/>
      <c r="AV303" s="199"/>
      <c r="AW303" s="136"/>
      <c r="AX303" s="199"/>
      <c r="AY303" s="199"/>
      <c r="AZ303" s="199"/>
      <c r="BA303" s="199"/>
      <c r="BB303" s="136"/>
      <c r="BC303" s="199"/>
      <c r="BD303" s="199"/>
      <c r="BE303" s="199"/>
      <c r="BF303" s="199"/>
      <c r="BG303" s="136"/>
      <c r="BH303" s="199"/>
      <c r="BI303" s="199"/>
      <c r="BJ303" s="199"/>
    </row>
    <row r="304" spans="1:62" x14ac:dyDescent="0.25">
      <c r="A304" s="199"/>
      <c r="B304" s="136"/>
      <c r="C304" s="199"/>
      <c r="D304" s="199"/>
      <c r="E304" s="199"/>
      <c r="F304" s="199"/>
      <c r="G304" s="199"/>
      <c r="H304" s="199"/>
      <c r="I304" s="136"/>
      <c r="J304" s="199"/>
      <c r="K304" s="199"/>
      <c r="L304" s="199"/>
      <c r="M304" s="199"/>
      <c r="N304" s="136"/>
      <c r="O304" s="199"/>
      <c r="P304" s="199"/>
      <c r="Q304" s="199"/>
      <c r="R304" s="199"/>
      <c r="S304" s="136"/>
      <c r="T304" s="199"/>
      <c r="U304" s="199"/>
      <c r="V304" s="199"/>
      <c r="W304" s="199"/>
      <c r="X304" s="136"/>
      <c r="Y304" s="199"/>
      <c r="Z304" s="199"/>
      <c r="AA304" s="199"/>
      <c r="AB304" s="199"/>
      <c r="AC304" s="136"/>
      <c r="AD304" s="199"/>
      <c r="AE304" s="199"/>
      <c r="AF304" s="199"/>
      <c r="AG304" s="199"/>
      <c r="AH304" s="136"/>
      <c r="AI304" s="199"/>
      <c r="AJ304" s="199"/>
      <c r="AK304" s="199"/>
      <c r="AL304" s="199"/>
      <c r="AM304" s="136"/>
      <c r="AN304" s="199"/>
      <c r="AO304" s="199"/>
      <c r="AP304" s="199"/>
      <c r="AQ304" s="199"/>
      <c r="AR304" s="136"/>
      <c r="AS304" s="199"/>
      <c r="AT304" s="199"/>
      <c r="AU304" s="199"/>
      <c r="AV304" s="199"/>
      <c r="AW304" s="136"/>
      <c r="AX304" s="199"/>
      <c r="AY304" s="199"/>
      <c r="AZ304" s="199"/>
      <c r="BA304" s="199"/>
      <c r="BB304" s="136"/>
      <c r="BC304" s="199"/>
      <c r="BD304" s="199"/>
      <c r="BE304" s="199"/>
      <c r="BF304" s="199"/>
      <c r="BG304" s="136"/>
      <c r="BH304" s="199"/>
      <c r="BI304" s="199"/>
      <c r="BJ304" s="199"/>
    </row>
    <row r="305" spans="1:62" x14ac:dyDescent="0.25">
      <c r="A305" s="199"/>
      <c r="B305" s="136"/>
      <c r="C305" s="199"/>
      <c r="D305" s="199"/>
      <c r="E305" s="199"/>
      <c r="F305" s="199"/>
      <c r="G305" s="199"/>
      <c r="H305" s="199"/>
      <c r="I305" s="136"/>
      <c r="J305" s="199"/>
      <c r="K305" s="199"/>
      <c r="L305" s="199"/>
      <c r="M305" s="199"/>
      <c r="N305" s="136"/>
      <c r="O305" s="199"/>
      <c r="P305" s="199"/>
      <c r="Q305" s="199"/>
      <c r="R305" s="199"/>
      <c r="S305" s="136"/>
      <c r="T305" s="199"/>
      <c r="U305" s="199"/>
      <c r="V305" s="199"/>
      <c r="W305" s="199"/>
      <c r="X305" s="136"/>
      <c r="Y305" s="199"/>
      <c r="Z305" s="199"/>
      <c r="AA305" s="199"/>
      <c r="AB305" s="199"/>
      <c r="AC305" s="136"/>
      <c r="AD305" s="199"/>
      <c r="AE305" s="199"/>
      <c r="AF305" s="199"/>
      <c r="AG305" s="199"/>
      <c r="AH305" s="136"/>
      <c r="AI305" s="199"/>
      <c r="AJ305" s="199"/>
      <c r="AK305" s="199"/>
      <c r="AL305" s="199"/>
      <c r="AM305" s="136"/>
      <c r="AN305" s="199"/>
      <c r="AO305" s="199"/>
      <c r="AP305" s="199"/>
      <c r="AQ305" s="199"/>
      <c r="AR305" s="136"/>
      <c r="AS305" s="199"/>
      <c r="AT305" s="199"/>
      <c r="AU305" s="199"/>
      <c r="AV305" s="199"/>
      <c r="AW305" s="136"/>
      <c r="AX305" s="199"/>
      <c r="AY305" s="199"/>
      <c r="AZ305" s="199"/>
      <c r="BA305" s="199"/>
      <c r="BB305" s="136"/>
      <c r="BC305" s="199"/>
      <c r="BD305" s="199"/>
      <c r="BE305" s="199"/>
      <c r="BF305" s="199"/>
      <c r="BG305" s="136"/>
      <c r="BH305" s="199"/>
      <c r="BI305" s="199"/>
      <c r="BJ305" s="199"/>
    </row>
    <row r="306" spans="1:62" x14ac:dyDescent="0.25">
      <c r="A306" s="199"/>
      <c r="B306" s="136"/>
      <c r="C306" s="199"/>
      <c r="D306" s="199"/>
      <c r="E306" s="199"/>
      <c r="F306" s="199"/>
      <c r="G306" s="199"/>
      <c r="H306" s="199"/>
      <c r="I306" s="136"/>
      <c r="J306" s="199"/>
      <c r="K306" s="199"/>
      <c r="L306" s="199"/>
      <c r="M306" s="199"/>
      <c r="N306" s="136"/>
      <c r="O306" s="199"/>
      <c r="P306" s="199"/>
      <c r="Q306" s="199"/>
      <c r="R306" s="199"/>
      <c r="S306" s="136"/>
      <c r="T306" s="199"/>
      <c r="U306" s="199"/>
      <c r="V306" s="199"/>
      <c r="W306" s="199"/>
      <c r="X306" s="136"/>
      <c r="Y306" s="199"/>
      <c r="Z306" s="199"/>
      <c r="AA306" s="199"/>
      <c r="AB306" s="199"/>
      <c r="AC306" s="136"/>
      <c r="AD306" s="199"/>
      <c r="AE306" s="199"/>
      <c r="AF306" s="199"/>
      <c r="AG306" s="199"/>
      <c r="AH306" s="136"/>
      <c r="AI306" s="199"/>
      <c r="AJ306" s="199"/>
      <c r="AK306" s="199"/>
      <c r="AL306" s="199"/>
      <c r="AM306" s="136"/>
      <c r="AN306" s="199"/>
      <c r="AO306" s="199"/>
      <c r="AP306" s="199"/>
      <c r="AQ306" s="199"/>
      <c r="AR306" s="136"/>
      <c r="AS306" s="199"/>
      <c r="AT306" s="199"/>
      <c r="AU306" s="199"/>
      <c r="AV306" s="199"/>
      <c r="AW306" s="136"/>
      <c r="AX306" s="199"/>
      <c r="AY306" s="199"/>
      <c r="AZ306" s="199"/>
      <c r="BA306" s="199"/>
      <c r="BB306" s="136"/>
      <c r="BC306" s="199"/>
      <c r="BD306" s="199"/>
      <c r="BE306" s="199"/>
      <c r="BF306" s="199"/>
      <c r="BG306" s="136"/>
      <c r="BH306" s="199"/>
      <c r="BI306" s="199"/>
      <c r="BJ306" s="199"/>
    </row>
    <row r="307" spans="1:62" x14ac:dyDescent="0.25">
      <c r="A307" s="199"/>
      <c r="B307" s="136"/>
      <c r="C307" s="199"/>
      <c r="D307" s="199"/>
      <c r="E307" s="199"/>
      <c r="F307" s="199"/>
      <c r="G307" s="199"/>
      <c r="H307" s="199"/>
      <c r="I307" s="136"/>
      <c r="J307" s="199"/>
      <c r="K307" s="199"/>
      <c r="L307" s="199"/>
      <c r="M307" s="199"/>
      <c r="N307" s="136"/>
      <c r="O307" s="199"/>
      <c r="P307" s="199"/>
      <c r="Q307" s="199"/>
      <c r="R307" s="199"/>
      <c r="S307" s="136"/>
      <c r="T307" s="199"/>
      <c r="U307" s="199"/>
      <c r="V307" s="199"/>
      <c r="W307" s="199"/>
      <c r="X307" s="136"/>
      <c r="Y307" s="199"/>
      <c r="Z307" s="199"/>
      <c r="AA307" s="199"/>
      <c r="AB307" s="199"/>
      <c r="AC307" s="136"/>
      <c r="AD307" s="199"/>
      <c r="AE307" s="199"/>
      <c r="AF307" s="199"/>
      <c r="AG307" s="199"/>
      <c r="AH307" s="136"/>
      <c r="AI307" s="199"/>
      <c r="AJ307" s="199"/>
      <c r="AK307" s="199"/>
      <c r="AL307" s="199"/>
      <c r="AM307" s="136"/>
      <c r="AN307" s="199"/>
      <c r="AO307" s="199"/>
      <c r="AP307" s="199"/>
      <c r="AQ307" s="199"/>
      <c r="AR307" s="136"/>
      <c r="AS307" s="199"/>
      <c r="AT307" s="199"/>
      <c r="AU307" s="199"/>
      <c r="AV307" s="199"/>
      <c r="AW307" s="136"/>
      <c r="AX307" s="199"/>
      <c r="AY307" s="199"/>
      <c r="AZ307" s="199"/>
      <c r="BA307" s="199"/>
      <c r="BB307" s="136"/>
      <c r="BC307" s="199"/>
      <c r="BD307" s="199"/>
      <c r="BE307" s="199"/>
      <c r="BF307" s="199"/>
      <c r="BG307" s="136"/>
      <c r="BH307" s="199"/>
      <c r="BI307" s="199"/>
      <c r="BJ307" s="199"/>
    </row>
    <row r="308" spans="1:62" x14ac:dyDescent="0.25">
      <c r="A308" s="199"/>
      <c r="B308" s="136"/>
      <c r="C308" s="199"/>
      <c r="D308" s="199"/>
      <c r="E308" s="199"/>
      <c r="F308" s="199"/>
      <c r="G308" s="199"/>
      <c r="H308" s="199"/>
      <c r="I308" s="136"/>
      <c r="J308" s="199"/>
      <c r="K308" s="199"/>
      <c r="L308" s="199"/>
      <c r="M308" s="199"/>
      <c r="N308" s="136"/>
      <c r="O308" s="199"/>
      <c r="P308" s="199"/>
      <c r="Q308" s="199"/>
      <c r="R308" s="199"/>
      <c r="S308" s="136"/>
      <c r="T308" s="199"/>
      <c r="U308" s="199"/>
      <c r="V308" s="199"/>
      <c r="W308" s="199"/>
      <c r="X308" s="136"/>
      <c r="Y308" s="199"/>
      <c r="Z308" s="199"/>
      <c r="AA308" s="199"/>
      <c r="AB308" s="199"/>
      <c r="AC308" s="136"/>
      <c r="AD308" s="199"/>
      <c r="AE308" s="199"/>
      <c r="AF308" s="199"/>
      <c r="AG308" s="199"/>
      <c r="AH308" s="136"/>
      <c r="AI308" s="199"/>
      <c r="AJ308" s="199"/>
      <c r="AK308" s="199"/>
      <c r="AL308" s="199"/>
      <c r="AM308" s="136"/>
      <c r="AN308" s="199"/>
      <c r="AO308" s="199"/>
      <c r="AP308" s="199"/>
      <c r="AQ308" s="199"/>
      <c r="AR308" s="136"/>
      <c r="AS308" s="199"/>
      <c r="AT308" s="199"/>
      <c r="AU308" s="199"/>
      <c r="AV308" s="199"/>
      <c r="AW308" s="136"/>
      <c r="AX308" s="199"/>
      <c r="AY308" s="199"/>
      <c r="AZ308" s="199"/>
      <c r="BA308" s="199"/>
      <c r="BB308" s="136"/>
      <c r="BC308" s="199"/>
      <c r="BD308" s="199"/>
      <c r="BE308" s="199"/>
      <c r="BF308" s="199"/>
      <c r="BG308" s="136"/>
      <c r="BH308" s="199"/>
      <c r="BI308" s="199"/>
      <c r="BJ308" s="199"/>
    </row>
    <row r="309" spans="1:62" x14ac:dyDescent="0.25">
      <c r="A309" s="199"/>
      <c r="B309" s="136"/>
      <c r="C309" s="199"/>
      <c r="D309" s="199"/>
      <c r="E309" s="199"/>
      <c r="F309" s="199"/>
      <c r="G309" s="199"/>
      <c r="H309" s="199"/>
      <c r="I309" s="136"/>
      <c r="J309" s="199"/>
      <c r="K309" s="199"/>
      <c r="L309" s="199"/>
      <c r="M309" s="199"/>
      <c r="N309" s="136"/>
      <c r="O309" s="199"/>
      <c r="P309" s="199"/>
      <c r="Q309" s="199"/>
      <c r="R309" s="199"/>
      <c r="S309" s="136"/>
      <c r="T309" s="199"/>
      <c r="U309" s="199"/>
      <c r="V309" s="199"/>
      <c r="W309" s="199"/>
      <c r="X309" s="136"/>
      <c r="Y309" s="199"/>
      <c r="Z309" s="199"/>
      <c r="AA309" s="199"/>
      <c r="AB309" s="199"/>
      <c r="AC309" s="136"/>
      <c r="AD309" s="199"/>
      <c r="AE309" s="199"/>
      <c r="AF309" s="199"/>
      <c r="AG309" s="199"/>
      <c r="AH309" s="136"/>
      <c r="AI309" s="199"/>
      <c r="AJ309" s="199"/>
      <c r="AK309" s="199"/>
      <c r="AL309" s="199"/>
      <c r="AM309" s="136"/>
      <c r="AN309" s="199"/>
      <c r="AO309" s="199"/>
      <c r="AP309" s="199"/>
      <c r="AQ309" s="199"/>
      <c r="AR309" s="136"/>
      <c r="AS309" s="199"/>
      <c r="AT309" s="199"/>
      <c r="AU309" s="199"/>
      <c r="AV309" s="199"/>
      <c r="AW309" s="136"/>
      <c r="AX309" s="199"/>
      <c r="AY309" s="199"/>
      <c r="AZ309" s="199"/>
      <c r="BA309" s="199"/>
      <c r="BB309" s="136"/>
      <c r="BC309" s="199"/>
      <c r="BD309" s="199"/>
      <c r="BE309" s="199"/>
      <c r="BF309" s="199"/>
      <c r="BG309" s="136"/>
      <c r="BH309" s="199"/>
      <c r="BI309" s="199"/>
      <c r="BJ309" s="199"/>
    </row>
    <row r="313" spans="1:62" ht="36" x14ac:dyDescent="0.25">
      <c r="A313" s="169"/>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row>
    <row r="314" spans="1:62" x14ac:dyDescent="0.25">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row>
    <row r="315" spans="1:62" x14ac:dyDescent="0.25">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row>
    <row r="316" spans="1:62" ht="36" x14ac:dyDescent="0.25">
      <c r="A316" s="169"/>
      <c r="B316" s="169"/>
      <c r="C316" s="169"/>
      <c r="D316" s="169"/>
      <c r="E316" s="169"/>
      <c r="F316" s="169"/>
      <c r="G316" s="169"/>
      <c r="H316" s="169"/>
      <c r="I316" s="169"/>
      <c r="J316" s="169"/>
      <c r="K316" s="169"/>
      <c r="L316" s="169"/>
      <c r="M316" s="169"/>
      <c r="N316" s="169"/>
      <c r="O316" s="169"/>
      <c r="P316" s="169"/>
      <c r="Q316" s="169"/>
      <c r="R316" s="169"/>
      <c r="S316" s="169"/>
      <c r="T316" s="169"/>
      <c r="U316" s="169"/>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c r="AZ316" s="169"/>
      <c r="BA316" s="169"/>
      <c r="BB316" s="169"/>
      <c r="BC316" s="169"/>
      <c r="BD316" s="169"/>
      <c r="BE316" s="169"/>
      <c r="BF316" s="169"/>
      <c r="BG316" s="169"/>
      <c r="BH316" s="169"/>
      <c r="BI316" s="169"/>
      <c r="BJ316" s="169"/>
    </row>
    <row r="317" spans="1:62" ht="36" x14ac:dyDescent="0.25">
      <c r="A317" s="169"/>
      <c r="B317" s="169"/>
      <c r="C317" s="169"/>
      <c r="D317" s="169"/>
      <c r="E317" s="169"/>
      <c r="F317" s="169"/>
      <c r="G317" s="169"/>
      <c r="H317" s="169"/>
      <c r="I317" s="169"/>
      <c r="J317" s="169"/>
      <c r="K317" s="169"/>
      <c r="L317" s="169"/>
      <c r="M317" s="169"/>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c r="AZ317" s="169"/>
      <c r="BA317" s="169"/>
      <c r="BB317" s="169"/>
      <c r="BC317" s="169"/>
      <c r="BD317" s="169"/>
      <c r="BE317" s="169"/>
      <c r="BF317" s="169"/>
      <c r="BG317" s="169"/>
      <c r="BH317" s="169"/>
      <c r="BI317" s="169"/>
      <c r="BJ317" s="169"/>
    </row>
    <row r="318" spans="1:62" ht="36" x14ac:dyDescent="0.25">
      <c r="A318" s="169"/>
      <c r="B318" s="169"/>
      <c r="C318" s="169"/>
      <c r="D318" s="169"/>
      <c r="E318" s="169"/>
      <c r="F318" s="169"/>
      <c r="G318" s="169"/>
      <c r="H318" s="169"/>
      <c r="I318" s="169"/>
      <c r="J318" s="169"/>
      <c r="K318" s="169"/>
      <c r="L318" s="169"/>
      <c r="M318" s="169"/>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c r="AZ318" s="169"/>
      <c r="BA318" s="169"/>
      <c r="BB318" s="169"/>
      <c r="BC318" s="169"/>
      <c r="BD318" s="169"/>
      <c r="BE318" s="169"/>
      <c r="BF318" s="169"/>
      <c r="BG318" s="169"/>
      <c r="BH318" s="169"/>
      <c r="BI318" s="169"/>
      <c r="BJ318" s="169"/>
    </row>
    <row r="319" spans="1:62" x14ac:dyDescent="0.25">
      <c r="F319" s="194"/>
      <c r="G319" s="194"/>
    </row>
    <row r="321" spans="1:62" x14ac:dyDescent="0.25">
      <c r="A321" s="199"/>
      <c r="B321" s="136"/>
      <c r="C321" s="199"/>
      <c r="D321" s="199"/>
      <c r="E321" s="199"/>
      <c r="F321" s="199"/>
      <c r="G321" s="199"/>
      <c r="H321" s="199"/>
      <c r="I321" s="136"/>
      <c r="J321" s="199"/>
      <c r="K321" s="199"/>
      <c r="L321" s="199"/>
      <c r="M321" s="199"/>
      <c r="N321" s="136"/>
      <c r="O321" s="199"/>
      <c r="P321" s="199"/>
      <c r="Q321" s="199"/>
      <c r="R321" s="199"/>
      <c r="S321" s="136"/>
      <c r="T321" s="199"/>
      <c r="U321" s="199"/>
      <c r="V321" s="199"/>
      <c r="W321" s="199"/>
      <c r="X321" s="136"/>
      <c r="Y321" s="199"/>
      <c r="Z321" s="199"/>
      <c r="AA321" s="199"/>
      <c r="AB321" s="199"/>
      <c r="AC321" s="136"/>
      <c r="AD321" s="199"/>
      <c r="AE321" s="199"/>
      <c r="AF321" s="199"/>
      <c r="AG321" s="199"/>
      <c r="AH321" s="136"/>
      <c r="AI321" s="199"/>
      <c r="AJ321" s="199"/>
      <c r="AK321" s="199"/>
      <c r="AL321" s="199"/>
      <c r="AM321" s="136"/>
      <c r="AN321" s="199"/>
      <c r="AO321" s="199"/>
      <c r="AP321" s="199"/>
      <c r="AQ321" s="199"/>
      <c r="AR321" s="136"/>
      <c r="AS321" s="199"/>
      <c r="AT321" s="199"/>
      <c r="AU321" s="199"/>
      <c r="AV321" s="199"/>
      <c r="AW321" s="136"/>
      <c r="AX321" s="199"/>
      <c r="AY321" s="199"/>
      <c r="AZ321" s="199"/>
      <c r="BA321" s="199"/>
      <c r="BB321" s="136"/>
      <c r="BC321" s="199"/>
      <c r="BD321" s="199"/>
      <c r="BE321" s="199"/>
      <c r="BF321" s="199"/>
      <c r="BG321" s="136"/>
      <c r="BH321" s="199"/>
      <c r="BI321" s="199"/>
      <c r="BJ321" s="199"/>
    </row>
    <row r="322" spans="1:62" x14ac:dyDescent="0.25">
      <c r="A322" s="199"/>
      <c r="B322" s="136"/>
      <c r="C322" s="199"/>
      <c r="D322" s="199"/>
      <c r="E322" s="199"/>
      <c r="F322" s="199"/>
      <c r="G322" s="199"/>
      <c r="H322" s="199"/>
      <c r="I322" s="136"/>
      <c r="J322" s="199"/>
      <c r="K322" s="199"/>
      <c r="L322" s="199"/>
      <c r="M322" s="199"/>
      <c r="N322" s="136"/>
      <c r="O322" s="199"/>
      <c r="P322" s="199"/>
      <c r="Q322" s="199"/>
      <c r="R322" s="199"/>
      <c r="S322" s="136"/>
      <c r="T322" s="199"/>
      <c r="U322" s="199"/>
      <c r="V322" s="199"/>
      <c r="W322" s="199"/>
      <c r="X322" s="136"/>
      <c r="Y322" s="199"/>
      <c r="Z322" s="199"/>
      <c r="AA322" s="199"/>
      <c r="AB322" s="199"/>
      <c r="AC322" s="136"/>
      <c r="AD322" s="199"/>
      <c r="AE322" s="199"/>
      <c r="AF322" s="199"/>
      <c r="AG322" s="199"/>
      <c r="AH322" s="136"/>
      <c r="AI322" s="199"/>
      <c r="AJ322" s="199"/>
      <c r="AK322" s="199"/>
      <c r="AL322" s="199"/>
      <c r="AM322" s="136"/>
      <c r="AN322" s="199"/>
      <c r="AO322" s="199"/>
      <c r="AP322" s="199"/>
      <c r="AQ322" s="199"/>
      <c r="AR322" s="136"/>
      <c r="AS322" s="199"/>
      <c r="AT322" s="199"/>
      <c r="AU322" s="199"/>
      <c r="AV322" s="199"/>
      <c r="AW322" s="136"/>
      <c r="AX322" s="199"/>
      <c r="AY322" s="199"/>
      <c r="AZ322" s="199"/>
      <c r="BA322" s="199"/>
      <c r="BB322" s="136"/>
      <c r="BC322" s="199"/>
      <c r="BD322" s="199"/>
      <c r="BE322" s="199"/>
      <c r="BF322" s="199"/>
      <c r="BG322" s="136"/>
      <c r="BH322" s="199"/>
      <c r="BI322" s="199"/>
      <c r="BJ322" s="199"/>
    </row>
    <row r="323" spans="1:62" x14ac:dyDescent="0.25">
      <c r="A323" s="199"/>
      <c r="B323" s="136"/>
      <c r="C323" s="199"/>
      <c r="D323" s="199"/>
      <c r="E323" s="199"/>
      <c r="F323" s="199"/>
      <c r="G323" s="199"/>
      <c r="H323" s="199"/>
      <c r="I323" s="136"/>
      <c r="J323" s="199"/>
      <c r="K323" s="199"/>
      <c r="L323" s="199"/>
      <c r="M323" s="199"/>
      <c r="N323" s="136"/>
      <c r="O323" s="199"/>
      <c r="P323" s="199"/>
      <c r="Q323" s="199"/>
      <c r="R323" s="199"/>
      <c r="S323" s="136"/>
      <c r="T323" s="199"/>
      <c r="U323" s="199"/>
      <c r="V323" s="199"/>
      <c r="W323" s="199"/>
      <c r="X323" s="136"/>
      <c r="Y323" s="199"/>
      <c r="Z323" s="199"/>
      <c r="AA323" s="199"/>
      <c r="AB323" s="199"/>
      <c r="AC323" s="136"/>
      <c r="AD323" s="199"/>
      <c r="AE323" s="199"/>
      <c r="AF323" s="199"/>
      <c r="AG323" s="199"/>
      <c r="AH323" s="136"/>
      <c r="AI323" s="199"/>
      <c r="AJ323" s="199"/>
      <c r="AK323" s="199"/>
      <c r="AL323" s="199"/>
      <c r="AM323" s="136"/>
      <c r="AN323" s="199"/>
      <c r="AO323" s="199"/>
      <c r="AP323" s="199"/>
      <c r="AQ323" s="199"/>
      <c r="AR323" s="136"/>
      <c r="AS323" s="199"/>
      <c r="AT323" s="199"/>
      <c r="AU323" s="199"/>
      <c r="AV323" s="199"/>
      <c r="AW323" s="136"/>
      <c r="AX323" s="199"/>
      <c r="AY323" s="199"/>
      <c r="AZ323" s="199"/>
      <c r="BA323" s="199"/>
      <c r="BB323" s="136"/>
      <c r="BC323" s="199"/>
      <c r="BD323" s="199"/>
      <c r="BE323" s="199"/>
      <c r="BF323" s="199"/>
      <c r="BG323" s="136"/>
      <c r="BH323" s="199"/>
      <c r="BI323" s="199"/>
      <c r="BJ323" s="199"/>
    </row>
    <row r="324" spans="1:62" x14ac:dyDescent="0.25">
      <c r="A324" s="199"/>
      <c r="B324" s="136"/>
      <c r="C324" s="199"/>
      <c r="D324" s="199"/>
      <c r="E324" s="199"/>
      <c r="F324" s="199"/>
      <c r="G324" s="199"/>
      <c r="H324" s="199"/>
      <c r="I324" s="136"/>
      <c r="J324" s="199"/>
      <c r="K324" s="199"/>
      <c r="L324" s="199"/>
      <c r="M324" s="199"/>
      <c r="N324" s="136"/>
      <c r="O324" s="199"/>
      <c r="P324" s="199"/>
      <c r="Q324" s="199"/>
      <c r="R324" s="199"/>
      <c r="S324" s="136"/>
      <c r="T324" s="199"/>
      <c r="U324" s="199"/>
      <c r="V324" s="199"/>
      <c r="W324" s="199"/>
      <c r="X324" s="136"/>
      <c r="Y324" s="199"/>
      <c r="Z324" s="199"/>
      <c r="AA324" s="199"/>
      <c r="AB324" s="199"/>
      <c r="AC324" s="136"/>
      <c r="AD324" s="199"/>
      <c r="AE324" s="199"/>
      <c r="AF324" s="199"/>
      <c r="AG324" s="199"/>
      <c r="AH324" s="136"/>
      <c r="AI324" s="199"/>
      <c r="AJ324" s="199"/>
      <c r="AK324" s="199"/>
      <c r="AL324" s="199"/>
      <c r="AM324" s="136"/>
      <c r="AN324" s="199"/>
      <c r="AO324" s="199"/>
      <c r="AP324" s="199"/>
      <c r="AQ324" s="199"/>
      <c r="AR324" s="136"/>
      <c r="AS324" s="199"/>
      <c r="AT324" s="199"/>
      <c r="AU324" s="199"/>
      <c r="AV324" s="199"/>
      <c r="AW324" s="136"/>
      <c r="AX324" s="199"/>
      <c r="AY324" s="199"/>
      <c r="AZ324" s="199"/>
      <c r="BA324" s="199"/>
      <c r="BB324" s="136"/>
      <c r="BC324" s="199"/>
      <c r="BD324" s="199"/>
      <c r="BE324" s="199"/>
      <c r="BF324" s="199"/>
      <c r="BG324" s="136"/>
      <c r="BH324" s="199"/>
      <c r="BI324" s="199"/>
      <c r="BJ324" s="199"/>
    </row>
    <row r="325" spans="1:62" x14ac:dyDescent="0.25">
      <c r="A325" s="199"/>
      <c r="B325" s="136"/>
      <c r="C325" s="199"/>
      <c r="D325" s="199"/>
      <c r="E325" s="199"/>
      <c r="F325" s="199"/>
      <c r="G325" s="199"/>
      <c r="H325" s="199"/>
      <c r="I325" s="136"/>
      <c r="J325" s="199"/>
      <c r="K325" s="199"/>
      <c r="L325" s="199"/>
      <c r="M325" s="199"/>
      <c r="N325" s="136"/>
      <c r="O325" s="199"/>
      <c r="P325" s="199"/>
      <c r="Q325" s="199"/>
      <c r="R325" s="199"/>
      <c r="S325" s="136"/>
      <c r="T325" s="199"/>
      <c r="U325" s="199"/>
      <c r="V325" s="199"/>
      <c r="W325" s="199"/>
      <c r="X325" s="136"/>
      <c r="Y325" s="199"/>
      <c r="Z325" s="199"/>
      <c r="AA325" s="199"/>
      <c r="AB325" s="199"/>
      <c r="AC325" s="136"/>
      <c r="AD325" s="199"/>
      <c r="AE325" s="199"/>
      <c r="AF325" s="199"/>
      <c r="AG325" s="199"/>
      <c r="AH325" s="136"/>
      <c r="AI325" s="199"/>
      <c r="AJ325" s="199"/>
      <c r="AK325" s="199"/>
      <c r="AL325" s="199"/>
      <c r="AM325" s="136"/>
      <c r="AN325" s="199"/>
      <c r="AO325" s="199"/>
      <c r="AP325" s="199"/>
      <c r="AQ325" s="199"/>
      <c r="AR325" s="136"/>
      <c r="AS325" s="199"/>
      <c r="AT325" s="199"/>
      <c r="AU325" s="199"/>
      <c r="AV325" s="199"/>
      <c r="AW325" s="136"/>
      <c r="AX325" s="199"/>
      <c r="AY325" s="199"/>
      <c r="AZ325" s="199"/>
      <c r="BA325" s="199"/>
      <c r="BB325" s="136"/>
      <c r="BC325" s="199"/>
      <c r="BD325" s="199"/>
      <c r="BE325" s="199"/>
      <c r="BF325" s="199"/>
      <c r="BG325" s="136"/>
      <c r="BH325" s="199"/>
      <c r="BI325" s="199"/>
      <c r="BJ325" s="199"/>
    </row>
    <row r="326" spans="1:62" x14ac:dyDescent="0.25">
      <c r="A326" s="199"/>
      <c r="B326" s="136"/>
      <c r="C326" s="199"/>
      <c r="D326" s="199"/>
      <c r="E326" s="199"/>
      <c r="F326" s="199"/>
      <c r="G326" s="199"/>
      <c r="H326" s="199"/>
      <c r="I326" s="136"/>
      <c r="J326" s="199"/>
      <c r="K326" s="199"/>
      <c r="L326" s="199"/>
      <c r="M326" s="199"/>
      <c r="N326" s="136"/>
      <c r="O326" s="199"/>
      <c r="P326" s="199"/>
      <c r="Q326" s="199"/>
      <c r="R326" s="199"/>
      <c r="S326" s="136"/>
      <c r="T326" s="199"/>
      <c r="U326" s="199"/>
      <c r="V326" s="199"/>
      <c r="W326" s="199"/>
      <c r="X326" s="136"/>
      <c r="Y326" s="199"/>
      <c r="Z326" s="199"/>
      <c r="AA326" s="199"/>
      <c r="AB326" s="199"/>
      <c r="AC326" s="136"/>
      <c r="AD326" s="199"/>
      <c r="AE326" s="199"/>
      <c r="AF326" s="199"/>
      <c r="AG326" s="199"/>
      <c r="AH326" s="136"/>
      <c r="AI326" s="199"/>
      <c r="AJ326" s="199"/>
      <c r="AK326" s="199"/>
      <c r="AL326" s="199"/>
      <c r="AM326" s="136"/>
      <c r="AN326" s="199"/>
      <c r="AO326" s="199"/>
      <c r="AP326" s="199"/>
      <c r="AQ326" s="199"/>
      <c r="AR326" s="136"/>
      <c r="AS326" s="199"/>
      <c r="AT326" s="199"/>
      <c r="AU326" s="199"/>
      <c r="AV326" s="199"/>
      <c r="AW326" s="136"/>
      <c r="AX326" s="199"/>
      <c r="AY326" s="199"/>
      <c r="AZ326" s="199"/>
      <c r="BA326" s="199"/>
      <c r="BB326" s="136"/>
      <c r="BC326" s="199"/>
      <c r="BD326" s="199"/>
      <c r="BE326" s="199"/>
      <c r="BF326" s="199"/>
      <c r="BG326" s="136"/>
      <c r="BH326" s="199"/>
      <c r="BI326" s="199"/>
      <c r="BJ326" s="199"/>
    </row>
    <row r="327" spans="1:62" x14ac:dyDescent="0.25">
      <c r="A327" s="199"/>
      <c r="B327" s="136"/>
      <c r="C327" s="199"/>
      <c r="D327" s="199"/>
      <c r="E327" s="199"/>
      <c r="F327" s="199"/>
      <c r="G327" s="199"/>
      <c r="H327" s="199"/>
      <c r="I327" s="136"/>
      <c r="J327" s="199"/>
      <c r="K327" s="199"/>
      <c r="L327" s="199"/>
      <c r="M327" s="199"/>
      <c r="N327" s="136"/>
      <c r="O327" s="199"/>
      <c r="P327" s="199"/>
      <c r="Q327" s="199"/>
      <c r="R327" s="199"/>
      <c r="S327" s="136"/>
      <c r="T327" s="199"/>
      <c r="U327" s="199"/>
      <c r="V327" s="199"/>
      <c r="W327" s="199"/>
      <c r="X327" s="136"/>
      <c r="Y327" s="199"/>
      <c r="Z327" s="199"/>
      <c r="AA327" s="199"/>
      <c r="AB327" s="199"/>
      <c r="AC327" s="136"/>
      <c r="AD327" s="199"/>
      <c r="AE327" s="199"/>
      <c r="AF327" s="199"/>
      <c r="AG327" s="199"/>
      <c r="AH327" s="136"/>
      <c r="AI327" s="199"/>
      <c r="AJ327" s="199"/>
      <c r="AK327" s="199"/>
      <c r="AL327" s="199"/>
      <c r="AM327" s="136"/>
      <c r="AN327" s="199"/>
      <c r="AO327" s="199"/>
      <c r="AP327" s="199"/>
      <c r="AQ327" s="199"/>
      <c r="AR327" s="136"/>
      <c r="AS327" s="199"/>
      <c r="AT327" s="199"/>
      <c r="AU327" s="199"/>
      <c r="AV327" s="199"/>
      <c r="AW327" s="136"/>
      <c r="AX327" s="199"/>
      <c r="AY327" s="199"/>
      <c r="AZ327" s="199"/>
      <c r="BA327" s="199"/>
      <c r="BB327" s="136"/>
      <c r="BC327" s="199"/>
      <c r="BD327" s="199"/>
      <c r="BE327" s="199"/>
      <c r="BF327" s="199"/>
      <c r="BG327" s="136"/>
      <c r="BH327" s="199"/>
      <c r="BI327" s="199"/>
      <c r="BJ327" s="199"/>
    </row>
    <row r="328" spans="1:62" x14ac:dyDescent="0.25">
      <c r="A328" s="199"/>
      <c r="B328" s="136"/>
      <c r="C328" s="199"/>
      <c r="D328" s="199"/>
      <c r="E328" s="199"/>
      <c r="F328" s="199"/>
      <c r="G328" s="199"/>
      <c r="H328" s="199"/>
      <c r="I328" s="136"/>
      <c r="J328" s="199"/>
      <c r="K328" s="199"/>
      <c r="L328" s="199"/>
      <c r="M328" s="199"/>
      <c r="N328" s="136"/>
      <c r="O328" s="199"/>
      <c r="P328" s="199"/>
      <c r="Q328" s="199"/>
      <c r="R328" s="199"/>
      <c r="S328" s="136"/>
      <c r="T328" s="199"/>
      <c r="U328" s="199"/>
      <c r="V328" s="199"/>
      <c r="W328" s="199"/>
      <c r="X328" s="136"/>
      <c r="Y328" s="199"/>
      <c r="Z328" s="199"/>
      <c r="AA328" s="199"/>
      <c r="AB328" s="199"/>
      <c r="AC328" s="136"/>
      <c r="AD328" s="199"/>
      <c r="AE328" s="199"/>
      <c r="AF328" s="199"/>
      <c r="AG328" s="199"/>
      <c r="AH328" s="136"/>
      <c r="AI328" s="199"/>
      <c r="AJ328" s="199"/>
      <c r="AK328" s="199"/>
      <c r="AL328" s="199"/>
      <c r="AM328" s="136"/>
      <c r="AN328" s="199"/>
      <c r="AO328" s="199"/>
      <c r="AP328" s="199"/>
      <c r="AQ328" s="199"/>
      <c r="AR328" s="136"/>
      <c r="AS328" s="199"/>
      <c r="AT328" s="199"/>
      <c r="AU328" s="199"/>
      <c r="AV328" s="199"/>
      <c r="AW328" s="136"/>
      <c r="AX328" s="199"/>
      <c r="AY328" s="199"/>
      <c r="AZ328" s="199"/>
      <c r="BA328" s="199"/>
      <c r="BB328" s="136"/>
      <c r="BC328" s="199"/>
      <c r="BD328" s="199"/>
      <c r="BE328" s="199"/>
      <c r="BF328" s="199"/>
      <c r="BG328" s="136"/>
      <c r="BH328" s="199"/>
      <c r="BI328" s="199"/>
      <c r="BJ328" s="199"/>
    </row>
    <row r="332" spans="1:62" ht="36" x14ac:dyDescent="0.25">
      <c r="A332" s="169"/>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row>
    <row r="333" spans="1:62" x14ac:dyDescent="0.25">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row>
    <row r="334" spans="1:62" x14ac:dyDescent="0.25">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row>
    <row r="335" spans="1:62" ht="36" x14ac:dyDescent="0.25">
      <c r="A335" s="169"/>
      <c r="B335" s="169"/>
      <c r="C335" s="169"/>
      <c r="D335" s="169"/>
      <c r="E335" s="169"/>
      <c r="F335" s="169"/>
      <c r="G335" s="169"/>
      <c r="H335" s="169"/>
      <c r="I335" s="169"/>
      <c r="J335" s="169"/>
      <c r="K335" s="169"/>
      <c r="L335" s="169"/>
      <c r="M335" s="169"/>
      <c r="N335" s="169"/>
      <c r="O335" s="169"/>
      <c r="P335" s="169"/>
      <c r="Q335" s="169"/>
      <c r="R335" s="169"/>
      <c r="S335" s="169"/>
      <c r="T335" s="169"/>
      <c r="U335" s="169"/>
      <c r="V335" s="169"/>
      <c r="W335" s="169"/>
      <c r="X335" s="169"/>
      <c r="Y335" s="169"/>
      <c r="Z335" s="169"/>
      <c r="AA335" s="169"/>
      <c r="AB335" s="169"/>
      <c r="AC335" s="169"/>
      <c r="AD335" s="169"/>
      <c r="AE335" s="169"/>
      <c r="AF335" s="169"/>
      <c r="AG335" s="169"/>
      <c r="AH335" s="169"/>
      <c r="AI335" s="169"/>
      <c r="AJ335" s="169"/>
      <c r="AK335" s="169"/>
      <c r="AL335" s="169"/>
      <c r="AM335" s="169"/>
      <c r="AN335" s="169"/>
      <c r="AO335" s="169"/>
      <c r="AP335" s="169"/>
      <c r="AQ335" s="169"/>
      <c r="AR335" s="169"/>
      <c r="AS335" s="169"/>
      <c r="AT335" s="169"/>
      <c r="AU335" s="169"/>
      <c r="AV335" s="169"/>
      <c r="AW335" s="169"/>
      <c r="AX335" s="169"/>
      <c r="AY335" s="169"/>
      <c r="AZ335" s="169"/>
      <c r="BA335" s="169"/>
      <c r="BB335" s="169"/>
      <c r="BC335" s="169"/>
      <c r="BD335" s="169"/>
      <c r="BE335" s="169"/>
      <c r="BF335" s="169"/>
      <c r="BG335" s="169"/>
      <c r="BH335" s="169"/>
      <c r="BI335" s="169"/>
      <c r="BJ335" s="169"/>
    </row>
    <row r="336" spans="1:62" ht="36" x14ac:dyDescent="0.25">
      <c r="A336" s="169"/>
      <c r="B336" s="169"/>
      <c r="C336" s="169"/>
      <c r="D336" s="169"/>
      <c r="E336" s="169"/>
      <c r="F336" s="169"/>
      <c r="G336" s="169"/>
      <c r="H336" s="169"/>
      <c r="I336" s="169"/>
      <c r="J336" s="169"/>
      <c r="K336" s="169"/>
      <c r="L336" s="169"/>
      <c r="M336" s="169"/>
      <c r="N336" s="169"/>
      <c r="O336" s="169"/>
      <c r="P336" s="169"/>
      <c r="Q336" s="169"/>
      <c r="R336" s="169"/>
      <c r="S336" s="169"/>
      <c r="T336" s="169"/>
      <c r="U336" s="169"/>
      <c r="V336" s="169"/>
      <c r="W336" s="169"/>
      <c r="X336" s="169"/>
      <c r="Y336" s="169"/>
      <c r="Z336" s="169"/>
      <c r="AA336" s="169"/>
      <c r="AB336" s="169"/>
      <c r="AC336" s="169"/>
      <c r="AD336" s="169"/>
      <c r="AE336" s="169"/>
      <c r="AF336" s="169"/>
      <c r="AG336" s="169"/>
      <c r="AH336" s="169"/>
      <c r="AI336" s="169"/>
      <c r="AJ336" s="169"/>
      <c r="AK336" s="169"/>
      <c r="AL336" s="169"/>
      <c r="AM336" s="169"/>
      <c r="AN336" s="169"/>
      <c r="AO336" s="169"/>
      <c r="AP336" s="169"/>
      <c r="AQ336" s="169"/>
      <c r="AR336" s="169"/>
      <c r="AS336" s="169"/>
      <c r="AT336" s="169"/>
      <c r="AU336" s="169"/>
      <c r="AV336" s="169"/>
      <c r="AW336" s="169"/>
      <c r="AX336" s="169"/>
      <c r="AY336" s="169"/>
      <c r="AZ336" s="169"/>
      <c r="BA336" s="169"/>
      <c r="BB336" s="169"/>
      <c r="BC336" s="169"/>
      <c r="BD336" s="169"/>
      <c r="BE336" s="169"/>
      <c r="BF336" s="169"/>
      <c r="BG336" s="169"/>
      <c r="BH336" s="169"/>
      <c r="BI336" s="169"/>
      <c r="BJ336" s="169"/>
    </row>
    <row r="337" spans="1:62" ht="36" x14ac:dyDescent="0.25">
      <c r="A337" s="169"/>
      <c r="B337" s="169"/>
      <c r="C337" s="169"/>
      <c r="D337" s="169"/>
      <c r="E337" s="169"/>
      <c r="F337" s="169"/>
      <c r="G337" s="169"/>
      <c r="H337" s="169"/>
      <c r="I337" s="169"/>
      <c r="J337" s="169"/>
      <c r="K337" s="169"/>
      <c r="L337" s="169"/>
      <c r="M337" s="169"/>
      <c r="N337" s="169"/>
      <c r="O337" s="169"/>
      <c r="P337" s="169"/>
      <c r="Q337" s="169"/>
      <c r="R337" s="169"/>
      <c r="S337" s="169"/>
      <c r="T337" s="169"/>
      <c r="U337" s="169"/>
      <c r="V337" s="169"/>
      <c r="W337" s="169"/>
      <c r="X337" s="169"/>
      <c r="Y337" s="169"/>
      <c r="Z337" s="169"/>
      <c r="AA337" s="169"/>
      <c r="AB337" s="169"/>
      <c r="AC337" s="169"/>
      <c r="AD337" s="169"/>
      <c r="AE337" s="169"/>
      <c r="AF337" s="169"/>
      <c r="AG337" s="169"/>
      <c r="AH337" s="169"/>
      <c r="AI337" s="169"/>
      <c r="AJ337" s="169"/>
      <c r="AK337" s="169"/>
      <c r="AL337" s="169"/>
      <c r="AM337" s="169"/>
      <c r="AN337" s="169"/>
      <c r="AO337" s="169"/>
      <c r="AP337" s="169"/>
      <c r="AQ337" s="169"/>
      <c r="AR337" s="169"/>
      <c r="AS337" s="169"/>
      <c r="AT337" s="169"/>
      <c r="AU337" s="169"/>
      <c r="AV337" s="169"/>
      <c r="AW337" s="169"/>
      <c r="AX337" s="169"/>
      <c r="AY337" s="169"/>
      <c r="AZ337" s="169"/>
      <c r="BA337" s="169"/>
      <c r="BB337" s="169"/>
      <c r="BC337" s="169"/>
      <c r="BD337" s="169"/>
      <c r="BE337" s="169"/>
      <c r="BF337" s="169"/>
      <c r="BG337" s="169"/>
      <c r="BH337" s="169"/>
      <c r="BI337" s="169"/>
      <c r="BJ337" s="169"/>
    </row>
    <row r="338" spans="1:62" x14ac:dyDescent="0.25">
      <c r="F338" s="194"/>
      <c r="G338" s="194"/>
    </row>
    <row r="340" spans="1:62" x14ac:dyDescent="0.25">
      <c r="A340" s="199"/>
      <c r="B340" s="136"/>
      <c r="C340" s="199"/>
      <c r="D340" s="199"/>
      <c r="E340" s="199"/>
      <c r="F340" s="199"/>
      <c r="G340" s="199"/>
      <c r="H340" s="199"/>
      <c r="I340" s="136"/>
      <c r="J340" s="199"/>
      <c r="K340" s="199"/>
      <c r="L340" s="199"/>
      <c r="M340" s="199"/>
      <c r="N340" s="136"/>
      <c r="O340" s="199"/>
      <c r="P340" s="199"/>
      <c r="Q340" s="199"/>
      <c r="R340" s="199"/>
      <c r="S340" s="136"/>
      <c r="T340" s="199"/>
      <c r="U340" s="199"/>
      <c r="V340" s="199"/>
      <c r="W340" s="199"/>
      <c r="X340" s="136"/>
      <c r="Y340" s="199"/>
      <c r="Z340" s="199"/>
      <c r="AA340" s="199"/>
      <c r="AB340" s="199"/>
      <c r="AC340" s="136"/>
      <c r="AD340" s="199"/>
      <c r="AE340" s="199"/>
      <c r="AF340" s="199"/>
      <c r="AG340" s="199"/>
      <c r="AH340" s="136"/>
      <c r="AI340" s="199"/>
      <c r="AJ340" s="199"/>
      <c r="AK340" s="199"/>
      <c r="AL340" s="199"/>
      <c r="AM340" s="136"/>
      <c r="AN340" s="199"/>
      <c r="AO340" s="199"/>
      <c r="AP340" s="199"/>
      <c r="AQ340" s="199"/>
      <c r="AR340" s="136"/>
      <c r="AS340" s="199"/>
      <c r="AT340" s="199"/>
      <c r="AU340" s="199"/>
      <c r="AV340" s="199"/>
      <c r="AW340" s="136"/>
      <c r="AX340" s="199"/>
      <c r="AY340" s="199"/>
      <c r="AZ340" s="199"/>
      <c r="BA340" s="199"/>
      <c r="BB340" s="136"/>
      <c r="BC340" s="199"/>
      <c r="BD340" s="199"/>
      <c r="BE340" s="199"/>
      <c r="BF340" s="199"/>
      <c r="BG340" s="136"/>
      <c r="BH340" s="199"/>
      <c r="BI340" s="199"/>
      <c r="BJ340" s="199"/>
    </row>
    <row r="341" spans="1:62" x14ac:dyDescent="0.25">
      <c r="A341" s="199"/>
      <c r="B341" s="136"/>
      <c r="C341" s="199"/>
      <c r="D341" s="199"/>
      <c r="E341" s="199"/>
      <c r="F341" s="199"/>
      <c r="G341" s="199"/>
      <c r="H341" s="199"/>
      <c r="I341" s="136"/>
      <c r="J341" s="199"/>
      <c r="K341" s="199"/>
      <c r="L341" s="199"/>
      <c r="M341" s="199"/>
      <c r="N341" s="136"/>
      <c r="O341" s="199"/>
      <c r="P341" s="199"/>
      <c r="Q341" s="199"/>
      <c r="R341" s="199"/>
      <c r="S341" s="136"/>
      <c r="T341" s="199"/>
      <c r="U341" s="199"/>
      <c r="V341" s="199"/>
      <c r="W341" s="199"/>
      <c r="X341" s="136"/>
      <c r="Y341" s="199"/>
      <c r="Z341" s="199"/>
      <c r="AA341" s="199"/>
      <c r="AB341" s="199"/>
      <c r="AC341" s="136"/>
      <c r="AD341" s="199"/>
      <c r="AE341" s="199"/>
      <c r="AF341" s="199"/>
      <c r="AG341" s="199"/>
      <c r="AH341" s="136"/>
      <c r="AI341" s="199"/>
      <c r="AJ341" s="199"/>
      <c r="AK341" s="199"/>
      <c r="AL341" s="199"/>
      <c r="AM341" s="136"/>
      <c r="AN341" s="199"/>
      <c r="AO341" s="199"/>
      <c r="AP341" s="199"/>
      <c r="AQ341" s="199"/>
      <c r="AR341" s="136"/>
      <c r="AS341" s="199"/>
      <c r="AT341" s="199"/>
      <c r="AU341" s="199"/>
      <c r="AV341" s="199"/>
      <c r="AW341" s="136"/>
      <c r="AX341" s="199"/>
      <c r="AY341" s="199"/>
      <c r="AZ341" s="199"/>
      <c r="BA341" s="199"/>
      <c r="BB341" s="136"/>
      <c r="BC341" s="199"/>
      <c r="BD341" s="199"/>
      <c r="BE341" s="199"/>
      <c r="BF341" s="199"/>
      <c r="BG341" s="136"/>
      <c r="BH341" s="199"/>
      <c r="BI341" s="199"/>
      <c r="BJ341" s="199"/>
    </row>
    <row r="342" spans="1:62" x14ac:dyDescent="0.25">
      <c r="A342" s="199"/>
      <c r="B342" s="136"/>
      <c r="C342" s="199"/>
      <c r="D342" s="199"/>
      <c r="E342" s="199"/>
      <c r="F342" s="199"/>
      <c r="G342" s="199"/>
      <c r="H342" s="199"/>
      <c r="I342" s="136"/>
      <c r="J342" s="199"/>
      <c r="K342" s="199"/>
      <c r="L342" s="199"/>
      <c r="M342" s="199"/>
      <c r="N342" s="136"/>
      <c r="O342" s="199"/>
      <c r="P342" s="199"/>
      <c r="Q342" s="199"/>
      <c r="R342" s="199"/>
      <c r="S342" s="136"/>
      <c r="T342" s="199"/>
      <c r="U342" s="199"/>
      <c r="V342" s="199"/>
      <c r="W342" s="199"/>
      <c r="X342" s="136"/>
      <c r="Y342" s="199"/>
      <c r="Z342" s="199"/>
      <c r="AA342" s="199"/>
      <c r="AB342" s="199"/>
      <c r="AC342" s="136"/>
      <c r="AD342" s="199"/>
      <c r="AE342" s="199"/>
      <c r="AF342" s="199"/>
      <c r="AG342" s="199"/>
      <c r="AH342" s="136"/>
      <c r="AI342" s="199"/>
      <c r="AJ342" s="199"/>
      <c r="AK342" s="199"/>
      <c r="AL342" s="199"/>
      <c r="AM342" s="136"/>
      <c r="AN342" s="199"/>
      <c r="AO342" s="199"/>
      <c r="AP342" s="199"/>
      <c r="AQ342" s="199"/>
      <c r="AR342" s="136"/>
      <c r="AS342" s="199"/>
      <c r="AT342" s="199"/>
      <c r="AU342" s="199"/>
      <c r="AV342" s="199"/>
      <c r="AW342" s="136"/>
      <c r="AX342" s="199"/>
      <c r="AY342" s="199"/>
      <c r="AZ342" s="199"/>
      <c r="BA342" s="199"/>
      <c r="BB342" s="136"/>
      <c r="BC342" s="199"/>
      <c r="BD342" s="199"/>
      <c r="BE342" s="199"/>
      <c r="BF342" s="199"/>
      <c r="BG342" s="136"/>
      <c r="BH342" s="199"/>
      <c r="BI342" s="199"/>
      <c r="BJ342" s="199"/>
    </row>
    <row r="343" spans="1:62" x14ac:dyDescent="0.25">
      <c r="A343" s="199"/>
      <c r="B343" s="136"/>
      <c r="C343" s="199"/>
      <c r="D343" s="199"/>
      <c r="E343" s="199"/>
      <c r="F343" s="199"/>
      <c r="G343" s="199"/>
      <c r="H343" s="199"/>
      <c r="I343" s="136"/>
      <c r="J343" s="199"/>
      <c r="K343" s="199"/>
      <c r="L343" s="199"/>
      <c r="M343" s="199"/>
      <c r="N343" s="136"/>
      <c r="O343" s="199"/>
      <c r="P343" s="199"/>
      <c r="Q343" s="199"/>
      <c r="R343" s="199"/>
      <c r="S343" s="136"/>
      <c r="T343" s="199"/>
      <c r="U343" s="199"/>
      <c r="V343" s="199"/>
      <c r="W343" s="199"/>
      <c r="X343" s="136"/>
      <c r="Y343" s="199"/>
      <c r="Z343" s="199"/>
      <c r="AA343" s="199"/>
      <c r="AB343" s="199"/>
      <c r="AC343" s="136"/>
      <c r="AD343" s="199"/>
      <c r="AE343" s="199"/>
      <c r="AF343" s="199"/>
      <c r="AG343" s="199"/>
      <c r="AH343" s="136"/>
      <c r="AI343" s="199"/>
      <c r="AJ343" s="199"/>
      <c r="AK343" s="199"/>
      <c r="AL343" s="199"/>
      <c r="AM343" s="136"/>
      <c r="AN343" s="199"/>
      <c r="AO343" s="199"/>
      <c r="AP343" s="199"/>
      <c r="AQ343" s="199"/>
      <c r="AR343" s="136"/>
      <c r="AS343" s="199"/>
      <c r="AT343" s="199"/>
      <c r="AU343" s="199"/>
      <c r="AV343" s="199"/>
      <c r="AW343" s="136"/>
      <c r="AX343" s="199"/>
      <c r="AY343" s="199"/>
      <c r="AZ343" s="199"/>
      <c r="BA343" s="199"/>
      <c r="BB343" s="136"/>
      <c r="BC343" s="199"/>
      <c r="BD343" s="199"/>
      <c r="BE343" s="199"/>
      <c r="BF343" s="199"/>
      <c r="BG343" s="136"/>
      <c r="BH343" s="199"/>
      <c r="BI343" s="199"/>
      <c r="BJ343" s="199"/>
    </row>
    <row r="344" spans="1:62" x14ac:dyDescent="0.25">
      <c r="A344" s="199"/>
      <c r="B344" s="136"/>
      <c r="C344" s="199"/>
      <c r="D344" s="199"/>
      <c r="E344" s="199"/>
      <c r="F344" s="199"/>
      <c r="G344" s="199"/>
      <c r="H344" s="199"/>
      <c r="I344" s="136"/>
      <c r="J344" s="199"/>
      <c r="K344" s="199"/>
      <c r="L344" s="199"/>
      <c r="M344" s="199"/>
      <c r="N344" s="136"/>
      <c r="O344" s="199"/>
      <c r="P344" s="199"/>
      <c r="Q344" s="199"/>
      <c r="R344" s="199"/>
      <c r="S344" s="136"/>
      <c r="T344" s="199"/>
      <c r="U344" s="199"/>
      <c r="V344" s="199"/>
      <c r="W344" s="199"/>
      <c r="X344" s="136"/>
      <c r="Y344" s="199"/>
      <c r="Z344" s="199"/>
      <c r="AA344" s="199"/>
      <c r="AB344" s="199"/>
      <c r="AC344" s="136"/>
      <c r="AD344" s="199"/>
      <c r="AE344" s="199"/>
      <c r="AF344" s="199"/>
      <c r="AG344" s="199"/>
      <c r="AH344" s="136"/>
      <c r="AI344" s="199"/>
      <c r="AJ344" s="199"/>
      <c r="AK344" s="199"/>
      <c r="AL344" s="199"/>
      <c r="AM344" s="136"/>
      <c r="AN344" s="199"/>
      <c r="AO344" s="199"/>
      <c r="AP344" s="199"/>
      <c r="AQ344" s="199"/>
      <c r="AR344" s="136"/>
      <c r="AS344" s="199"/>
      <c r="AT344" s="199"/>
      <c r="AU344" s="199"/>
      <c r="AV344" s="199"/>
      <c r="AW344" s="136"/>
      <c r="AX344" s="199"/>
      <c r="AY344" s="199"/>
      <c r="AZ344" s="199"/>
      <c r="BA344" s="199"/>
      <c r="BB344" s="136"/>
      <c r="BC344" s="199"/>
      <c r="BD344" s="199"/>
      <c r="BE344" s="199"/>
      <c r="BF344" s="199"/>
      <c r="BG344" s="136"/>
      <c r="BH344" s="199"/>
      <c r="BI344" s="199"/>
      <c r="BJ344" s="199"/>
    </row>
    <row r="345" spans="1:62" x14ac:dyDescent="0.25">
      <c r="A345" s="199"/>
      <c r="B345" s="136"/>
      <c r="C345" s="199"/>
      <c r="D345" s="199"/>
      <c r="E345" s="199"/>
      <c r="F345" s="199"/>
      <c r="G345" s="199"/>
      <c r="H345" s="199"/>
      <c r="I345" s="136"/>
      <c r="J345" s="199"/>
      <c r="K345" s="199"/>
      <c r="L345" s="199"/>
      <c r="M345" s="199"/>
      <c r="N345" s="136"/>
      <c r="O345" s="199"/>
      <c r="P345" s="199"/>
      <c r="Q345" s="199"/>
      <c r="R345" s="199"/>
      <c r="S345" s="136"/>
      <c r="T345" s="199"/>
      <c r="U345" s="199"/>
      <c r="V345" s="199"/>
      <c r="W345" s="199"/>
      <c r="X345" s="136"/>
      <c r="Y345" s="199"/>
      <c r="Z345" s="199"/>
      <c r="AA345" s="199"/>
      <c r="AB345" s="199"/>
      <c r="AC345" s="136"/>
      <c r="AD345" s="199"/>
      <c r="AE345" s="199"/>
      <c r="AF345" s="199"/>
      <c r="AG345" s="199"/>
      <c r="AH345" s="136"/>
      <c r="AI345" s="199"/>
      <c r="AJ345" s="199"/>
      <c r="AK345" s="199"/>
      <c r="AL345" s="199"/>
      <c r="AM345" s="136"/>
      <c r="AN345" s="199"/>
      <c r="AO345" s="199"/>
      <c r="AP345" s="199"/>
      <c r="AQ345" s="199"/>
      <c r="AR345" s="136"/>
      <c r="AS345" s="199"/>
      <c r="AT345" s="199"/>
      <c r="AU345" s="199"/>
      <c r="AV345" s="199"/>
      <c r="AW345" s="136"/>
      <c r="AX345" s="199"/>
      <c r="AY345" s="199"/>
      <c r="AZ345" s="199"/>
      <c r="BA345" s="199"/>
      <c r="BB345" s="136"/>
      <c r="BC345" s="199"/>
      <c r="BD345" s="199"/>
      <c r="BE345" s="199"/>
      <c r="BF345" s="199"/>
      <c r="BG345" s="136"/>
      <c r="BH345" s="199"/>
      <c r="BI345" s="199"/>
      <c r="BJ345" s="199"/>
    </row>
    <row r="346" spans="1:62" x14ac:dyDescent="0.25">
      <c r="A346" s="199"/>
      <c r="B346" s="136"/>
      <c r="C346" s="199"/>
      <c r="D346" s="199"/>
      <c r="E346" s="199"/>
      <c r="F346" s="199"/>
      <c r="G346" s="199"/>
      <c r="H346" s="199"/>
      <c r="I346" s="136"/>
      <c r="J346" s="199"/>
      <c r="K346" s="199"/>
      <c r="L346" s="199"/>
      <c r="M346" s="199"/>
      <c r="N346" s="136"/>
      <c r="O346" s="199"/>
      <c r="P346" s="199"/>
      <c r="Q346" s="199"/>
      <c r="R346" s="199"/>
      <c r="S346" s="136"/>
      <c r="T346" s="199"/>
      <c r="U346" s="199"/>
      <c r="V346" s="199"/>
      <c r="W346" s="199"/>
      <c r="X346" s="136"/>
      <c r="Y346" s="199"/>
      <c r="Z346" s="199"/>
      <c r="AA346" s="199"/>
      <c r="AB346" s="199"/>
      <c r="AC346" s="136"/>
      <c r="AD346" s="199"/>
      <c r="AE346" s="199"/>
      <c r="AF346" s="199"/>
      <c r="AG346" s="199"/>
      <c r="AH346" s="136"/>
      <c r="AI346" s="199"/>
      <c r="AJ346" s="199"/>
      <c r="AK346" s="199"/>
      <c r="AL346" s="199"/>
      <c r="AM346" s="136"/>
      <c r="AN346" s="199"/>
      <c r="AO346" s="199"/>
      <c r="AP346" s="199"/>
      <c r="AQ346" s="199"/>
      <c r="AR346" s="136"/>
      <c r="AS346" s="199"/>
      <c r="AT346" s="199"/>
      <c r="AU346" s="199"/>
      <c r="AV346" s="199"/>
      <c r="AW346" s="136"/>
      <c r="AX346" s="199"/>
      <c r="AY346" s="199"/>
      <c r="AZ346" s="199"/>
      <c r="BA346" s="199"/>
      <c r="BB346" s="136"/>
      <c r="BC346" s="199"/>
      <c r="BD346" s="199"/>
      <c r="BE346" s="199"/>
      <c r="BF346" s="199"/>
      <c r="BG346" s="136"/>
      <c r="BH346" s="199"/>
      <c r="BI346" s="199"/>
      <c r="BJ346" s="199"/>
    </row>
    <row r="347" spans="1:62" x14ac:dyDescent="0.25">
      <c r="A347" s="199"/>
      <c r="B347" s="136"/>
      <c r="C347" s="199"/>
      <c r="D347" s="199"/>
      <c r="E347" s="199"/>
      <c r="F347" s="199"/>
      <c r="G347" s="199"/>
      <c r="H347" s="199"/>
      <c r="I347" s="136"/>
      <c r="J347" s="199"/>
      <c r="K347" s="199"/>
      <c r="L347" s="199"/>
      <c r="M347" s="199"/>
      <c r="N347" s="136"/>
      <c r="O347" s="199"/>
      <c r="P347" s="199"/>
      <c r="Q347" s="199"/>
      <c r="R347" s="199"/>
      <c r="S347" s="136"/>
      <c r="T347" s="199"/>
      <c r="U347" s="199"/>
      <c r="V347" s="199"/>
      <c r="W347" s="199"/>
      <c r="X347" s="136"/>
      <c r="Y347" s="199"/>
      <c r="Z347" s="199"/>
      <c r="AA347" s="199"/>
      <c r="AB347" s="199"/>
      <c r="AC347" s="136"/>
      <c r="AD347" s="199"/>
      <c r="AE347" s="199"/>
      <c r="AF347" s="199"/>
      <c r="AG347" s="199"/>
      <c r="AH347" s="136"/>
      <c r="AI347" s="199"/>
      <c r="AJ347" s="199"/>
      <c r="AK347" s="199"/>
      <c r="AL347" s="199"/>
      <c r="AM347" s="136"/>
      <c r="AN347" s="199"/>
      <c r="AO347" s="199"/>
      <c r="AP347" s="199"/>
      <c r="AQ347" s="199"/>
      <c r="AR347" s="136"/>
      <c r="AS347" s="199"/>
      <c r="AT347" s="199"/>
      <c r="AU347" s="199"/>
      <c r="AV347" s="199"/>
      <c r="AW347" s="136"/>
      <c r="AX347" s="199"/>
      <c r="AY347" s="199"/>
      <c r="AZ347" s="199"/>
      <c r="BA347" s="199"/>
      <c r="BB347" s="136"/>
      <c r="BC347" s="199"/>
      <c r="BD347" s="199"/>
      <c r="BE347" s="199"/>
      <c r="BF347" s="199"/>
      <c r="BG347" s="136"/>
      <c r="BH347" s="199"/>
      <c r="BI347" s="199"/>
      <c r="BJ347" s="199"/>
    </row>
    <row r="351" spans="1:62" ht="36" x14ac:dyDescent="0.25">
      <c r="A351" s="169"/>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row>
    <row r="352" spans="1:62" x14ac:dyDescent="0.25">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row>
    <row r="353" spans="1:62" x14ac:dyDescent="0.25">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row>
    <row r="354" spans="1:62" ht="36" x14ac:dyDescent="0.25">
      <c r="A354" s="169"/>
      <c r="B354" s="169"/>
      <c r="C354" s="169"/>
      <c r="D354" s="169"/>
      <c r="E354" s="169"/>
      <c r="F354" s="169"/>
      <c r="G354" s="169"/>
      <c r="H354" s="169"/>
      <c r="I354" s="169"/>
      <c r="J354" s="169"/>
      <c r="K354" s="169"/>
      <c r="L354" s="169"/>
      <c r="M354" s="169"/>
      <c r="N354" s="169"/>
      <c r="O354" s="169"/>
      <c r="P354" s="169"/>
      <c r="Q354" s="169"/>
      <c r="R354" s="169"/>
      <c r="S354" s="169"/>
      <c r="T354" s="169"/>
      <c r="U354" s="169"/>
      <c r="V354" s="169"/>
      <c r="W354" s="169"/>
      <c r="X354" s="169"/>
      <c r="Y354" s="169"/>
      <c r="Z354" s="169"/>
      <c r="AA354" s="169"/>
      <c r="AB354" s="169"/>
      <c r="AC354" s="169"/>
      <c r="AD354" s="169"/>
      <c r="AE354" s="169"/>
      <c r="AF354" s="169"/>
      <c r="AG354" s="169"/>
      <c r="AH354" s="169"/>
      <c r="AI354" s="169"/>
      <c r="AJ354" s="169"/>
      <c r="AK354" s="169"/>
      <c r="AL354" s="169"/>
      <c r="AM354" s="169"/>
      <c r="AN354" s="169"/>
      <c r="AO354" s="169"/>
      <c r="AP354" s="169"/>
      <c r="AQ354" s="169"/>
      <c r="AR354" s="169"/>
      <c r="AS354" s="169"/>
      <c r="AT354" s="169"/>
      <c r="AU354" s="169"/>
      <c r="AV354" s="169"/>
      <c r="AW354" s="169"/>
      <c r="AX354" s="169"/>
      <c r="AY354" s="169"/>
      <c r="AZ354" s="169"/>
      <c r="BA354" s="169"/>
      <c r="BB354" s="169"/>
      <c r="BC354" s="169"/>
      <c r="BD354" s="169"/>
      <c r="BE354" s="169"/>
      <c r="BF354" s="169"/>
      <c r="BG354" s="169"/>
      <c r="BH354" s="169"/>
      <c r="BI354" s="169"/>
      <c r="BJ354" s="169"/>
    </row>
    <row r="355" spans="1:62" ht="36" x14ac:dyDescent="0.25">
      <c r="A355" s="169"/>
      <c r="B355" s="169"/>
      <c r="C355" s="169"/>
      <c r="D355" s="169"/>
      <c r="E355" s="169"/>
      <c r="F355" s="169"/>
      <c r="G355" s="169"/>
      <c r="H355" s="169"/>
      <c r="I355" s="169"/>
      <c r="J355" s="169"/>
      <c r="K355" s="169"/>
      <c r="L355" s="169"/>
      <c r="M355" s="169"/>
      <c r="N355" s="169"/>
      <c r="O355" s="169"/>
      <c r="P355" s="169"/>
      <c r="Q355" s="169"/>
      <c r="R355" s="169"/>
      <c r="S355" s="169"/>
      <c r="T355" s="169"/>
      <c r="U355" s="169"/>
      <c r="V355" s="169"/>
      <c r="W355" s="169"/>
      <c r="X355" s="169"/>
      <c r="Y355" s="169"/>
      <c r="Z355" s="169"/>
      <c r="AA355" s="169"/>
      <c r="AB355" s="169"/>
      <c r="AC355" s="169"/>
      <c r="AD355" s="169"/>
      <c r="AE355" s="169"/>
      <c r="AF355" s="169"/>
      <c r="AG355" s="169"/>
      <c r="AH355" s="169"/>
      <c r="AI355" s="169"/>
      <c r="AJ355" s="169"/>
      <c r="AK355" s="169"/>
      <c r="AL355" s="169"/>
      <c r="AM355" s="169"/>
      <c r="AN355" s="169"/>
      <c r="AO355" s="169"/>
      <c r="AP355" s="169"/>
      <c r="AQ355" s="169"/>
      <c r="AR355" s="169"/>
      <c r="AS355" s="169"/>
      <c r="AT355" s="169"/>
      <c r="AU355" s="169"/>
      <c r="AV355" s="169"/>
      <c r="AW355" s="169"/>
      <c r="AX355" s="169"/>
      <c r="AY355" s="169"/>
      <c r="AZ355" s="169"/>
      <c r="BA355" s="169"/>
      <c r="BB355" s="169"/>
      <c r="BC355" s="169"/>
      <c r="BD355" s="169"/>
      <c r="BE355" s="169"/>
      <c r="BF355" s="169"/>
      <c r="BG355" s="169"/>
      <c r="BH355" s="169"/>
      <c r="BI355" s="169"/>
      <c r="BJ355" s="169"/>
    </row>
    <row r="356" spans="1:62" ht="36" x14ac:dyDescent="0.25">
      <c r="A356" s="169"/>
      <c r="B356" s="169"/>
      <c r="C356" s="169"/>
      <c r="D356" s="169"/>
      <c r="E356" s="169"/>
      <c r="F356" s="169"/>
      <c r="G356" s="169"/>
      <c r="H356" s="169"/>
      <c r="I356" s="169"/>
      <c r="J356" s="169"/>
      <c r="K356" s="169"/>
      <c r="L356" s="169"/>
      <c r="M356" s="169"/>
      <c r="N356" s="169"/>
      <c r="O356" s="169"/>
      <c r="P356" s="169"/>
      <c r="Q356" s="169"/>
      <c r="R356" s="169"/>
      <c r="S356" s="169"/>
      <c r="T356" s="169"/>
      <c r="U356" s="169"/>
      <c r="V356" s="169"/>
      <c r="W356" s="169"/>
      <c r="X356" s="169"/>
      <c r="Y356" s="169"/>
      <c r="Z356" s="169"/>
      <c r="AA356" s="169"/>
      <c r="AB356" s="169"/>
      <c r="AC356" s="169"/>
      <c r="AD356" s="169"/>
      <c r="AE356" s="169"/>
      <c r="AF356" s="169"/>
      <c r="AG356" s="169"/>
      <c r="AH356" s="169"/>
      <c r="AI356" s="169"/>
      <c r="AJ356" s="169"/>
      <c r="AK356" s="169"/>
      <c r="AL356" s="169"/>
      <c r="AM356" s="169"/>
      <c r="AN356" s="169"/>
      <c r="AO356" s="169"/>
      <c r="AP356" s="169"/>
      <c r="AQ356" s="169"/>
      <c r="AR356" s="169"/>
      <c r="AS356" s="169"/>
      <c r="AT356" s="169"/>
      <c r="AU356" s="169"/>
      <c r="AV356" s="169"/>
      <c r="AW356" s="169"/>
      <c r="AX356" s="169"/>
      <c r="AY356" s="169"/>
      <c r="AZ356" s="169"/>
      <c r="BA356" s="169"/>
      <c r="BB356" s="169"/>
      <c r="BC356" s="169"/>
      <c r="BD356" s="169"/>
      <c r="BE356" s="169"/>
      <c r="BF356" s="169"/>
      <c r="BG356" s="169"/>
      <c r="BH356" s="169"/>
      <c r="BI356" s="169"/>
      <c r="BJ356" s="169"/>
    </row>
    <row r="357" spans="1:62" x14ac:dyDescent="0.25">
      <c r="F357" s="194"/>
      <c r="G357" s="194"/>
    </row>
    <row r="359" spans="1:62" x14ac:dyDescent="0.25">
      <c r="A359" s="199"/>
      <c r="B359" s="136"/>
      <c r="C359" s="199"/>
      <c r="D359" s="199"/>
      <c r="E359" s="199"/>
      <c r="F359" s="199"/>
      <c r="G359" s="199"/>
      <c r="H359" s="199"/>
      <c r="I359" s="136"/>
      <c r="J359" s="199"/>
      <c r="K359" s="199"/>
      <c r="L359" s="199"/>
      <c r="M359" s="199"/>
      <c r="N359" s="136"/>
      <c r="O359" s="199"/>
      <c r="P359" s="199"/>
      <c r="Q359" s="199"/>
      <c r="R359" s="199"/>
      <c r="S359" s="136"/>
      <c r="T359" s="199"/>
      <c r="U359" s="199"/>
      <c r="V359" s="199"/>
      <c r="W359" s="199"/>
      <c r="X359" s="136"/>
      <c r="Y359" s="199"/>
      <c r="Z359" s="199"/>
      <c r="AA359" s="199"/>
      <c r="AB359" s="199"/>
      <c r="AC359" s="136"/>
      <c r="AD359" s="199"/>
      <c r="AE359" s="199"/>
      <c r="AF359" s="199"/>
      <c r="AG359" s="199"/>
      <c r="AH359" s="136"/>
      <c r="AI359" s="199"/>
      <c r="AJ359" s="199"/>
      <c r="AK359" s="199"/>
      <c r="AL359" s="199"/>
      <c r="AM359" s="136"/>
      <c r="AN359" s="199"/>
      <c r="AO359" s="199"/>
      <c r="AP359" s="199"/>
      <c r="AQ359" s="199"/>
      <c r="AR359" s="136"/>
      <c r="AS359" s="199"/>
      <c r="AT359" s="199"/>
      <c r="AU359" s="199"/>
      <c r="AV359" s="199"/>
      <c r="AW359" s="136"/>
      <c r="AX359" s="199"/>
      <c r="AY359" s="199"/>
      <c r="AZ359" s="199"/>
      <c r="BA359" s="199"/>
      <c r="BB359" s="136"/>
      <c r="BC359" s="199"/>
      <c r="BD359" s="199"/>
      <c r="BE359" s="199"/>
      <c r="BF359" s="199"/>
      <c r="BG359" s="136"/>
      <c r="BH359" s="199"/>
      <c r="BI359" s="199"/>
      <c r="BJ359" s="199"/>
    </row>
    <row r="360" spans="1:62" x14ac:dyDescent="0.25">
      <c r="A360" s="199"/>
      <c r="B360" s="136"/>
      <c r="C360" s="199"/>
      <c r="D360" s="199"/>
      <c r="E360" s="199"/>
      <c r="F360" s="199"/>
      <c r="G360" s="199"/>
      <c r="H360" s="199"/>
      <c r="I360" s="136"/>
      <c r="J360" s="199"/>
      <c r="K360" s="199"/>
      <c r="L360" s="199"/>
      <c r="M360" s="199"/>
      <c r="N360" s="136"/>
      <c r="O360" s="199"/>
      <c r="P360" s="199"/>
      <c r="Q360" s="199"/>
      <c r="R360" s="199"/>
      <c r="S360" s="136"/>
      <c r="T360" s="199"/>
      <c r="U360" s="199"/>
      <c r="V360" s="199"/>
      <c r="W360" s="199"/>
      <c r="X360" s="136"/>
      <c r="Y360" s="199"/>
      <c r="Z360" s="199"/>
      <c r="AA360" s="199"/>
      <c r="AB360" s="199"/>
      <c r="AC360" s="136"/>
      <c r="AD360" s="199"/>
      <c r="AE360" s="199"/>
      <c r="AF360" s="199"/>
      <c r="AG360" s="199"/>
      <c r="AH360" s="136"/>
      <c r="AI360" s="199"/>
      <c r="AJ360" s="199"/>
      <c r="AK360" s="199"/>
      <c r="AL360" s="199"/>
      <c r="AM360" s="136"/>
      <c r="AN360" s="199"/>
      <c r="AO360" s="199"/>
      <c r="AP360" s="199"/>
      <c r="AQ360" s="199"/>
      <c r="AR360" s="136"/>
      <c r="AS360" s="199"/>
      <c r="AT360" s="199"/>
      <c r="AU360" s="199"/>
      <c r="AV360" s="199"/>
      <c r="AW360" s="136"/>
      <c r="AX360" s="199"/>
      <c r="AY360" s="199"/>
      <c r="AZ360" s="199"/>
      <c r="BA360" s="199"/>
      <c r="BB360" s="136"/>
      <c r="BC360" s="199"/>
      <c r="BD360" s="199"/>
      <c r="BE360" s="199"/>
      <c r="BF360" s="199"/>
      <c r="BG360" s="136"/>
      <c r="BH360" s="199"/>
      <c r="BI360" s="199"/>
      <c r="BJ360" s="199"/>
    </row>
    <row r="361" spans="1:62" x14ac:dyDescent="0.25">
      <c r="A361" s="199"/>
      <c r="B361" s="136"/>
      <c r="C361" s="199"/>
      <c r="D361" s="199"/>
      <c r="E361" s="199"/>
      <c r="F361" s="199"/>
      <c r="G361" s="199"/>
      <c r="H361" s="199"/>
      <c r="I361" s="136"/>
      <c r="J361" s="199"/>
      <c r="K361" s="199"/>
      <c r="L361" s="199"/>
      <c r="M361" s="199"/>
      <c r="N361" s="136"/>
      <c r="O361" s="199"/>
      <c r="P361" s="199"/>
      <c r="Q361" s="199"/>
      <c r="R361" s="199"/>
      <c r="S361" s="136"/>
      <c r="T361" s="199"/>
      <c r="U361" s="199"/>
      <c r="V361" s="199"/>
      <c r="W361" s="199"/>
      <c r="X361" s="136"/>
      <c r="Y361" s="199"/>
      <c r="Z361" s="199"/>
      <c r="AA361" s="199"/>
      <c r="AB361" s="199"/>
      <c r="AC361" s="136"/>
      <c r="AD361" s="199"/>
      <c r="AE361" s="199"/>
      <c r="AF361" s="199"/>
      <c r="AG361" s="199"/>
      <c r="AH361" s="136"/>
      <c r="AI361" s="199"/>
      <c r="AJ361" s="199"/>
      <c r="AK361" s="199"/>
      <c r="AL361" s="199"/>
      <c r="AM361" s="136"/>
      <c r="AN361" s="199"/>
      <c r="AO361" s="199"/>
      <c r="AP361" s="199"/>
      <c r="AQ361" s="199"/>
      <c r="AR361" s="136"/>
      <c r="AS361" s="199"/>
      <c r="AT361" s="199"/>
      <c r="AU361" s="199"/>
      <c r="AV361" s="199"/>
      <c r="AW361" s="136"/>
      <c r="AX361" s="199"/>
      <c r="AY361" s="199"/>
      <c r="AZ361" s="199"/>
      <c r="BA361" s="199"/>
      <c r="BB361" s="136"/>
      <c r="BC361" s="199"/>
      <c r="BD361" s="199"/>
      <c r="BE361" s="199"/>
      <c r="BF361" s="199"/>
      <c r="BG361" s="136"/>
      <c r="BH361" s="199"/>
      <c r="BI361" s="199"/>
      <c r="BJ361" s="199"/>
    </row>
    <row r="362" spans="1:62" x14ac:dyDescent="0.25">
      <c r="A362" s="199"/>
      <c r="B362" s="136"/>
      <c r="C362" s="199"/>
      <c r="D362" s="199"/>
      <c r="E362" s="199"/>
      <c r="F362" s="199"/>
      <c r="G362" s="199"/>
      <c r="H362" s="199"/>
      <c r="I362" s="136"/>
      <c r="J362" s="199"/>
      <c r="K362" s="199"/>
      <c r="L362" s="199"/>
      <c r="M362" s="199"/>
      <c r="N362" s="136"/>
      <c r="O362" s="199"/>
      <c r="P362" s="199"/>
      <c r="Q362" s="199"/>
      <c r="R362" s="199"/>
      <c r="S362" s="136"/>
      <c r="T362" s="199"/>
      <c r="U362" s="199"/>
      <c r="V362" s="199"/>
      <c r="W362" s="199"/>
      <c r="X362" s="136"/>
      <c r="Y362" s="199"/>
      <c r="Z362" s="199"/>
      <c r="AA362" s="199"/>
      <c r="AB362" s="199"/>
      <c r="AC362" s="136"/>
      <c r="AD362" s="199"/>
      <c r="AE362" s="199"/>
      <c r="AF362" s="199"/>
      <c r="AG362" s="199"/>
      <c r="AH362" s="136"/>
      <c r="AI362" s="199"/>
      <c r="AJ362" s="199"/>
      <c r="AK362" s="199"/>
      <c r="AL362" s="199"/>
      <c r="AM362" s="136"/>
      <c r="AN362" s="199"/>
      <c r="AO362" s="199"/>
      <c r="AP362" s="199"/>
      <c r="AQ362" s="199"/>
      <c r="AR362" s="136"/>
      <c r="AS362" s="199"/>
      <c r="AT362" s="199"/>
      <c r="AU362" s="199"/>
      <c r="AV362" s="199"/>
      <c r="AW362" s="136"/>
      <c r="AX362" s="199"/>
      <c r="AY362" s="199"/>
      <c r="AZ362" s="199"/>
      <c r="BA362" s="199"/>
      <c r="BB362" s="136"/>
      <c r="BC362" s="199"/>
      <c r="BD362" s="199"/>
      <c r="BE362" s="199"/>
      <c r="BF362" s="199"/>
      <c r="BG362" s="136"/>
      <c r="BH362" s="199"/>
      <c r="BI362" s="199"/>
      <c r="BJ362" s="199"/>
    </row>
    <row r="363" spans="1:62" x14ac:dyDescent="0.25">
      <c r="A363" s="199"/>
      <c r="B363" s="136"/>
      <c r="C363" s="199"/>
      <c r="D363" s="199"/>
      <c r="E363" s="199"/>
      <c r="F363" s="199"/>
      <c r="G363" s="199"/>
      <c r="H363" s="199"/>
      <c r="I363" s="136"/>
      <c r="J363" s="199"/>
      <c r="K363" s="199"/>
      <c r="L363" s="199"/>
      <c r="M363" s="199"/>
      <c r="N363" s="136"/>
      <c r="O363" s="199"/>
      <c r="P363" s="199"/>
      <c r="Q363" s="199"/>
      <c r="R363" s="199"/>
      <c r="S363" s="136"/>
      <c r="T363" s="199"/>
      <c r="U363" s="199"/>
      <c r="V363" s="199"/>
      <c r="W363" s="199"/>
      <c r="X363" s="136"/>
      <c r="Y363" s="199"/>
      <c r="Z363" s="199"/>
      <c r="AA363" s="199"/>
      <c r="AB363" s="199"/>
      <c r="AC363" s="136"/>
      <c r="AD363" s="199"/>
      <c r="AE363" s="199"/>
      <c r="AF363" s="199"/>
      <c r="AG363" s="199"/>
      <c r="AH363" s="136"/>
      <c r="AI363" s="199"/>
      <c r="AJ363" s="199"/>
      <c r="AK363" s="199"/>
      <c r="AL363" s="199"/>
      <c r="AM363" s="136"/>
      <c r="AN363" s="199"/>
      <c r="AO363" s="199"/>
      <c r="AP363" s="199"/>
      <c r="AQ363" s="199"/>
      <c r="AR363" s="136"/>
      <c r="AS363" s="199"/>
      <c r="AT363" s="199"/>
      <c r="AU363" s="199"/>
      <c r="AV363" s="199"/>
      <c r="AW363" s="136"/>
      <c r="AX363" s="199"/>
      <c r="AY363" s="199"/>
      <c r="AZ363" s="199"/>
      <c r="BA363" s="199"/>
      <c r="BB363" s="136"/>
      <c r="BC363" s="199"/>
      <c r="BD363" s="199"/>
      <c r="BE363" s="199"/>
      <c r="BF363" s="199"/>
      <c r="BG363" s="136"/>
      <c r="BH363" s="199"/>
      <c r="BI363" s="199"/>
      <c r="BJ363" s="199"/>
    </row>
    <row r="364" spans="1:62" x14ac:dyDescent="0.25">
      <c r="A364" s="199"/>
      <c r="B364" s="136"/>
      <c r="C364" s="199"/>
      <c r="D364" s="199"/>
      <c r="E364" s="199"/>
      <c r="F364" s="199"/>
      <c r="G364" s="199"/>
      <c r="H364" s="199"/>
      <c r="I364" s="136"/>
      <c r="J364" s="199"/>
      <c r="K364" s="199"/>
      <c r="L364" s="199"/>
      <c r="M364" s="199"/>
      <c r="N364" s="136"/>
      <c r="O364" s="199"/>
      <c r="P364" s="199"/>
      <c r="Q364" s="199"/>
      <c r="R364" s="199"/>
      <c r="S364" s="136"/>
      <c r="T364" s="199"/>
      <c r="U364" s="199"/>
      <c r="V364" s="199"/>
      <c r="W364" s="199"/>
      <c r="X364" s="136"/>
      <c r="Y364" s="199"/>
      <c r="Z364" s="199"/>
      <c r="AA364" s="199"/>
      <c r="AB364" s="199"/>
      <c r="AC364" s="136"/>
      <c r="AD364" s="199"/>
      <c r="AE364" s="199"/>
      <c r="AF364" s="199"/>
      <c r="AG364" s="199"/>
      <c r="AH364" s="136"/>
      <c r="AI364" s="199"/>
      <c r="AJ364" s="199"/>
      <c r="AK364" s="199"/>
      <c r="AL364" s="199"/>
      <c r="AM364" s="136"/>
      <c r="AN364" s="199"/>
      <c r="AO364" s="199"/>
      <c r="AP364" s="199"/>
      <c r="AQ364" s="199"/>
      <c r="AR364" s="136"/>
      <c r="AS364" s="199"/>
      <c r="AT364" s="199"/>
      <c r="AU364" s="199"/>
      <c r="AV364" s="199"/>
      <c r="AW364" s="136"/>
      <c r="AX364" s="199"/>
      <c r="AY364" s="199"/>
      <c r="AZ364" s="199"/>
      <c r="BA364" s="199"/>
      <c r="BB364" s="136"/>
      <c r="BC364" s="199"/>
      <c r="BD364" s="199"/>
      <c r="BE364" s="199"/>
      <c r="BF364" s="199"/>
      <c r="BG364" s="136"/>
      <c r="BH364" s="199"/>
      <c r="BI364" s="199"/>
      <c r="BJ364" s="199"/>
    </row>
    <row r="365" spans="1:62" x14ac:dyDescent="0.25">
      <c r="A365" s="199"/>
      <c r="B365" s="136"/>
      <c r="C365" s="199"/>
      <c r="D365" s="199"/>
      <c r="E365" s="199"/>
      <c r="F365" s="199"/>
      <c r="G365" s="199"/>
      <c r="H365" s="199"/>
      <c r="I365" s="136"/>
      <c r="J365" s="199"/>
      <c r="K365" s="199"/>
      <c r="L365" s="199"/>
      <c r="M365" s="199"/>
      <c r="N365" s="136"/>
      <c r="O365" s="199"/>
      <c r="P365" s="199"/>
      <c r="Q365" s="199"/>
      <c r="R365" s="199"/>
      <c r="S365" s="136"/>
      <c r="T365" s="199"/>
      <c r="U365" s="199"/>
      <c r="V365" s="199"/>
      <c r="W365" s="199"/>
      <c r="X365" s="136"/>
      <c r="Y365" s="199"/>
      <c r="Z365" s="199"/>
      <c r="AA365" s="199"/>
      <c r="AB365" s="199"/>
      <c r="AC365" s="136"/>
      <c r="AD365" s="199"/>
      <c r="AE365" s="199"/>
      <c r="AF365" s="199"/>
      <c r="AG365" s="199"/>
      <c r="AH365" s="136"/>
      <c r="AI365" s="199"/>
      <c r="AJ365" s="199"/>
      <c r="AK365" s="199"/>
      <c r="AL365" s="199"/>
      <c r="AM365" s="136"/>
      <c r="AN365" s="199"/>
      <c r="AO365" s="199"/>
      <c r="AP365" s="199"/>
      <c r="AQ365" s="199"/>
      <c r="AR365" s="136"/>
      <c r="AS365" s="199"/>
      <c r="AT365" s="199"/>
      <c r="AU365" s="199"/>
      <c r="AV365" s="199"/>
      <c r="AW365" s="136"/>
      <c r="AX365" s="199"/>
      <c r="AY365" s="199"/>
      <c r="AZ365" s="199"/>
      <c r="BA365" s="199"/>
      <c r="BB365" s="136"/>
      <c r="BC365" s="199"/>
      <c r="BD365" s="199"/>
      <c r="BE365" s="199"/>
      <c r="BF365" s="199"/>
      <c r="BG365" s="136"/>
      <c r="BH365" s="199"/>
      <c r="BI365" s="199"/>
      <c r="BJ365" s="199"/>
    </row>
    <row r="366" spans="1:62" x14ac:dyDescent="0.25">
      <c r="A366" s="199"/>
      <c r="B366" s="136"/>
      <c r="C366" s="199"/>
      <c r="D366" s="199"/>
      <c r="E366" s="199"/>
      <c r="F366" s="199"/>
      <c r="G366" s="199"/>
      <c r="H366" s="199"/>
      <c r="I366" s="136"/>
      <c r="J366" s="199"/>
      <c r="K366" s="199"/>
      <c r="L366" s="199"/>
      <c r="M366" s="199"/>
      <c r="N366" s="136"/>
      <c r="O366" s="199"/>
      <c r="P366" s="199"/>
      <c r="Q366" s="199"/>
      <c r="R366" s="199"/>
      <c r="S366" s="136"/>
      <c r="T366" s="199"/>
      <c r="U366" s="199"/>
      <c r="V366" s="199"/>
      <c r="W366" s="199"/>
      <c r="X366" s="136"/>
      <c r="Y366" s="199"/>
      <c r="Z366" s="199"/>
      <c r="AA366" s="199"/>
      <c r="AB366" s="199"/>
      <c r="AC366" s="136"/>
      <c r="AD366" s="199"/>
      <c r="AE366" s="199"/>
      <c r="AF366" s="199"/>
      <c r="AG366" s="199"/>
      <c r="AH366" s="136"/>
      <c r="AI366" s="199"/>
      <c r="AJ366" s="199"/>
      <c r="AK366" s="199"/>
      <c r="AL366" s="199"/>
      <c r="AM366" s="136"/>
      <c r="AN366" s="199"/>
      <c r="AO366" s="199"/>
      <c r="AP366" s="199"/>
      <c r="AQ366" s="199"/>
      <c r="AR366" s="136"/>
      <c r="AS366" s="199"/>
      <c r="AT366" s="199"/>
      <c r="AU366" s="199"/>
      <c r="AV366" s="199"/>
      <c r="AW366" s="136"/>
      <c r="AX366" s="199"/>
      <c r="AY366" s="199"/>
      <c r="AZ366" s="199"/>
      <c r="BA366" s="199"/>
      <c r="BB366" s="136"/>
      <c r="BC366" s="199"/>
      <c r="BD366" s="199"/>
      <c r="BE366" s="199"/>
      <c r="BF366" s="199"/>
      <c r="BG366" s="136"/>
      <c r="BH366" s="199"/>
      <c r="BI366" s="199"/>
      <c r="BJ366" s="199"/>
    </row>
    <row r="370" spans="1:62" ht="36" x14ac:dyDescent="0.25">
      <c r="A370" s="169"/>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row>
    <row r="371" spans="1:62" x14ac:dyDescent="0.25">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row>
    <row r="372" spans="1:62" x14ac:dyDescent="0.25">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row>
    <row r="373" spans="1:62" ht="36" x14ac:dyDescent="0.25">
      <c r="A373" s="169"/>
      <c r="B373" s="169"/>
      <c r="C373" s="169"/>
      <c r="D373" s="169"/>
      <c r="E373" s="169"/>
      <c r="F373" s="169"/>
      <c r="G373" s="169"/>
      <c r="H373" s="169"/>
      <c r="I373" s="169"/>
      <c r="J373" s="169"/>
      <c r="K373" s="169"/>
      <c r="L373" s="169"/>
      <c r="M373" s="169"/>
      <c r="N373" s="169"/>
      <c r="O373" s="169"/>
      <c r="P373" s="169"/>
      <c r="Q373" s="169"/>
      <c r="R373" s="169"/>
      <c r="S373" s="169"/>
      <c r="T373" s="169"/>
      <c r="U373" s="169"/>
      <c r="V373" s="169"/>
      <c r="W373" s="169"/>
      <c r="X373" s="169"/>
      <c r="Y373" s="169"/>
      <c r="Z373" s="169"/>
      <c r="AA373" s="169"/>
      <c r="AB373" s="169"/>
      <c r="AC373" s="169"/>
      <c r="AD373" s="169"/>
      <c r="AE373" s="169"/>
      <c r="AF373" s="169"/>
      <c r="AG373" s="169"/>
      <c r="AH373" s="169"/>
      <c r="AI373" s="169"/>
      <c r="AJ373" s="169"/>
      <c r="AK373" s="169"/>
      <c r="AL373" s="169"/>
      <c r="AM373" s="169"/>
      <c r="AN373" s="169"/>
      <c r="AO373" s="169"/>
      <c r="AP373" s="169"/>
      <c r="AQ373" s="169"/>
      <c r="AR373" s="169"/>
      <c r="AS373" s="169"/>
      <c r="AT373" s="169"/>
      <c r="AU373" s="169"/>
      <c r="AV373" s="169"/>
      <c r="AW373" s="169"/>
      <c r="AX373" s="169"/>
      <c r="AY373" s="169"/>
      <c r="AZ373" s="169"/>
      <c r="BA373" s="169"/>
      <c r="BB373" s="169"/>
      <c r="BC373" s="169"/>
      <c r="BD373" s="169"/>
      <c r="BE373" s="169"/>
      <c r="BF373" s="169"/>
      <c r="BG373" s="169"/>
      <c r="BH373" s="169"/>
      <c r="BI373" s="169"/>
      <c r="BJ373" s="169"/>
    </row>
    <row r="374" spans="1:62" ht="36" x14ac:dyDescent="0.25">
      <c r="A374" s="169"/>
      <c r="B374" s="169"/>
      <c r="C374" s="169"/>
      <c r="D374" s="169"/>
      <c r="E374" s="169"/>
      <c r="F374" s="169"/>
      <c r="G374" s="169"/>
      <c r="H374" s="169"/>
      <c r="I374" s="169"/>
      <c r="J374" s="169"/>
      <c r="K374" s="169"/>
      <c r="L374" s="169"/>
      <c r="M374" s="169"/>
      <c r="N374" s="169"/>
      <c r="O374" s="169"/>
      <c r="P374" s="169"/>
      <c r="Q374" s="169"/>
      <c r="R374" s="169"/>
      <c r="S374" s="169"/>
      <c r="T374" s="169"/>
      <c r="U374" s="169"/>
      <c r="V374" s="169"/>
      <c r="W374" s="169"/>
      <c r="X374" s="169"/>
      <c r="Y374" s="169"/>
      <c r="Z374" s="169"/>
      <c r="AA374" s="169"/>
      <c r="AB374" s="169"/>
      <c r="AC374" s="169"/>
      <c r="AD374" s="169"/>
      <c r="AE374" s="169"/>
      <c r="AF374" s="169"/>
      <c r="AG374" s="169"/>
      <c r="AH374" s="169"/>
      <c r="AI374" s="169"/>
      <c r="AJ374" s="169"/>
      <c r="AK374" s="169"/>
      <c r="AL374" s="169"/>
      <c r="AM374" s="169"/>
      <c r="AN374" s="169"/>
      <c r="AO374" s="169"/>
      <c r="AP374" s="169"/>
      <c r="AQ374" s="169"/>
      <c r="AR374" s="169"/>
      <c r="AS374" s="169"/>
      <c r="AT374" s="169"/>
      <c r="AU374" s="169"/>
      <c r="AV374" s="169"/>
      <c r="AW374" s="169"/>
      <c r="AX374" s="169"/>
      <c r="AY374" s="169"/>
      <c r="AZ374" s="169"/>
      <c r="BA374" s="169"/>
      <c r="BB374" s="169"/>
      <c r="BC374" s="169"/>
      <c r="BD374" s="169"/>
      <c r="BE374" s="169"/>
      <c r="BF374" s="169"/>
      <c r="BG374" s="169"/>
      <c r="BH374" s="169"/>
      <c r="BI374" s="169"/>
      <c r="BJ374" s="169"/>
    </row>
    <row r="375" spans="1:62" ht="36" x14ac:dyDescent="0.25">
      <c r="A375" s="169"/>
      <c r="B375" s="169"/>
      <c r="C375" s="169"/>
      <c r="D375" s="169"/>
      <c r="E375" s="169"/>
      <c r="F375" s="169"/>
      <c r="G375" s="169"/>
      <c r="H375" s="169"/>
      <c r="I375" s="169"/>
      <c r="J375" s="169"/>
      <c r="K375" s="169"/>
      <c r="L375" s="169"/>
      <c r="M375" s="169"/>
      <c r="N375" s="169"/>
      <c r="O375" s="169"/>
      <c r="P375" s="169"/>
      <c r="Q375" s="169"/>
      <c r="R375" s="169"/>
      <c r="S375" s="169"/>
      <c r="T375" s="169"/>
      <c r="U375" s="169"/>
      <c r="V375" s="169"/>
      <c r="W375" s="169"/>
      <c r="X375" s="169"/>
      <c r="Y375" s="169"/>
      <c r="Z375" s="169"/>
      <c r="AA375" s="169"/>
      <c r="AB375" s="169"/>
      <c r="AC375" s="169"/>
      <c r="AD375" s="169"/>
      <c r="AE375" s="169"/>
      <c r="AF375" s="169"/>
      <c r="AG375" s="169"/>
      <c r="AH375" s="169"/>
      <c r="AI375" s="169"/>
      <c r="AJ375" s="169"/>
      <c r="AK375" s="169"/>
      <c r="AL375" s="169"/>
      <c r="AM375" s="169"/>
      <c r="AN375" s="169"/>
      <c r="AO375" s="169"/>
      <c r="AP375" s="169"/>
      <c r="AQ375" s="169"/>
      <c r="AR375" s="169"/>
      <c r="AS375" s="169"/>
      <c r="AT375" s="169"/>
      <c r="AU375" s="169"/>
      <c r="AV375" s="169"/>
      <c r="AW375" s="169"/>
      <c r="AX375" s="169"/>
      <c r="AY375" s="169"/>
      <c r="AZ375" s="169"/>
      <c r="BA375" s="169"/>
      <c r="BB375" s="169"/>
      <c r="BC375" s="169"/>
      <c r="BD375" s="169"/>
      <c r="BE375" s="169"/>
      <c r="BF375" s="169"/>
      <c r="BG375" s="169"/>
      <c r="BH375" s="169"/>
      <c r="BI375" s="169"/>
      <c r="BJ375" s="169"/>
    </row>
    <row r="376" spans="1:62" x14ac:dyDescent="0.25">
      <c r="F376" s="194"/>
      <c r="G376" s="194"/>
    </row>
    <row r="378" spans="1:62" x14ac:dyDescent="0.25">
      <c r="A378" s="199"/>
      <c r="B378" s="136"/>
      <c r="C378" s="199"/>
      <c r="D378" s="199"/>
      <c r="E378" s="199"/>
      <c r="F378" s="199"/>
      <c r="G378" s="199"/>
      <c r="H378" s="199"/>
      <c r="I378" s="136"/>
      <c r="J378" s="199"/>
      <c r="K378" s="199"/>
      <c r="L378" s="199"/>
      <c r="M378" s="199"/>
      <c r="N378" s="136"/>
      <c r="O378" s="199"/>
      <c r="P378" s="199"/>
      <c r="Q378" s="199"/>
      <c r="R378" s="199"/>
      <c r="S378" s="136"/>
      <c r="T378" s="199"/>
      <c r="U378" s="199"/>
      <c r="V378" s="199"/>
      <c r="W378" s="199"/>
      <c r="X378" s="136"/>
      <c r="Y378" s="199"/>
      <c r="Z378" s="199"/>
      <c r="AA378" s="199"/>
      <c r="AB378" s="199"/>
      <c r="AC378" s="136"/>
      <c r="AD378" s="199"/>
      <c r="AE378" s="199"/>
      <c r="AF378" s="199"/>
      <c r="AG378" s="199"/>
      <c r="AH378" s="136"/>
      <c r="AI378" s="199"/>
      <c r="AJ378" s="199"/>
      <c r="AK378" s="199"/>
      <c r="AL378" s="199"/>
      <c r="AM378" s="136"/>
      <c r="AN378" s="199"/>
      <c r="AO378" s="199"/>
      <c r="AP378" s="199"/>
      <c r="AQ378" s="199"/>
      <c r="AR378" s="136"/>
      <c r="AS378" s="199"/>
      <c r="AT378" s="199"/>
      <c r="AU378" s="199"/>
      <c r="AV378" s="199"/>
      <c r="AW378" s="136"/>
      <c r="AX378" s="199"/>
      <c r="AY378" s="199"/>
      <c r="AZ378" s="199"/>
      <c r="BA378" s="199"/>
      <c r="BB378" s="136"/>
      <c r="BC378" s="199"/>
      <c r="BD378" s="199"/>
      <c r="BE378" s="199"/>
      <c r="BF378" s="199"/>
      <c r="BG378" s="136"/>
      <c r="BH378" s="199"/>
      <c r="BI378" s="199"/>
      <c r="BJ378" s="199"/>
    </row>
    <row r="379" spans="1:62" x14ac:dyDescent="0.25">
      <c r="A379" s="199"/>
      <c r="B379" s="136"/>
      <c r="C379" s="199"/>
      <c r="D379" s="199"/>
      <c r="E379" s="199"/>
      <c r="F379" s="199"/>
      <c r="G379" s="199"/>
      <c r="H379" s="199"/>
      <c r="I379" s="136"/>
      <c r="J379" s="199"/>
      <c r="K379" s="199"/>
      <c r="L379" s="199"/>
      <c r="M379" s="199"/>
      <c r="N379" s="136"/>
      <c r="O379" s="199"/>
      <c r="P379" s="199"/>
      <c r="Q379" s="199"/>
      <c r="R379" s="199"/>
      <c r="S379" s="136"/>
      <c r="T379" s="199"/>
      <c r="U379" s="199"/>
      <c r="V379" s="199"/>
      <c r="W379" s="199"/>
      <c r="X379" s="136"/>
      <c r="Y379" s="199"/>
      <c r="Z379" s="199"/>
      <c r="AA379" s="199"/>
      <c r="AB379" s="199"/>
      <c r="AC379" s="136"/>
      <c r="AD379" s="199"/>
      <c r="AE379" s="199"/>
      <c r="AF379" s="199"/>
      <c r="AG379" s="199"/>
      <c r="AH379" s="136"/>
      <c r="AI379" s="199"/>
      <c r="AJ379" s="199"/>
      <c r="AK379" s="199"/>
      <c r="AL379" s="199"/>
      <c r="AM379" s="136"/>
      <c r="AN379" s="199"/>
      <c r="AO379" s="199"/>
      <c r="AP379" s="199"/>
      <c r="AQ379" s="199"/>
      <c r="AR379" s="136"/>
      <c r="AS379" s="199"/>
      <c r="AT379" s="199"/>
      <c r="AU379" s="199"/>
      <c r="AV379" s="199"/>
      <c r="AW379" s="136"/>
      <c r="AX379" s="199"/>
      <c r="AY379" s="199"/>
      <c r="AZ379" s="199"/>
      <c r="BA379" s="199"/>
      <c r="BB379" s="136"/>
      <c r="BC379" s="199"/>
      <c r="BD379" s="199"/>
      <c r="BE379" s="199"/>
      <c r="BF379" s="199"/>
      <c r="BG379" s="136"/>
      <c r="BH379" s="199"/>
      <c r="BI379" s="199"/>
      <c r="BJ379" s="199"/>
    </row>
    <row r="380" spans="1:62" x14ac:dyDescent="0.25">
      <c r="A380" s="199"/>
      <c r="B380" s="136"/>
      <c r="C380" s="199"/>
      <c r="D380" s="199"/>
      <c r="E380" s="199"/>
      <c r="F380" s="199"/>
      <c r="G380" s="199"/>
      <c r="H380" s="199"/>
      <c r="I380" s="136"/>
      <c r="J380" s="199"/>
      <c r="K380" s="199"/>
      <c r="L380" s="199"/>
      <c r="M380" s="199"/>
      <c r="N380" s="136"/>
      <c r="O380" s="199"/>
      <c r="P380" s="199"/>
      <c r="Q380" s="199"/>
      <c r="R380" s="199"/>
      <c r="S380" s="136"/>
      <c r="T380" s="199"/>
      <c r="U380" s="199"/>
      <c r="V380" s="199"/>
      <c r="W380" s="199"/>
      <c r="X380" s="136"/>
      <c r="Y380" s="199"/>
      <c r="Z380" s="199"/>
      <c r="AA380" s="199"/>
      <c r="AB380" s="199"/>
      <c r="AC380" s="136"/>
      <c r="AD380" s="199"/>
      <c r="AE380" s="199"/>
      <c r="AF380" s="199"/>
      <c r="AG380" s="199"/>
      <c r="AH380" s="136"/>
      <c r="AI380" s="199"/>
      <c r="AJ380" s="199"/>
      <c r="AK380" s="199"/>
      <c r="AL380" s="199"/>
      <c r="AM380" s="136"/>
      <c r="AN380" s="199"/>
      <c r="AO380" s="199"/>
      <c r="AP380" s="199"/>
      <c r="AQ380" s="199"/>
      <c r="AR380" s="136"/>
      <c r="AS380" s="199"/>
      <c r="AT380" s="199"/>
      <c r="AU380" s="199"/>
      <c r="AV380" s="199"/>
      <c r="AW380" s="136"/>
      <c r="AX380" s="199"/>
      <c r="AY380" s="199"/>
      <c r="AZ380" s="199"/>
      <c r="BA380" s="199"/>
      <c r="BB380" s="136"/>
      <c r="BC380" s="199"/>
      <c r="BD380" s="199"/>
      <c r="BE380" s="199"/>
      <c r="BF380" s="199"/>
      <c r="BG380" s="136"/>
      <c r="BH380" s="199"/>
      <c r="BI380" s="199"/>
      <c r="BJ380" s="199"/>
    </row>
    <row r="381" spans="1:62" x14ac:dyDescent="0.25">
      <c r="A381" s="199"/>
      <c r="B381" s="136"/>
      <c r="C381" s="199"/>
      <c r="D381" s="199"/>
      <c r="E381" s="199"/>
      <c r="F381" s="199"/>
      <c r="G381" s="199"/>
      <c r="H381" s="199"/>
      <c r="I381" s="136"/>
      <c r="J381" s="199"/>
      <c r="K381" s="199"/>
      <c r="L381" s="199"/>
      <c r="M381" s="199"/>
      <c r="N381" s="136"/>
      <c r="O381" s="199"/>
      <c r="P381" s="199"/>
      <c r="Q381" s="199"/>
      <c r="R381" s="199"/>
      <c r="S381" s="136"/>
      <c r="T381" s="199"/>
      <c r="U381" s="199"/>
      <c r="V381" s="199"/>
      <c r="W381" s="199"/>
      <c r="X381" s="136"/>
      <c r="Y381" s="199"/>
      <c r="Z381" s="199"/>
      <c r="AA381" s="199"/>
      <c r="AB381" s="199"/>
      <c r="AC381" s="136"/>
      <c r="AD381" s="199"/>
      <c r="AE381" s="199"/>
      <c r="AF381" s="199"/>
      <c r="AG381" s="199"/>
      <c r="AH381" s="136"/>
      <c r="AI381" s="199"/>
      <c r="AJ381" s="199"/>
      <c r="AK381" s="199"/>
      <c r="AL381" s="199"/>
      <c r="AM381" s="136"/>
      <c r="AN381" s="199"/>
      <c r="AO381" s="199"/>
      <c r="AP381" s="199"/>
      <c r="AQ381" s="199"/>
      <c r="AR381" s="136"/>
      <c r="AS381" s="199"/>
      <c r="AT381" s="199"/>
      <c r="AU381" s="199"/>
      <c r="AV381" s="199"/>
      <c r="AW381" s="136"/>
      <c r="AX381" s="199"/>
      <c r="AY381" s="199"/>
      <c r="AZ381" s="199"/>
      <c r="BA381" s="199"/>
      <c r="BB381" s="136"/>
      <c r="BC381" s="199"/>
      <c r="BD381" s="199"/>
      <c r="BE381" s="199"/>
      <c r="BF381" s="199"/>
      <c r="BG381" s="136"/>
      <c r="BH381" s="199"/>
      <c r="BI381" s="199"/>
      <c r="BJ381" s="199"/>
    </row>
    <row r="382" spans="1:62" x14ac:dyDescent="0.25">
      <c r="A382" s="199"/>
      <c r="B382" s="136"/>
      <c r="C382" s="199"/>
      <c r="D382" s="199"/>
      <c r="E382" s="199"/>
      <c r="F382" s="199"/>
      <c r="G382" s="199"/>
      <c r="H382" s="199"/>
      <c r="I382" s="136"/>
      <c r="J382" s="199"/>
      <c r="K382" s="199"/>
      <c r="L382" s="199"/>
      <c r="M382" s="199"/>
      <c r="N382" s="136"/>
      <c r="O382" s="199"/>
      <c r="P382" s="199"/>
      <c r="Q382" s="199"/>
      <c r="R382" s="199"/>
      <c r="S382" s="136"/>
      <c r="T382" s="199"/>
      <c r="U382" s="199"/>
      <c r="V382" s="199"/>
      <c r="W382" s="199"/>
      <c r="X382" s="136"/>
      <c r="Y382" s="199"/>
      <c r="Z382" s="199"/>
      <c r="AA382" s="199"/>
      <c r="AB382" s="199"/>
      <c r="AC382" s="136"/>
      <c r="AD382" s="199"/>
      <c r="AE382" s="199"/>
      <c r="AF382" s="199"/>
      <c r="AG382" s="199"/>
      <c r="AH382" s="136"/>
      <c r="AI382" s="199"/>
      <c r="AJ382" s="199"/>
      <c r="AK382" s="199"/>
      <c r="AL382" s="199"/>
      <c r="AM382" s="136"/>
      <c r="AN382" s="199"/>
      <c r="AO382" s="199"/>
      <c r="AP382" s="199"/>
      <c r="AQ382" s="199"/>
      <c r="AR382" s="136"/>
      <c r="AS382" s="199"/>
      <c r="AT382" s="199"/>
      <c r="AU382" s="199"/>
      <c r="AV382" s="199"/>
      <c r="AW382" s="136"/>
      <c r="AX382" s="199"/>
      <c r="AY382" s="199"/>
      <c r="AZ382" s="199"/>
      <c r="BA382" s="199"/>
      <c r="BB382" s="136"/>
      <c r="BC382" s="199"/>
      <c r="BD382" s="199"/>
      <c r="BE382" s="199"/>
      <c r="BF382" s="199"/>
      <c r="BG382" s="136"/>
      <c r="BH382" s="199"/>
      <c r="BI382" s="199"/>
      <c r="BJ382" s="199"/>
    </row>
    <row r="383" spans="1:62" x14ac:dyDescent="0.25">
      <c r="A383" s="199"/>
      <c r="B383" s="136"/>
      <c r="C383" s="199"/>
      <c r="D383" s="199"/>
      <c r="E383" s="199"/>
      <c r="F383" s="199"/>
      <c r="G383" s="199"/>
      <c r="H383" s="199"/>
      <c r="I383" s="136"/>
      <c r="J383" s="199"/>
      <c r="K383" s="199"/>
      <c r="L383" s="199"/>
      <c r="M383" s="199"/>
      <c r="N383" s="136"/>
      <c r="O383" s="199"/>
      <c r="P383" s="199"/>
      <c r="Q383" s="199"/>
      <c r="R383" s="199"/>
      <c r="S383" s="136"/>
      <c r="T383" s="199"/>
      <c r="U383" s="199"/>
      <c r="V383" s="199"/>
      <c r="W383" s="199"/>
      <c r="X383" s="136"/>
      <c r="Y383" s="199"/>
      <c r="Z383" s="199"/>
      <c r="AA383" s="199"/>
      <c r="AB383" s="199"/>
      <c r="AC383" s="136"/>
      <c r="AD383" s="199"/>
      <c r="AE383" s="199"/>
      <c r="AF383" s="199"/>
      <c r="AG383" s="199"/>
      <c r="AH383" s="136"/>
      <c r="AI383" s="199"/>
      <c r="AJ383" s="199"/>
      <c r="AK383" s="199"/>
      <c r="AL383" s="199"/>
      <c r="AM383" s="136"/>
      <c r="AN383" s="199"/>
      <c r="AO383" s="199"/>
      <c r="AP383" s="199"/>
      <c r="AQ383" s="199"/>
      <c r="AR383" s="136"/>
      <c r="AS383" s="199"/>
      <c r="AT383" s="199"/>
      <c r="AU383" s="199"/>
      <c r="AV383" s="199"/>
      <c r="AW383" s="136"/>
      <c r="AX383" s="199"/>
      <c r="AY383" s="199"/>
      <c r="AZ383" s="199"/>
      <c r="BA383" s="199"/>
      <c r="BB383" s="136"/>
      <c r="BC383" s="199"/>
      <c r="BD383" s="199"/>
      <c r="BE383" s="199"/>
      <c r="BF383" s="199"/>
      <c r="BG383" s="136"/>
      <c r="BH383" s="199"/>
      <c r="BI383" s="199"/>
      <c r="BJ383" s="199"/>
    </row>
    <row r="384" spans="1:62" x14ac:dyDescent="0.25">
      <c r="A384" s="199"/>
      <c r="B384" s="136"/>
      <c r="C384" s="199"/>
      <c r="D384" s="199"/>
      <c r="E384" s="199"/>
      <c r="F384" s="199"/>
      <c r="G384" s="199"/>
      <c r="H384" s="199"/>
      <c r="I384" s="136"/>
      <c r="J384" s="199"/>
      <c r="K384" s="199"/>
      <c r="L384" s="199"/>
      <c r="M384" s="199"/>
      <c r="N384" s="136"/>
      <c r="O384" s="199"/>
      <c r="P384" s="199"/>
      <c r="Q384" s="199"/>
      <c r="R384" s="199"/>
      <c r="S384" s="136"/>
      <c r="T384" s="199"/>
      <c r="U384" s="199"/>
      <c r="V384" s="199"/>
      <c r="W384" s="199"/>
      <c r="X384" s="136"/>
      <c r="Y384" s="199"/>
      <c r="Z384" s="199"/>
      <c r="AA384" s="199"/>
      <c r="AB384" s="199"/>
      <c r="AC384" s="136"/>
      <c r="AD384" s="199"/>
      <c r="AE384" s="199"/>
      <c r="AF384" s="199"/>
      <c r="AG384" s="199"/>
      <c r="AH384" s="136"/>
      <c r="AI384" s="199"/>
      <c r="AJ384" s="199"/>
      <c r="AK384" s="199"/>
      <c r="AL384" s="199"/>
      <c r="AM384" s="136"/>
      <c r="AN384" s="199"/>
      <c r="AO384" s="199"/>
      <c r="AP384" s="199"/>
      <c r="AQ384" s="199"/>
      <c r="AR384" s="136"/>
      <c r="AS384" s="199"/>
      <c r="AT384" s="199"/>
      <c r="AU384" s="199"/>
      <c r="AV384" s="199"/>
      <c r="AW384" s="136"/>
      <c r="AX384" s="199"/>
      <c r="AY384" s="199"/>
      <c r="AZ384" s="199"/>
      <c r="BA384" s="199"/>
      <c r="BB384" s="136"/>
      <c r="BC384" s="199"/>
      <c r="BD384" s="199"/>
      <c r="BE384" s="199"/>
      <c r="BF384" s="199"/>
      <c r="BG384" s="136"/>
      <c r="BH384" s="199"/>
      <c r="BI384" s="199"/>
      <c r="BJ384" s="199"/>
    </row>
    <row r="385" spans="1:62" x14ac:dyDescent="0.25">
      <c r="A385" s="199"/>
      <c r="B385" s="136"/>
      <c r="C385" s="199"/>
      <c r="D385" s="199"/>
      <c r="E385" s="199"/>
      <c r="F385" s="199"/>
      <c r="G385" s="199"/>
      <c r="H385" s="199"/>
      <c r="I385" s="136"/>
      <c r="J385" s="199"/>
      <c r="K385" s="199"/>
      <c r="L385" s="199"/>
      <c r="M385" s="199"/>
      <c r="N385" s="136"/>
      <c r="O385" s="199"/>
      <c r="P385" s="199"/>
      <c r="Q385" s="199"/>
      <c r="R385" s="199"/>
      <c r="S385" s="136"/>
      <c r="T385" s="199"/>
      <c r="U385" s="199"/>
      <c r="V385" s="199"/>
      <c r="W385" s="199"/>
      <c r="X385" s="136"/>
      <c r="Y385" s="199"/>
      <c r="Z385" s="199"/>
      <c r="AA385" s="199"/>
      <c r="AB385" s="199"/>
      <c r="AC385" s="136"/>
      <c r="AD385" s="199"/>
      <c r="AE385" s="199"/>
      <c r="AF385" s="199"/>
      <c r="AG385" s="199"/>
      <c r="AH385" s="136"/>
      <c r="AI385" s="199"/>
      <c r="AJ385" s="199"/>
      <c r="AK385" s="199"/>
      <c r="AL385" s="199"/>
      <c r="AM385" s="136"/>
      <c r="AN385" s="199"/>
      <c r="AO385" s="199"/>
      <c r="AP385" s="199"/>
      <c r="AQ385" s="199"/>
      <c r="AR385" s="136"/>
      <c r="AS385" s="199"/>
      <c r="AT385" s="199"/>
      <c r="AU385" s="199"/>
      <c r="AV385" s="199"/>
      <c r="AW385" s="136"/>
      <c r="AX385" s="199"/>
      <c r="AY385" s="199"/>
      <c r="AZ385" s="199"/>
      <c r="BA385" s="199"/>
      <c r="BB385" s="136"/>
      <c r="BC385" s="199"/>
      <c r="BD385" s="199"/>
      <c r="BE385" s="199"/>
      <c r="BF385" s="199"/>
      <c r="BG385" s="136"/>
      <c r="BH385" s="199"/>
      <c r="BI385" s="199"/>
      <c r="BJ385" s="199"/>
    </row>
    <row r="389" spans="1:62" ht="36" x14ac:dyDescent="0.25">
      <c r="A389" s="169"/>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row>
    <row r="390" spans="1:62" x14ac:dyDescent="0.25">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row>
    <row r="391" spans="1:62" x14ac:dyDescent="0.25">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row>
    <row r="392" spans="1:62" ht="36" x14ac:dyDescent="0.25">
      <c r="A392" s="169"/>
      <c r="B392" s="169"/>
      <c r="C392" s="169"/>
      <c r="D392" s="169"/>
      <c r="E392" s="169"/>
      <c r="F392" s="169"/>
      <c r="G392" s="169"/>
      <c r="H392" s="169"/>
      <c r="I392" s="169"/>
      <c r="J392" s="169"/>
      <c r="K392" s="169"/>
      <c r="L392" s="169"/>
      <c r="M392" s="169"/>
      <c r="N392" s="169"/>
      <c r="O392" s="169"/>
      <c r="P392" s="169"/>
      <c r="Q392" s="169"/>
      <c r="R392" s="169"/>
      <c r="S392" s="169"/>
      <c r="T392" s="169"/>
      <c r="U392" s="169"/>
      <c r="V392" s="169"/>
      <c r="W392" s="169"/>
      <c r="X392" s="169"/>
      <c r="Y392" s="169"/>
      <c r="Z392" s="169"/>
      <c r="AA392" s="169"/>
      <c r="AB392" s="169"/>
      <c r="AC392" s="169"/>
      <c r="AD392" s="169"/>
      <c r="AE392" s="169"/>
      <c r="AF392" s="169"/>
      <c r="AG392" s="169"/>
      <c r="AH392" s="169"/>
      <c r="AI392" s="169"/>
      <c r="AJ392" s="169"/>
      <c r="AK392" s="169"/>
      <c r="AL392" s="169"/>
      <c r="AM392" s="169"/>
      <c r="AN392" s="169"/>
      <c r="AO392" s="169"/>
      <c r="AP392" s="169"/>
      <c r="AQ392" s="169"/>
      <c r="AR392" s="169"/>
      <c r="AS392" s="169"/>
      <c r="AT392" s="169"/>
      <c r="AU392" s="169"/>
      <c r="AV392" s="169"/>
      <c r="AW392" s="169"/>
      <c r="AX392" s="169"/>
      <c r="AY392" s="169"/>
      <c r="AZ392" s="169"/>
      <c r="BA392" s="169"/>
      <c r="BB392" s="169"/>
      <c r="BC392" s="169"/>
      <c r="BD392" s="169"/>
      <c r="BE392" s="169"/>
      <c r="BF392" s="169"/>
      <c r="BG392" s="169"/>
      <c r="BH392" s="169"/>
      <c r="BI392" s="169"/>
      <c r="BJ392" s="169"/>
    </row>
    <row r="393" spans="1:62" ht="36" x14ac:dyDescent="0.25">
      <c r="A393" s="169"/>
      <c r="B393" s="169"/>
      <c r="C393" s="169"/>
      <c r="D393" s="169"/>
      <c r="E393" s="169"/>
      <c r="F393" s="169"/>
      <c r="G393" s="169"/>
      <c r="H393" s="169"/>
      <c r="I393" s="169"/>
      <c r="J393" s="169"/>
      <c r="K393" s="169"/>
      <c r="L393" s="169"/>
      <c r="M393" s="169"/>
      <c r="N393" s="169"/>
      <c r="O393" s="169"/>
      <c r="P393" s="169"/>
      <c r="Q393" s="169"/>
      <c r="R393" s="169"/>
      <c r="S393" s="169"/>
      <c r="T393" s="169"/>
      <c r="U393" s="169"/>
      <c r="V393" s="169"/>
      <c r="W393" s="169"/>
      <c r="X393" s="169"/>
      <c r="Y393" s="169"/>
      <c r="Z393" s="169"/>
      <c r="AA393" s="169"/>
      <c r="AB393" s="169"/>
      <c r="AC393" s="169"/>
      <c r="AD393" s="169"/>
      <c r="AE393" s="169"/>
      <c r="AF393" s="169"/>
      <c r="AG393" s="169"/>
      <c r="AH393" s="169"/>
      <c r="AI393" s="169"/>
      <c r="AJ393" s="169"/>
      <c r="AK393" s="169"/>
      <c r="AL393" s="169"/>
      <c r="AM393" s="169"/>
      <c r="AN393" s="169"/>
      <c r="AO393" s="169"/>
      <c r="AP393" s="169"/>
      <c r="AQ393" s="169"/>
      <c r="AR393" s="169"/>
      <c r="AS393" s="169"/>
      <c r="AT393" s="169"/>
      <c r="AU393" s="169"/>
      <c r="AV393" s="169"/>
      <c r="AW393" s="169"/>
      <c r="AX393" s="169"/>
      <c r="AY393" s="169"/>
      <c r="AZ393" s="169"/>
      <c r="BA393" s="169"/>
      <c r="BB393" s="169"/>
      <c r="BC393" s="169"/>
      <c r="BD393" s="169"/>
      <c r="BE393" s="169"/>
      <c r="BF393" s="169"/>
      <c r="BG393" s="169"/>
      <c r="BH393" s="169"/>
      <c r="BI393" s="169"/>
      <c r="BJ393" s="169"/>
    </row>
    <row r="394" spans="1:62" ht="36" x14ac:dyDescent="0.25">
      <c r="A394" s="169"/>
      <c r="B394" s="169"/>
      <c r="C394" s="169"/>
      <c r="D394" s="169"/>
      <c r="E394" s="169"/>
      <c r="F394" s="169"/>
      <c r="G394" s="169"/>
      <c r="H394" s="169"/>
      <c r="I394" s="169"/>
      <c r="J394" s="169"/>
      <c r="K394" s="169"/>
      <c r="L394" s="169"/>
      <c r="M394" s="169"/>
      <c r="N394" s="169"/>
      <c r="O394" s="169"/>
      <c r="P394" s="169"/>
      <c r="Q394" s="169"/>
      <c r="R394" s="169"/>
      <c r="S394" s="169"/>
      <c r="T394" s="169"/>
      <c r="U394" s="169"/>
      <c r="V394" s="169"/>
      <c r="W394" s="169"/>
      <c r="X394" s="169"/>
      <c r="Y394" s="169"/>
      <c r="Z394" s="169"/>
      <c r="AA394" s="169"/>
      <c r="AB394" s="169"/>
      <c r="AC394" s="169"/>
      <c r="AD394" s="169"/>
      <c r="AE394" s="169"/>
      <c r="AF394" s="169"/>
      <c r="AG394" s="169"/>
      <c r="AH394" s="169"/>
      <c r="AI394" s="169"/>
      <c r="AJ394" s="169"/>
      <c r="AK394" s="169"/>
      <c r="AL394" s="169"/>
      <c r="AM394" s="169"/>
      <c r="AN394" s="169"/>
      <c r="AO394" s="169"/>
      <c r="AP394" s="169"/>
      <c r="AQ394" s="169"/>
      <c r="AR394" s="169"/>
      <c r="AS394" s="169"/>
      <c r="AT394" s="169"/>
      <c r="AU394" s="169"/>
      <c r="AV394" s="169"/>
      <c r="AW394" s="169"/>
      <c r="AX394" s="169"/>
      <c r="AY394" s="169"/>
      <c r="AZ394" s="169"/>
      <c r="BA394" s="169"/>
      <c r="BB394" s="169"/>
      <c r="BC394" s="169"/>
      <c r="BD394" s="169"/>
      <c r="BE394" s="169"/>
      <c r="BF394" s="169"/>
      <c r="BG394" s="169"/>
      <c r="BH394" s="169"/>
      <c r="BI394" s="169"/>
      <c r="BJ394" s="169"/>
    </row>
    <row r="395" spans="1:62" x14ac:dyDescent="0.25">
      <c r="F395" s="194"/>
      <c r="G395" s="194"/>
    </row>
    <row r="397" spans="1:62" x14ac:dyDescent="0.25">
      <c r="A397" s="199"/>
      <c r="B397" s="136"/>
      <c r="C397" s="199"/>
      <c r="D397" s="199"/>
      <c r="E397" s="199"/>
      <c r="F397" s="199"/>
      <c r="G397" s="199"/>
      <c r="H397" s="199"/>
      <c r="I397" s="136"/>
      <c r="J397" s="199"/>
      <c r="K397" s="199"/>
      <c r="L397" s="199"/>
      <c r="M397" s="199"/>
      <c r="N397" s="136"/>
      <c r="O397" s="199"/>
      <c r="P397" s="199"/>
      <c r="Q397" s="199"/>
      <c r="R397" s="199"/>
      <c r="S397" s="136"/>
      <c r="T397" s="199"/>
      <c r="U397" s="199"/>
      <c r="V397" s="199"/>
      <c r="W397" s="199"/>
      <c r="X397" s="136"/>
      <c r="Y397" s="199"/>
      <c r="Z397" s="199"/>
      <c r="AA397" s="199"/>
      <c r="AB397" s="199"/>
      <c r="AC397" s="136"/>
      <c r="AD397" s="199"/>
      <c r="AE397" s="199"/>
      <c r="AF397" s="199"/>
      <c r="AG397" s="199"/>
      <c r="AH397" s="136"/>
      <c r="AI397" s="199"/>
      <c r="AJ397" s="199"/>
      <c r="AK397" s="199"/>
      <c r="AL397" s="199"/>
      <c r="AM397" s="136"/>
      <c r="AN397" s="199"/>
      <c r="AO397" s="199"/>
      <c r="AP397" s="199"/>
      <c r="AQ397" s="199"/>
      <c r="AR397" s="136"/>
      <c r="AS397" s="199"/>
      <c r="AT397" s="199"/>
      <c r="AU397" s="199"/>
      <c r="AV397" s="199"/>
      <c r="AW397" s="136"/>
      <c r="AX397" s="199"/>
      <c r="AY397" s="199"/>
      <c r="AZ397" s="199"/>
      <c r="BA397" s="199"/>
      <c r="BB397" s="136"/>
      <c r="BC397" s="199"/>
      <c r="BD397" s="199"/>
      <c r="BE397" s="199"/>
      <c r="BF397" s="199"/>
      <c r="BG397" s="136"/>
      <c r="BH397" s="199"/>
      <c r="BI397" s="199"/>
      <c r="BJ397" s="199"/>
    </row>
    <row r="398" spans="1:62" x14ac:dyDescent="0.25">
      <c r="A398" s="199"/>
      <c r="B398" s="136"/>
      <c r="C398" s="199"/>
      <c r="D398" s="199"/>
      <c r="E398" s="199"/>
      <c r="F398" s="199"/>
      <c r="G398" s="199"/>
      <c r="H398" s="199"/>
      <c r="I398" s="136"/>
      <c r="J398" s="199"/>
      <c r="K398" s="199"/>
      <c r="L398" s="199"/>
      <c r="M398" s="199"/>
      <c r="N398" s="136"/>
      <c r="O398" s="199"/>
      <c r="P398" s="199"/>
      <c r="Q398" s="199"/>
      <c r="R398" s="199"/>
      <c r="S398" s="136"/>
      <c r="T398" s="199"/>
      <c r="U398" s="199"/>
      <c r="V398" s="199"/>
      <c r="W398" s="199"/>
      <c r="X398" s="136"/>
      <c r="Y398" s="199"/>
      <c r="Z398" s="199"/>
      <c r="AA398" s="199"/>
      <c r="AB398" s="199"/>
      <c r="AC398" s="136"/>
      <c r="AD398" s="199"/>
      <c r="AE398" s="199"/>
      <c r="AF398" s="199"/>
      <c r="AG398" s="199"/>
      <c r="AH398" s="136"/>
      <c r="AI398" s="199"/>
      <c r="AJ398" s="199"/>
      <c r="AK398" s="199"/>
      <c r="AL398" s="199"/>
      <c r="AM398" s="136"/>
      <c r="AN398" s="199"/>
      <c r="AO398" s="199"/>
      <c r="AP398" s="199"/>
      <c r="AQ398" s="199"/>
      <c r="AR398" s="136"/>
      <c r="AS398" s="199"/>
      <c r="AT398" s="199"/>
      <c r="AU398" s="199"/>
      <c r="AV398" s="199"/>
      <c r="AW398" s="136"/>
      <c r="AX398" s="199"/>
      <c r="AY398" s="199"/>
      <c r="AZ398" s="199"/>
      <c r="BA398" s="199"/>
      <c r="BB398" s="136"/>
      <c r="BC398" s="199"/>
      <c r="BD398" s="199"/>
      <c r="BE398" s="199"/>
      <c r="BF398" s="199"/>
      <c r="BG398" s="136"/>
      <c r="BH398" s="199"/>
      <c r="BI398" s="199"/>
      <c r="BJ398" s="199"/>
    </row>
    <row r="399" spans="1:62" x14ac:dyDescent="0.25">
      <c r="A399" s="199"/>
      <c r="B399" s="136"/>
      <c r="C399" s="199"/>
      <c r="D399" s="199"/>
      <c r="E399" s="199"/>
      <c r="F399" s="199"/>
      <c r="G399" s="199"/>
      <c r="H399" s="199"/>
      <c r="I399" s="136"/>
      <c r="J399" s="199"/>
      <c r="K399" s="199"/>
      <c r="L399" s="199"/>
      <c r="M399" s="199"/>
      <c r="N399" s="136"/>
      <c r="O399" s="199"/>
      <c r="P399" s="199"/>
      <c r="Q399" s="199"/>
      <c r="R399" s="199"/>
      <c r="S399" s="136"/>
      <c r="T399" s="199"/>
      <c r="U399" s="199"/>
      <c r="V399" s="199"/>
      <c r="W399" s="199"/>
      <c r="X399" s="136"/>
      <c r="Y399" s="199"/>
      <c r="Z399" s="199"/>
      <c r="AA399" s="199"/>
      <c r="AB399" s="199"/>
      <c r="AC399" s="136"/>
      <c r="AD399" s="199"/>
      <c r="AE399" s="199"/>
      <c r="AF399" s="199"/>
      <c r="AG399" s="199"/>
      <c r="AH399" s="136"/>
      <c r="AI399" s="199"/>
      <c r="AJ399" s="199"/>
      <c r="AK399" s="199"/>
      <c r="AL399" s="199"/>
      <c r="AM399" s="136"/>
      <c r="AN399" s="199"/>
      <c r="AO399" s="199"/>
      <c r="AP399" s="199"/>
      <c r="AQ399" s="199"/>
      <c r="AR399" s="136"/>
      <c r="AS399" s="199"/>
      <c r="AT399" s="199"/>
      <c r="AU399" s="199"/>
      <c r="AV399" s="199"/>
      <c r="AW399" s="136"/>
      <c r="AX399" s="199"/>
      <c r="AY399" s="199"/>
      <c r="AZ399" s="199"/>
      <c r="BA399" s="199"/>
      <c r="BB399" s="136"/>
      <c r="BC399" s="199"/>
      <c r="BD399" s="199"/>
      <c r="BE399" s="199"/>
      <c r="BF399" s="199"/>
      <c r="BG399" s="136"/>
      <c r="BH399" s="199"/>
      <c r="BI399" s="199"/>
      <c r="BJ399" s="199"/>
    </row>
    <row r="400" spans="1:62" x14ac:dyDescent="0.25">
      <c r="A400" s="199"/>
      <c r="B400" s="136"/>
      <c r="C400" s="199"/>
      <c r="D400" s="199"/>
      <c r="E400" s="199"/>
      <c r="F400" s="199"/>
      <c r="G400" s="199"/>
      <c r="H400" s="199"/>
      <c r="I400" s="136"/>
      <c r="J400" s="199"/>
      <c r="K400" s="199"/>
      <c r="L400" s="199"/>
      <c r="M400" s="199"/>
      <c r="N400" s="136"/>
      <c r="O400" s="199"/>
      <c r="P400" s="199"/>
      <c r="Q400" s="199"/>
      <c r="R400" s="199"/>
      <c r="S400" s="136"/>
      <c r="T400" s="199"/>
      <c r="U400" s="199"/>
      <c r="V400" s="199"/>
      <c r="W400" s="199"/>
      <c r="X400" s="136"/>
      <c r="Y400" s="199"/>
      <c r="Z400" s="199"/>
      <c r="AA400" s="199"/>
      <c r="AB400" s="199"/>
      <c r="AC400" s="136"/>
      <c r="AD400" s="199"/>
      <c r="AE400" s="199"/>
      <c r="AF400" s="199"/>
      <c r="AG400" s="199"/>
      <c r="AH400" s="136"/>
      <c r="AI400" s="199"/>
      <c r="AJ400" s="199"/>
      <c r="AK400" s="199"/>
      <c r="AL400" s="199"/>
      <c r="AM400" s="136"/>
      <c r="AN400" s="199"/>
      <c r="AO400" s="199"/>
      <c r="AP400" s="199"/>
      <c r="AQ400" s="199"/>
      <c r="AR400" s="136"/>
      <c r="AS400" s="199"/>
      <c r="AT400" s="199"/>
      <c r="AU400" s="199"/>
      <c r="AV400" s="199"/>
      <c r="AW400" s="136"/>
      <c r="AX400" s="199"/>
      <c r="AY400" s="199"/>
      <c r="AZ400" s="199"/>
      <c r="BA400" s="199"/>
      <c r="BB400" s="136"/>
      <c r="BC400" s="199"/>
      <c r="BD400" s="199"/>
      <c r="BE400" s="199"/>
      <c r="BF400" s="199"/>
      <c r="BG400" s="136"/>
      <c r="BH400" s="199"/>
      <c r="BI400" s="199"/>
      <c r="BJ400" s="199"/>
    </row>
    <row r="401" spans="1:62" x14ac:dyDescent="0.25">
      <c r="A401" s="199"/>
      <c r="B401" s="136"/>
      <c r="C401" s="199"/>
      <c r="D401" s="199"/>
      <c r="E401" s="199"/>
      <c r="F401" s="199"/>
      <c r="G401" s="199"/>
      <c r="H401" s="199"/>
      <c r="I401" s="136"/>
      <c r="J401" s="199"/>
      <c r="K401" s="199"/>
      <c r="L401" s="199"/>
      <c r="M401" s="199"/>
      <c r="N401" s="136"/>
      <c r="O401" s="199"/>
      <c r="P401" s="199"/>
      <c r="Q401" s="199"/>
      <c r="R401" s="199"/>
      <c r="S401" s="136"/>
      <c r="T401" s="199"/>
      <c r="U401" s="199"/>
      <c r="V401" s="199"/>
      <c r="W401" s="199"/>
      <c r="X401" s="136"/>
      <c r="Y401" s="199"/>
      <c r="Z401" s="199"/>
      <c r="AA401" s="199"/>
      <c r="AB401" s="199"/>
      <c r="AC401" s="136"/>
      <c r="AD401" s="199"/>
      <c r="AE401" s="199"/>
      <c r="AF401" s="199"/>
      <c r="AG401" s="199"/>
      <c r="AH401" s="136"/>
      <c r="AI401" s="199"/>
      <c r="AJ401" s="199"/>
      <c r="AK401" s="199"/>
      <c r="AL401" s="199"/>
      <c r="AM401" s="136"/>
      <c r="AN401" s="199"/>
      <c r="AO401" s="199"/>
      <c r="AP401" s="199"/>
      <c r="AQ401" s="199"/>
      <c r="AR401" s="136"/>
      <c r="AS401" s="199"/>
      <c r="AT401" s="199"/>
      <c r="AU401" s="199"/>
      <c r="AV401" s="199"/>
      <c r="AW401" s="136"/>
      <c r="AX401" s="199"/>
      <c r="AY401" s="199"/>
      <c r="AZ401" s="199"/>
      <c r="BA401" s="199"/>
      <c r="BB401" s="136"/>
      <c r="BC401" s="199"/>
      <c r="BD401" s="199"/>
      <c r="BE401" s="199"/>
      <c r="BF401" s="199"/>
      <c r="BG401" s="136"/>
      <c r="BH401" s="199"/>
      <c r="BI401" s="199"/>
      <c r="BJ401" s="199"/>
    </row>
    <row r="402" spans="1:62" x14ac:dyDescent="0.25">
      <c r="A402" s="199"/>
      <c r="B402" s="136"/>
      <c r="C402" s="199"/>
      <c r="D402" s="199"/>
      <c r="E402" s="199"/>
      <c r="F402" s="199"/>
      <c r="G402" s="199"/>
      <c r="H402" s="199"/>
      <c r="I402" s="136"/>
      <c r="J402" s="199"/>
      <c r="K402" s="199"/>
      <c r="L402" s="199"/>
      <c r="M402" s="199"/>
      <c r="N402" s="136"/>
      <c r="O402" s="199"/>
      <c r="P402" s="199"/>
      <c r="Q402" s="199"/>
      <c r="R402" s="199"/>
      <c r="S402" s="136"/>
      <c r="T402" s="199"/>
      <c r="U402" s="199"/>
      <c r="V402" s="199"/>
      <c r="W402" s="199"/>
      <c r="X402" s="136"/>
      <c r="Y402" s="199"/>
      <c r="Z402" s="199"/>
      <c r="AA402" s="199"/>
      <c r="AB402" s="199"/>
      <c r="AC402" s="136"/>
      <c r="AD402" s="199"/>
      <c r="AE402" s="199"/>
      <c r="AF402" s="199"/>
      <c r="AG402" s="199"/>
      <c r="AH402" s="136"/>
      <c r="AI402" s="199"/>
      <c r="AJ402" s="199"/>
      <c r="AK402" s="199"/>
      <c r="AL402" s="199"/>
      <c r="AM402" s="136"/>
      <c r="AN402" s="199"/>
      <c r="AO402" s="199"/>
      <c r="AP402" s="199"/>
      <c r="AQ402" s="199"/>
      <c r="AR402" s="136"/>
      <c r="AS402" s="199"/>
      <c r="AT402" s="199"/>
      <c r="AU402" s="199"/>
      <c r="AV402" s="199"/>
      <c r="AW402" s="136"/>
      <c r="AX402" s="199"/>
      <c r="AY402" s="199"/>
      <c r="AZ402" s="199"/>
      <c r="BA402" s="199"/>
      <c r="BB402" s="136"/>
      <c r="BC402" s="199"/>
      <c r="BD402" s="199"/>
      <c r="BE402" s="199"/>
      <c r="BF402" s="199"/>
      <c r="BG402" s="136"/>
      <c r="BH402" s="199"/>
      <c r="BI402" s="199"/>
      <c r="BJ402" s="199"/>
    </row>
    <row r="403" spans="1:62" x14ac:dyDescent="0.25">
      <c r="A403" s="199"/>
      <c r="B403" s="136"/>
      <c r="C403" s="199"/>
      <c r="D403" s="199"/>
      <c r="E403" s="199"/>
      <c r="F403" s="199"/>
      <c r="G403" s="199"/>
      <c r="H403" s="199"/>
      <c r="I403" s="136"/>
      <c r="J403" s="199"/>
      <c r="K403" s="199"/>
      <c r="L403" s="199"/>
      <c r="M403" s="199"/>
      <c r="N403" s="136"/>
      <c r="O403" s="199"/>
      <c r="P403" s="199"/>
      <c r="Q403" s="199"/>
      <c r="R403" s="199"/>
      <c r="S403" s="136"/>
      <c r="T403" s="199"/>
      <c r="U403" s="199"/>
      <c r="V403" s="199"/>
      <c r="W403" s="199"/>
      <c r="X403" s="136"/>
      <c r="Y403" s="199"/>
      <c r="Z403" s="199"/>
      <c r="AA403" s="199"/>
      <c r="AB403" s="199"/>
      <c r="AC403" s="136"/>
      <c r="AD403" s="199"/>
      <c r="AE403" s="199"/>
      <c r="AF403" s="199"/>
      <c r="AG403" s="199"/>
      <c r="AH403" s="136"/>
      <c r="AI403" s="199"/>
      <c r="AJ403" s="199"/>
      <c r="AK403" s="199"/>
      <c r="AL403" s="199"/>
      <c r="AM403" s="136"/>
      <c r="AN403" s="199"/>
      <c r="AO403" s="199"/>
      <c r="AP403" s="199"/>
      <c r="AQ403" s="199"/>
      <c r="AR403" s="136"/>
      <c r="AS403" s="199"/>
      <c r="AT403" s="199"/>
      <c r="AU403" s="199"/>
      <c r="AV403" s="199"/>
      <c r="AW403" s="136"/>
      <c r="AX403" s="199"/>
      <c r="AY403" s="199"/>
      <c r="AZ403" s="199"/>
      <c r="BA403" s="199"/>
      <c r="BB403" s="136"/>
      <c r="BC403" s="199"/>
      <c r="BD403" s="199"/>
      <c r="BE403" s="199"/>
      <c r="BF403" s="199"/>
      <c r="BG403" s="136"/>
      <c r="BH403" s="199"/>
      <c r="BI403" s="199"/>
      <c r="BJ403" s="199"/>
    </row>
    <row r="404" spans="1:62" x14ac:dyDescent="0.25">
      <c r="A404" s="199"/>
      <c r="B404" s="136"/>
      <c r="C404" s="199"/>
      <c r="D404" s="199"/>
      <c r="E404" s="199"/>
      <c r="F404" s="199"/>
      <c r="G404" s="199"/>
      <c r="H404" s="199"/>
      <c r="I404" s="136"/>
      <c r="J404" s="199"/>
      <c r="K404" s="199"/>
      <c r="L404" s="199"/>
      <c r="M404" s="199"/>
      <c r="N404" s="136"/>
      <c r="O404" s="199"/>
      <c r="P404" s="199"/>
      <c r="Q404" s="199"/>
      <c r="R404" s="199"/>
      <c r="S404" s="136"/>
      <c r="T404" s="199"/>
      <c r="U404" s="199"/>
      <c r="V404" s="199"/>
      <c r="W404" s="199"/>
      <c r="X404" s="136"/>
      <c r="Y404" s="199"/>
      <c r="Z404" s="199"/>
      <c r="AA404" s="199"/>
      <c r="AB404" s="199"/>
      <c r="AC404" s="136"/>
      <c r="AD404" s="199"/>
      <c r="AE404" s="199"/>
      <c r="AF404" s="199"/>
      <c r="AG404" s="199"/>
      <c r="AH404" s="136"/>
      <c r="AI404" s="199"/>
      <c r="AJ404" s="199"/>
      <c r="AK404" s="199"/>
      <c r="AL404" s="199"/>
      <c r="AM404" s="136"/>
      <c r="AN404" s="199"/>
      <c r="AO404" s="199"/>
      <c r="AP404" s="199"/>
      <c r="AQ404" s="199"/>
      <c r="AR404" s="136"/>
      <c r="AS404" s="199"/>
      <c r="AT404" s="199"/>
      <c r="AU404" s="199"/>
      <c r="AV404" s="199"/>
      <c r="AW404" s="136"/>
      <c r="AX404" s="199"/>
      <c r="AY404" s="199"/>
      <c r="AZ404" s="199"/>
      <c r="BA404" s="199"/>
      <c r="BB404" s="136"/>
      <c r="BC404" s="199"/>
      <c r="BD404" s="199"/>
      <c r="BE404" s="199"/>
      <c r="BF404" s="199"/>
      <c r="BG404" s="136"/>
      <c r="BH404" s="199"/>
      <c r="BI404" s="199"/>
      <c r="BJ404" s="199"/>
    </row>
    <row r="408" spans="1:62" ht="36" x14ac:dyDescent="0.25">
      <c r="A408" s="169"/>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row>
    <row r="409" spans="1:62" x14ac:dyDescent="0.25">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row>
    <row r="410" spans="1:62" x14ac:dyDescent="0.25">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row>
    <row r="411" spans="1:62" ht="36" x14ac:dyDescent="0.25">
      <c r="A411" s="169"/>
      <c r="B411" s="169"/>
      <c r="C411" s="169"/>
      <c r="D411" s="169"/>
      <c r="E411" s="169"/>
      <c r="F411" s="169"/>
      <c r="G411" s="169"/>
      <c r="H411" s="169"/>
      <c r="I411" s="169"/>
      <c r="J411" s="169"/>
      <c r="K411" s="169"/>
      <c r="L411" s="169"/>
      <c r="M411" s="169"/>
      <c r="N411" s="169"/>
      <c r="O411" s="169"/>
      <c r="P411" s="169"/>
      <c r="Q411" s="169"/>
      <c r="R411" s="169"/>
      <c r="S411" s="169"/>
      <c r="T411" s="169"/>
      <c r="U411" s="169"/>
      <c r="V411" s="169"/>
      <c r="W411" s="169"/>
      <c r="X411" s="169"/>
      <c r="Y411" s="169"/>
      <c r="Z411" s="169"/>
      <c r="AA411" s="169"/>
      <c r="AB411" s="169"/>
      <c r="AC411" s="169"/>
      <c r="AD411" s="169"/>
      <c r="AE411" s="169"/>
      <c r="AF411" s="169"/>
      <c r="AG411" s="169"/>
      <c r="AH411" s="169"/>
      <c r="AI411" s="169"/>
      <c r="AJ411" s="169"/>
      <c r="AK411" s="169"/>
      <c r="AL411" s="169"/>
      <c r="AM411" s="169"/>
      <c r="AN411" s="169"/>
      <c r="AO411" s="169"/>
      <c r="AP411" s="169"/>
      <c r="AQ411" s="169"/>
      <c r="AR411" s="169"/>
      <c r="AS411" s="169"/>
      <c r="AT411" s="169"/>
      <c r="AU411" s="169"/>
      <c r="AV411" s="169"/>
      <c r="AW411" s="169"/>
      <c r="AX411" s="169"/>
      <c r="AY411" s="169"/>
      <c r="AZ411" s="169"/>
      <c r="BA411" s="169"/>
      <c r="BB411" s="169"/>
      <c r="BC411" s="169"/>
      <c r="BD411" s="169"/>
      <c r="BE411" s="169"/>
      <c r="BF411" s="169"/>
      <c r="BG411" s="169"/>
      <c r="BH411" s="169"/>
      <c r="BI411" s="169"/>
      <c r="BJ411" s="169"/>
    </row>
    <row r="412" spans="1:62" ht="36" x14ac:dyDescent="0.25">
      <c r="A412" s="169"/>
      <c r="B412" s="169"/>
      <c r="C412" s="169"/>
      <c r="D412" s="169"/>
      <c r="E412" s="169"/>
      <c r="F412" s="169"/>
      <c r="G412" s="169"/>
      <c r="H412" s="169"/>
      <c r="I412" s="169"/>
      <c r="J412" s="169"/>
      <c r="K412" s="169"/>
      <c r="L412" s="169"/>
      <c r="M412" s="169"/>
      <c r="N412" s="169"/>
      <c r="O412" s="169"/>
      <c r="P412" s="169"/>
      <c r="Q412" s="169"/>
      <c r="R412" s="169"/>
      <c r="S412" s="169"/>
      <c r="T412" s="169"/>
      <c r="U412" s="169"/>
      <c r="V412" s="169"/>
      <c r="W412" s="169"/>
      <c r="X412" s="169"/>
      <c r="Y412" s="169"/>
      <c r="Z412" s="169"/>
      <c r="AA412" s="169"/>
      <c r="AB412" s="169"/>
      <c r="AC412" s="169"/>
      <c r="AD412" s="169"/>
      <c r="AE412" s="169"/>
      <c r="AF412" s="169"/>
      <c r="AG412" s="169"/>
      <c r="AH412" s="169"/>
      <c r="AI412" s="169"/>
      <c r="AJ412" s="169"/>
      <c r="AK412" s="169"/>
      <c r="AL412" s="169"/>
      <c r="AM412" s="169"/>
      <c r="AN412" s="169"/>
      <c r="AO412" s="169"/>
      <c r="AP412" s="169"/>
      <c r="AQ412" s="169"/>
      <c r="AR412" s="169"/>
      <c r="AS412" s="169"/>
      <c r="AT412" s="169"/>
      <c r="AU412" s="169"/>
      <c r="AV412" s="169"/>
      <c r="AW412" s="169"/>
      <c r="AX412" s="169"/>
      <c r="AY412" s="169"/>
      <c r="AZ412" s="169"/>
      <c r="BA412" s="169"/>
      <c r="BB412" s="169"/>
      <c r="BC412" s="169"/>
      <c r="BD412" s="169"/>
      <c r="BE412" s="169"/>
      <c r="BF412" s="169"/>
      <c r="BG412" s="169"/>
      <c r="BH412" s="169"/>
      <c r="BI412" s="169"/>
      <c r="BJ412" s="169"/>
    </row>
    <row r="413" spans="1:62" ht="36" x14ac:dyDescent="0.25">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c r="AA413" s="169"/>
      <c r="AB413" s="169"/>
      <c r="AC413" s="169"/>
      <c r="AD413" s="169"/>
      <c r="AE413" s="169"/>
      <c r="AF413" s="169"/>
      <c r="AG413" s="169"/>
      <c r="AH413" s="169"/>
      <c r="AI413" s="169"/>
      <c r="AJ413" s="169"/>
      <c r="AK413" s="169"/>
      <c r="AL413" s="169"/>
      <c r="AM413" s="169"/>
      <c r="AN413" s="169"/>
      <c r="AO413" s="169"/>
      <c r="AP413" s="169"/>
      <c r="AQ413" s="169"/>
      <c r="AR413" s="169"/>
      <c r="AS413" s="169"/>
      <c r="AT413" s="169"/>
      <c r="AU413" s="169"/>
      <c r="AV413" s="169"/>
      <c r="AW413" s="169"/>
      <c r="AX413" s="169"/>
      <c r="AY413" s="169"/>
      <c r="AZ413" s="169"/>
      <c r="BA413" s="169"/>
      <c r="BB413" s="169"/>
      <c r="BC413" s="169"/>
      <c r="BD413" s="169"/>
      <c r="BE413" s="169"/>
      <c r="BF413" s="169"/>
      <c r="BG413" s="169"/>
      <c r="BH413" s="169"/>
      <c r="BI413" s="169"/>
      <c r="BJ413" s="169"/>
    </row>
    <row r="414" spans="1:62" x14ac:dyDescent="0.25">
      <c r="F414" s="194"/>
      <c r="G414" s="194"/>
    </row>
    <row r="416" spans="1:62" x14ac:dyDescent="0.25">
      <c r="A416" s="199"/>
      <c r="B416" s="136"/>
      <c r="C416" s="199"/>
      <c r="D416" s="199"/>
      <c r="E416" s="199"/>
      <c r="F416" s="199"/>
      <c r="G416" s="199"/>
      <c r="H416" s="199"/>
      <c r="I416" s="136"/>
      <c r="J416" s="199"/>
      <c r="K416" s="199"/>
      <c r="L416" s="199"/>
      <c r="M416" s="199"/>
      <c r="N416" s="136"/>
      <c r="O416" s="199"/>
      <c r="P416" s="199"/>
      <c r="Q416" s="199"/>
      <c r="R416" s="199"/>
      <c r="S416" s="136"/>
      <c r="T416" s="199"/>
      <c r="U416" s="199"/>
      <c r="V416" s="199"/>
      <c r="W416" s="199"/>
      <c r="X416" s="136"/>
      <c r="Y416" s="199"/>
      <c r="Z416" s="199"/>
      <c r="AA416" s="199"/>
      <c r="AB416" s="199"/>
      <c r="AC416" s="136"/>
      <c r="AD416" s="199"/>
      <c r="AE416" s="199"/>
      <c r="AF416" s="199"/>
      <c r="AG416" s="199"/>
      <c r="AH416" s="136"/>
      <c r="AI416" s="199"/>
      <c r="AJ416" s="199"/>
      <c r="AK416" s="199"/>
      <c r="AL416" s="199"/>
      <c r="AM416" s="136"/>
      <c r="AN416" s="199"/>
      <c r="AO416" s="199"/>
      <c r="AP416" s="199"/>
      <c r="AQ416" s="199"/>
      <c r="AR416" s="136"/>
      <c r="AS416" s="199"/>
      <c r="AT416" s="199"/>
      <c r="AU416" s="199"/>
      <c r="AV416" s="199"/>
      <c r="AW416" s="136"/>
      <c r="AX416" s="199"/>
      <c r="AY416" s="199"/>
      <c r="AZ416" s="199"/>
      <c r="BA416" s="199"/>
      <c r="BB416" s="136"/>
      <c r="BC416" s="199"/>
      <c r="BD416" s="199"/>
      <c r="BE416" s="199"/>
      <c r="BF416" s="199"/>
      <c r="BG416" s="136"/>
      <c r="BH416" s="199"/>
      <c r="BI416" s="199"/>
      <c r="BJ416" s="199"/>
    </row>
    <row r="417" spans="1:62" x14ac:dyDescent="0.25">
      <c r="A417" s="199"/>
      <c r="B417" s="136"/>
      <c r="C417" s="199"/>
      <c r="D417" s="199"/>
      <c r="E417" s="199"/>
      <c r="F417" s="199"/>
      <c r="G417" s="199"/>
      <c r="H417" s="199"/>
      <c r="I417" s="136"/>
      <c r="J417" s="199"/>
      <c r="K417" s="199"/>
      <c r="L417" s="199"/>
      <c r="M417" s="199"/>
      <c r="N417" s="136"/>
      <c r="O417" s="199"/>
      <c r="P417" s="199"/>
      <c r="Q417" s="199"/>
      <c r="R417" s="199"/>
      <c r="S417" s="136"/>
      <c r="T417" s="199"/>
      <c r="U417" s="199"/>
      <c r="V417" s="199"/>
      <c r="W417" s="199"/>
      <c r="X417" s="136"/>
      <c r="Y417" s="199"/>
      <c r="Z417" s="199"/>
      <c r="AA417" s="199"/>
      <c r="AB417" s="199"/>
      <c r="AC417" s="136"/>
      <c r="AD417" s="199"/>
      <c r="AE417" s="199"/>
      <c r="AF417" s="199"/>
      <c r="AG417" s="199"/>
      <c r="AH417" s="136"/>
      <c r="AI417" s="199"/>
      <c r="AJ417" s="199"/>
      <c r="AK417" s="199"/>
      <c r="AL417" s="199"/>
      <c r="AM417" s="136"/>
      <c r="AN417" s="199"/>
      <c r="AO417" s="199"/>
      <c r="AP417" s="199"/>
      <c r="AQ417" s="199"/>
      <c r="AR417" s="136"/>
      <c r="AS417" s="199"/>
      <c r="AT417" s="199"/>
      <c r="AU417" s="199"/>
      <c r="AV417" s="199"/>
      <c r="AW417" s="136"/>
      <c r="AX417" s="199"/>
      <c r="AY417" s="199"/>
      <c r="AZ417" s="199"/>
      <c r="BA417" s="199"/>
      <c r="BB417" s="136"/>
      <c r="BC417" s="199"/>
      <c r="BD417" s="199"/>
      <c r="BE417" s="199"/>
      <c r="BF417" s="199"/>
      <c r="BG417" s="136"/>
      <c r="BH417" s="199"/>
      <c r="BI417" s="199"/>
      <c r="BJ417" s="199"/>
    </row>
    <row r="418" spans="1:62" x14ac:dyDescent="0.25">
      <c r="A418" s="199"/>
      <c r="B418" s="136"/>
      <c r="C418" s="199"/>
      <c r="D418" s="199"/>
      <c r="E418" s="199"/>
      <c r="F418" s="199"/>
      <c r="G418" s="199"/>
      <c r="H418" s="199"/>
      <c r="I418" s="136"/>
      <c r="J418" s="199"/>
      <c r="K418" s="199"/>
      <c r="L418" s="199"/>
      <c r="M418" s="199"/>
      <c r="N418" s="136"/>
      <c r="O418" s="199"/>
      <c r="P418" s="199"/>
      <c r="Q418" s="199"/>
      <c r="R418" s="199"/>
      <c r="S418" s="136"/>
      <c r="T418" s="199"/>
      <c r="U418" s="199"/>
      <c r="V418" s="199"/>
      <c r="W418" s="199"/>
      <c r="X418" s="136"/>
      <c r="Y418" s="199"/>
      <c r="Z418" s="199"/>
      <c r="AA418" s="199"/>
      <c r="AB418" s="199"/>
      <c r="AC418" s="136"/>
      <c r="AD418" s="199"/>
      <c r="AE418" s="199"/>
      <c r="AF418" s="199"/>
      <c r="AG418" s="199"/>
      <c r="AH418" s="136"/>
      <c r="AI418" s="199"/>
      <c r="AJ418" s="199"/>
      <c r="AK418" s="199"/>
      <c r="AL418" s="199"/>
      <c r="AM418" s="136"/>
      <c r="AN418" s="199"/>
      <c r="AO418" s="199"/>
      <c r="AP418" s="199"/>
      <c r="AQ418" s="199"/>
      <c r="AR418" s="136"/>
      <c r="AS418" s="199"/>
      <c r="AT418" s="199"/>
      <c r="AU418" s="199"/>
      <c r="AV418" s="199"/>
      <c r="AW418" s="136"/>
      <c r="AX418" s="199"/>
      <c r="AY418" s="199"/>
      <c r="AZ418" s="199"/>
      <c r="BA418" s="199"/>
      <c r="BB418" s="136"/>
      <c r="BC418" s="199"/>
      <c r="BD418" s="199"/>
      <c r="BE418" s="199"/>
      <c r="BF418" s="199"/>
      <c r="BG418" s="136"/>
      <c r="BH418" s="199"/>
      <c r="BI418" s="199"/>
      <c r="BJ418" s="199"/>
    </row>
    <row r="419" spans="1:62" x14ac:dyDescent="0.25">
      <c r="A419" s="199"/>
      <c r="B419" s="136"/>
      <c r="C419" s="199"/>
      <c r="D419" s="199"/>
      <c r="E419" s="199"/>
      <c r="F419" s="199"/>
      <c r="G419" s="199"/>
      <c r="H419" s="199"/>
      <c r="I419" s="136"/>
      <c r="J419" s="199"/>
      <c r="K419" s="199"/>
      <c r="L419" s="199"/>
      <c r="M419" s="199"/>
      <c r="N419" s="136"/>
      <c r="O419" s="199"/>
      <c r="P419" s="199"/>
      <c r="Q419" s="199"/>
      <c r="R419" s="199"/>
      <c r="S419" s="136"/>
      <c r="T419" s="199"/>
      <c r="U419" s="199"/>
      <c r="V419" s="199"/>
      <c r="W419" s="199"/>
      <c r="X419" s="136"/>
      <c r="Y419" s="199"/>
      <c r="Z419" s="199"/>
      <c r="AA419" s="199"/>
      <c r="AB419" s="199"/>
      <c r="AC419" s="136"/>
      <c r="AD419" s="199"/>
      <c r="AE419" s="199"/>
      <c r="AF419" s="199"/>
      <c r="AG419" s="199"/>
      <c r="AH419" s="136"/>
      <c r="AI419" s="199"/>
      <c r="AJ419" s="199"/>
      <c r="AK419" s="199"/>
      <c r="AL419" s="199"/>
      <c r="AM419" s="136"/>
      <c r="AN419" s="199"/>
      <c r="AO419" s="199"/>
      <c r="AP419" s="199"/>
      <c r="AQ419" s="199"/>
      <c r="AR419" s="136"/>
      <c r="AS419" s="199"/>
      <c r="AT419" s="199"/>
      <c r="AU419" s="199"/>
      <c r="AV419" s="199"/>
      <c r="AW419" s="136"/>
      <c r="AX419" s="199"/>
      <c r="AY419" s="199"/>
      <c r="AZ419" s="199"/>
      <c r="BA419" s="199"/>
      <c r="BB419" s="136"/>
      <c r="BC419" s="199"/>
      <c r="BD419" s="199"/>
      <c r="BE419" s="199"/>
      <c r="BF419" s="199"/>
      <c r="BG419" s="136"/>
      <c r="BH419" s="199"/>
      <c r="BI419" s="199"/>
      <c r="BJ419" s="199"/>
    </row>
    <row r="420" spans="1:62" x14ac:dyDescent="0.25">
      <c r="A420" s="199"/>
      <c r="B420" s="136"/>
      <c r="C420" s="199"/>
      <c r="D420" s="199"/>
      <c r="E420" s="199"/>
      <c r="F420" s="199"/>
      <c r="G420" s="199"/>
      <c r="H420" s="199"/>
      <c r="I420" s="136"/>
      <c r="J420" s="199"/>
      <c r="K420" s="199"/>
      <c r="L420" s="199"/>
      <c r="M420" s="199"/>
      <c r="N420" s="136"/>
      <c r="O420" s="199"/>
      <c r="P420" s="199"/>
      <c r="Q420" s="199"/>
      <c r="R420" s="199"/>
      <c r="S420" s="136"/>
      <c r="T420" s="199"/>
      <c r="U420" s="199"/>
      <c r="V420" s="199"/>
      <c r="W420" s="199"/>
      <c r="X420" s="136"/>
      <c r="Y420" s="199"/>
      <c r="Z420" s="199"/>
      <c r="AA420" s="199"/>
      <c r="AB420" s="199"/>
      <c r="AC420" s="136"/>
      <c r="AD420" s="199"/>
      <c r="AE420" s="199"/>
      <c r="AF420" s="199"/>
      <c r="AG420" s="199"/>
      <c r="AH420" s="136"/>
      <c r="AI420" s="199"/>
      <c r="AJ420" s="199"/>
      <c r="AK420" s="199"/>
      <c r="AL420" s="199"/>
      <c r="AM420" s="136"/>
      <c r="AN420" s="199"/>
      <c r="AO420" s="199"/>
      <c r="AP420" s="199"/>
      <c r="AQ420" s="199"/>
      <c r="AR420" s="136"/>
      <c r="AS420" s="199"/>
      <c r="AT420" s="199"/>
      <c r="AU420" s="199"/>
      <c r="AV420" s="199"/>
      <c r="AW420" s="136"/>
      <c r="AX420" s="199"/>
      <c r="AY420" s="199"/>
      <c r="AZ420" s="199"/>
      <c r="BA420" s="199"/>
      <c r="BB420" s="136"/>
      <c r="BC420" s="199"/>
      <c r="BD420" s="199"/>
      <c r="BE420" s="199"/>
      <c r="BF420" s="199"/>
      <c r="BG420" s="136"/>
      <c r="BH420" s="199"/>
      <c r="BI420" s="199"/>
      <c r="BJ420" s="199"/>
    </row>
    <row r="421" spans="1:62" x14ac:dyDescent="0.25">
      <c r="A421" s="199"/>
      <c r="B421" s="136"/>
      <c r="C421" s="199"/>
      <c r="D421" s="199"/>
      <c r="E421" s="199"/>
      <c r="F421" s="199"/>
      <c r="G421" s="199"/>
      <c r="H421" s="199"/>
      <c r="I421" s="136"/>
      <c r="J421" s="199"/>
      <c r="K421" s="199"/>
      <c r="L421" s="199"/>
      <c r="M421" s="199"/>
      <c r="N421" s="136"/>
      <c r="O421" s="199"/>
      <c r="P421" s="199"/>
      <c r="Q421" s="199"/>
      <c r="R421" s="199"/>
      <c r="S421" s="136"/>
      <c r="T421" s="199"/>
      <c r="U421" s="199"/>
      <c r="V421" s="199"/>
      <c r="W421" s="199"/>
      <c r="X421" s="136"/>
      <c r="Y421" s="199"/>
      <c r="Z421" s="199"/>
      <c r="AA421" s="199"/>
      <c r="AB421" s="199"/>
      <c r="AC421" s="136"/>
      <c r="AD421" s="199"/>
      <c r="AE421" s="199"/>
      <c r="AF421" s="199"/>
      <c r="AG421" s="199"/>
      <c r="AH421" s="136"/>
      <c r="AI421" s="199"/>
      <c r="AJ421" s="199"/>
      <c r="AK421" s="199"/>
      <c r="AL421" s="199"/>
      <c r="AM421" s="136"/>
      <c r="AN421" s="199"/>
      <c r="AO421" s="199"/>
      <c r="AP421" s="199"/>
      <c r="AQ421" s="199"/>
      <c r="AR421" s="136"/>
      <c r="AS421" s="199"/>
      <c r="AT421" s="199"/>
      <c r="AU421" s="199"/>
      <c r="AV421" s="199"/>
      <c r="AW421" s="136"/>
      <c r="AX421" s="199"/>
      <c r="AY421" s="199"/>
      <c r="AZ421" s="199"/>
      <c r="BA421" s="199"/>
      <c r="BB421" s="136"/>
      <c r="BC421" s="199"/>
      <c r="BD421" s="199"/>
      <c r="BE421" s="199"/>
      <c r="BF421" s="199"/>
      <c r="BG421" s="136"/>
      <c r="BH421" s="199"/>
      <c r="BI421" s="199"/>
      <c r="BJ421" s="199"/>
    </row>
    <row r="422" spans="1:62" x14ac:dyDescent="0.25">
      <c r="A422" s="199"/>
      <c r="B422" s="136"/>
      <c r="C422" s="199"/>
      <c r="D422" s="199"/>
      <c r="E422" s="199"/>
      <c r="F422" s="199"/>
      <c r="G422" s="199"/>
      <c r="H422" s="199"/>
      <c r="I422" s="136"/>
      <c r="J422" s="199"/>
      <c r="K422" s="199"/>
      <c r="L422" s="199"/>
      <c r="M422" s="199"/>
      <c r="N422" s="136"/>
      <c r="O422" s="199"/>
      <c r="P422" s="199"/>
      <c r="Q422" s="199"/>
      <c r="R422" s="199"/>
      <c r="S422" s="136"/>
      <c r="T422" s="199"/>
      <c r="U422" s="199"/>
      <c r="V422" s="199"/>
      <c r="W422" s="199"/>
      <c r="X422" s="136"/>
      <c r="Y422" s="199"/>
      <c r="Z422" s="199"/>
      <c r="AA422" s="199"/>
      <c r="AB422" s="199"/>
      <c r="AC422" s="136"/>
      <c r="AD422" s="199"/>
      <c r="AE422" s="199"/>
      <c r="AF422" s="199"/>
      <c r="AG422" s="199"/>
      <c r="AH422" s="136"/>
      <c r="AI422" s="199"/>
      <c r="AJ422" s="199"/>
      <c r="AK422" s="199"/>
      <c r="AL422" s="199"/>
      <c r="AM422" s="136"/>
      <c r="AN422" s="199"/>
      <c r="AO422" s="199"/>
      <c r="AP422" s="199"/>
      <c r="AQ422" s="199"/>
      <c r="AR422" s="136"/>
      <c r="AS422" s="199"/>
      <c r="AT422" s="199"/>
      <c r="AU422" s="199"/>
      <c r="AV422" s="199"/>
      <c r="AW422" s="136"/>
      <c r="AX422" s="199"/>
      <c r="AY422" s="199"/>
      <c r="AZ422" s="199"/>
      <c r="BA422" s="199"/>
      <c r="BB422" s="136"/>
      <c r="BC422" s="199"/>
      <c r="BD422" s="199"/>
      <c r="BE422" s="199"/>
      <c r="BF422" s="199"/>
      <c r="BG422" s="136"/>
      <c r="BH422" s="199"/>
      <c r="BI422" s="199"/>
      <c r="BJ422" s="199"/>
    </row>
    <row r="423" spans="1:62" x14ac:dyDescent="0.25">
      <c r="A423" s="199"/>
      <c r="B423" s="136"/>
      <c r="C423" s="199"/>
      <c r="D423" s="199"/>
      <c r="E423" s="199"/>
      <c r="F423" s="199"/>
      <c r="G423" s="199"/>
      <c r="H423" s="199"/>
      <c r="I423" s="136"/>
      <c r="J423" s="199"/>
      <c r="K423" s="199"/>
      <c r="L423" s="199"/>
      <c r="M423" s="199"/>
      <c r="N423" s="136"/>
      <c r="O423" s="199"/>
      <c r="P423" s="199"/>
      <c r="Q423" s="199"/>
      <c r="R423" s="199"/>
      <c r="S423" s="136"/>
      <c r="T423" s="199"/>
      <c r="U423" s="199"/>
      <c r="V423" s="199"/>
      <c r="W423" s="199"/>
      <c r="X423" s="136"/>
      <c r="Y423" s="199"/>
      <c r="Z423" s="199"/>
      <c r="AA423" s="199"/>
      <c r="AB423" s="199"/>
      <c r="AC423" s="136"/>
      <c r="AD423" s="199"/>
      <c r="AE423" s="199"/>
      <c r="AF423" s="199"/>
      <c r="AG423" s="199"/>
      <c r="AH423" s="136"/>
      <c r="AI423" s="199"/>
      <c r="AJ423" s="199"/>
      <c r="AK423" s="199"/>
      <c r="AL423" s="199"/>
      <c r="AM423" s="136"/>
      <c r="AN423" s="199"/>
      <c r="AO423" s="199"/>
      <c r="AP423" s="199"/>
      <c r="AQ423" s="199"/>
      <c r="AR423" s="136"/>
      <c r="AS423" s="199"/>
      <c r="AT423" s="199"/>
      <c r="AU423" s="199"/>
      <c r="AV423" s="199"/>
      <c r="AW423" s="136"/>
      <c r="AX423" s="199"/>
      <c r="AY423" s="199"/>
      <c r="AZ423" s="199"/>
      <c r="BA423" s="199"/>
      <c r="BB423" s="136"/>
      <c r="BC423" s="199"/>
      <c r="BD423" s="199"/>
      <c r="BE423" s="199"/>
      <c r="BF423" s="199"/>
      <c r="BG423" s="136"/>
      <c r="BH423" s="199"/>
      <c r="BI423" s="199"/>
      <c r="BJ423" s="199"/>
    </row>
    <row r="427" spans="1:62" ht="36" x14ac:dyDescent="0.25">
      <c r="A427" s="169"/>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row>
    <row r="428" spans="1:62" x14ac:dyDescent="0.25">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c r="AA428" s="107"/>
      <c r="AB428" s="107"/>
      <c r="AC428" s="107"/>
      <c r="AD428" s="107"/>
      <c r="AE428" s="107"/>
      <c r="AF428" s="107"/>
      <c r="AG428" s="107"/>
      <c r="AH428" s="107"/>
      <c r="AI428" s="107"/>
      <c r="AJ428" s="107"/>
      <c r="AK428" s="107"/>
      <c r="AL428" s="107"/>
      <c r="AM428" s="107"/>
      <c r="AN428" s="107"/>
      <c r="AO428" s="107"/>
      <c r="AP428" s="107"/>
      <c r="AQ428" s="107"/>
      <c r="AR428" s="107"/>
      <c r="AS428" s="107"/>
      <c r="AT428" s="107"/>
      <c r="AU428" s="107"/>
      <c r="AV428" s="107"/>
      <c r="AW428" s="107"/>
      <c r="AX428" s="107"/>
      <c r="AY428" s="107"/>
      <c r="AZ428" s="107"/>
      <c r="BA428" s="107"/>
      <c r="BB428" s="107"/>
      <c r="BC428" s="107"/>
      <c r="BD428" s="107"/>
      <c r="BE428" s="107"/>
      <c r="BF428" s="107"/>
      <c r="BG428" s="107"/>
      <c r="BH428" s="107"/>
      <c r="BI428" s="107"/>
      <c r="BJ428" s="107"/>
    </row>
    <row r="429" spans="1:62" x14ac:dyDescent="0.25">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row>
    <row r="430" spans="1:62" ht="36" x14ac:dyDescent="0.25">
      <c r="A430" s="169"/>
      <c r="B430" s="169"/>
      <c r="C430" s="169"/>
      <c r="D430" s="169"/>
      <c r="E430" s="169"/>
      <c r="F430" s="169"/>
      <c r="G430" s="169"/>
      <c r="H430" s="169"/>
      <c r="I430" s="169"/>
      <c r="J430" s="169"/>
      <c r="K430" s="169"/>
      <c r="L430" s="169"/>
      <c r="M430" s="169"/>
      <c r="N430" s="169"/>
      <c r="O430" s="169"/>
      <c r="P430" s="169"/>
      <c r="Q430" s="169"/>
      <c r="R430" s="169"/>
      <c r="S430" s="169"/>
      <c r="T430" s="169"/>
      <c r="U430" s="169"/>
      <c r="V430" s="169"/>
      <c r="W430" s="169"/>
      <c r="X430" s="169"/>
      <c r="Y430" s="169"/>
      <c r="Z430" s="169"/>
      <c r="AA430" s="169"/>
      <c r="AB430" s="169"/>
      <c r="AC430" s="169"/>
      <c r="AD430" s="169"/>
      <c r="AE430" s="169"/>
      <c r="AF430" s="169"/>
      <c r="AG430" s="169"/>
      <c r="AH430" s="169"/>
      <c r="AI430" s="169"/>
      <c r="AJ430" s="169"/>
      <c r="AK430" s="169"/>
      <c r="AL430" s="169"/>
      <c r="AM430" s="169"/>
      <c r="AN430" s="169"/>
      <c r="AO430" s="169"/>
      <c r="AP430" s="169"/>
      <c r="AQ430" s="169"/>
      <c r="AR430" s="169"/>
      <c r="AS430" s="169"/>
      <c r="AT430" s="169"/>
      <c r="AU430" s="169"/>
      <c r="AV430" s="169"/>
      <c r="AW430" s="169"/>
      <c r="AX430" s="169"/>
      <c r="AY430" s="169"/>
      <c r="AZ430" s="169"/>
      <c r="BA430" s="169"/>
      <c r="BB430" s="169"/>
      <c r="BC430" s="169"/>
      <c r="BD430" s="169"/>
      <c r="BE430" s="169"/>
      <c r="BF430" s="169"/>
      <c r="BG430" s="169"/>
      <c r="BH430" s="169"/>
      <c r="BI430" s="169"/>
      <c r="BJ430" s="169"/>
    </row>
    <row r="431" spans="1:62" ht="36" x14ac:dyDescent="0.25">
      <c r="A431" s="169"/>
      <c r="B431" s="169"/>
      <c r="C431" s="169"/>
      <c r="D431" s="169"/>
      <c r="E431" s="169"/>
      <c r="F431" s="169"/>
      <c r="G431" s="169"/>
      <c r="H431" s="169"/>
      <c r="I431" s="169"/>
      <c r="J431" s="169"/>
      <c r="K431" s="169"/>
      <c r="L431" s="169"/>
      <c r="M431" s="169"/>
      <c r="N431" s="169"/>
      <c r="O431" s="169"/>
      <c r="P431" s="169"/>
      <c r="Q431" s="169"/>
      <c r="R431" s="169"/>
      <c r="S431" s="169"/>
      <c r="T431" s="169"/>
      <c r="U431" s="169"/>
      <c r="V431" s="169"/>
      <c r="W431" s="169"/>
      <c r="X431" s="169"/>
      <c r="Y431" s="169"/>
      <c r="Z431" s="169"/>
      <c r="AA431" s="169"/>
      <c r="AB431" s="169"/>
      <c r="AC431" s="169"/>
      <c r="AD431" s="169"/>
      <c r="AE431" s="169"/>
      <c r="AF431" s="169"/>
      <c r="AG431" s="169"/>
      <c r="AH431" s="169"/>
      <c r="AI431" s="169"/>
      <c r="AJ431" s="169"/>
      <c r="AK431" s="169"/>
      <c r="AL431" s="169"/>
      <c r="AM431" s="169"/>
      <c r="AN431" s="169"/>
      <c r="AO431" s="169"/>
      <c r="AP431" s="169"/>
      <c r="AQ431" s="169"/>
      <c r="AR431" s="169"/>
      <c r="AS431" s="169"/>
      <c r="AT431" s="169"/>
      <c r="AU431" s="169"/>
      <c r="AV431" s="169"/>
      <c r="AW431" s="169"/>
      <c r="AX431" s="169"/>
      <c r="AY431" s="169"/>
      <c r="AZ431" s="169"/>
      <c r="BA431" s="169"/>
      <c r="BB431" s="169"/>
      <c r="BC431" s="169"/>
      <c r="BD431" s="169"/>
      <c r="BE431" s="169"/>
      <c r="BF431" s="169"/>
      <c r="BG431" s="169"/>
      <c r="BH431" s="169"/>
      <c r="BI431" s="169"/>
      <c r="BJ431" s="169"/>
    </row>
    <row r="432" spans="1:62" ht="36" x14ac:dyDescent="0.25">
      <c r="A432" s="169"/>
      <c r="B432" s="169"/>
      <c r="C432" s="169"/>
      <c r="D432" s="169"/>
      <c r="E432" s="169"/>
      <c r="F432" s="169"/>
      <c r="G432" s="169"/>
      <c r="H432" s="169"/>
      <c r="I432" s="169"/>
      <c r="J432" s="169"/>
      <c r="K432" s="169"/>
      <c r="L432" s="169"/>
      <c r="M432" s="169"/>
      <c r="N432" s="169"/>
      <c r="O432" s="169"/>
      <c r="P432" s="169"/>
      <c r="Q432" s="169"/>
      <c r="R432" s="169"/>
      <c r="S432" s="169"/>
      <c r="T432" s="169"/>
      <c r="U432" s="169"/>
      <c r="V432" s="169"/>
      <c r="W432" s="169"/>
      <c r="X432" s="169"/>
      <c r="Y432" s="169"/>
      <c r="Z432" s="169"/>
      <c r="AA432" s="169"/>
      <c r="AB432" s="169"/>
      <c r="AC432" s="169"/>
      <c r="AD432" s="169"/>
      <c r="AE432" s="169"/>
      <c r="AF432" s="169"/>
      <c r="AG432" s="169"/>
      <c r="AH432" s="169"/>
      <c r="AI432" s="169"/>
      <c r="AJ432" s="169"/>
      <c r="AK432" s="169"/>
      <c r="AL432" s="169"/>
      <c r="AM432" s="169"/>
      <c r="AN432" s="169"/>
      <c r="AO432" s="169"/>
      <c r="AP432" s="169"/>
      <c r="AQ432" s="169"/>
      <c r="AR432" s="169"/>
      <c r="AS432" s="169"/>
      <c r="AT432" s="169"/>
      <c r="AU432" s="169"/>
      <c r="AV432" s="169"/>
      <c r="AW432" s="169"/>
      <c r="AX432" s="169"/>
      <c r="AY432" s="169"/>
      <c r="AZ432" s="169"/>
      <c r="BA432" s="169"/>
      <c r="BB432" s="169"/>
      <c r="BC432" s="169"/>
      <c r="BD432" s="169"/>
      <c r="BE432" s="169"/>
      <c r="BF432" s="169"/>
      <c r="BG432" s="169"/>
      <c r="BH432" s="169"/>
      <c r="BI432" s="169"/>
      <c r="BJ432" s="169"/>
    </row>
    <row r="433" spans="1:62" x14ac:dyDescent="0.25">
      <c r="F433" s="194"/>
      <c r="G433" s="194"/>
    </row>
    <row r="435" spans="1:62" x14ac:dyDescent="0.25">
      <c r="A435" s="199"/>
      <c r="B435" s="136"/>
      <c r="C435" s="199"/>
      <c r="D435" s="199"/>
      <c r="E435" s="199"/>
      <c r="F435" s="199"/>
      <c r="G435" s="199"/>
      <c r="H435" s="199"/>
      <c r="I435" s="136"/>
      <c r="J435" s="199"/>
      <c r="K435" s="199"/>
      <c r="L435" s="199"/>
      <c r="M435" s="199"/>
      <c r="N435" s="136"/>
      <c r="O435" s="199"/>
      <c r="P435" s="199"/>
      <c r="Q435" s="199"/>
      <c r="R435" s="199"/>
      <c r="S435" s="136"/>
      <c r="T435" s="199"/>
      <c r="U435" s="199"/>
      <c r="V435" s="199"/>
      <c r="W435" s="199"/>
      <c r="X435" s="136"/>
      <c r="Y435" s="199"/>
      <c r="Z435" s="199"/>
      <c r="AA435" s="199"/>
      <c r="AB435" s="199"/>
      <c r="AC435" s="136"/>
      <c r="AD435" s="199"/>
      <c r="AE435" s="199"/>
      <c r="AF435" s="199"/>
      <c r="AG435" s="199"/>
      <c r="AH435" s="136"/>
      <c r="AI435" s="199"/>
      <c r="AJ435" s="199"/>
      <c r="AK435" s="199"/>
      <c r="AL435" s="199"/>
      <c r="AM435" s="136"/>
      <c r="AN435" s="199"/>
      <c r="AO435" s="199"/>
      <c r="AP435" s="199"/>
      <c r="AQ435" s="199"/>
      <c r="AR435" s="136"/>
      <c r="AS435" s="199"/>
      <c r="AT435" s="199"/>
      <c r="AU435" s="199"/>
      <c r="AV435" s="199"/>
      <c r="AW435" s="136"/>
      <c r="AX435" s="199"/>
      <c r="AY435" s="199"/>
      <c r="AZ435" s="199"/>
      <c r="BA435" s="199"/>
      <c r="BB435" s="136"/>
      <c r="BC435" s="199"/>
      <c r="BD435" s="199"/>
      <c r="BE435" s="199"/>
      <c r="BF435" s="199"/>
      <c r="BG435" s="136"/>
      <c r="BH435" s="199"/>
      <c r="BI435" s="199"/>
      <c r="BJ435" s="199"/>
    </row>
    <row r="436" spans="1:62" x14ac:dyDescent="0.25">
      <c r="A436" s="199"/>
      <c r="B436" s="136"/>
      <c r="C436" s="199"/>
      <c r="D436" s="199"/>
      <c r="E436" s="199"/>
      <c r="F436" s="199"/>
      <c r="G436" s="199"/>
      <c r="H436" s="199"/>
      <c r="I436" s="136"/>
      <c r="J436" s="199"/>
      <c r="K436" s="199"/>
      <c r="L436" s="199"/>
      <c r="M436" s="199"/>
      <c r="N436" s="136"/>
      <c r="O436" s="199"/>
      <c r="P436" s="199"/>
      <c r="Q436" s="199"/>
      <c r="R436" s="199"/>
      <c r="S436" s="136"/>
      <c r="T436" s="199"/>
      <c r="U436" s="199"/>
      <c r="V436" s="199"/>
      <c r="W436" s="199"/>
      <c r="X436" s="136"/>
      <c r="Y436" s="199"/>
      <c r="Z436" s="199"/>
      <c r="AA436" s="199"/>
      <c r="AB436" s="199"/>
      <c r="AC436" s="136"/>
      <c r="AD436" s="199"/>
      <c r="AE436" s="199"/>
      <c r="AF436" s="199"/>
      <c r="AG436" s="199"/>
      <c r="AH436" s="136"/>
      <c r="AI436" s="199"/>
      <c r="AJ436" s="199"/>
      <c r="AK436" s="199"/>
      <c r="AL436" s="199"/>
      <c r="AM436" s="136"/>
      <c r="AN436" s="199"/>
      <c r="AO436" s="199"/>
      <c r="AP436" s="199"/>
      <c r="AQ436" s="199"/>
      <c r="AR436" s="136"/>
      <c r="AS436" s="199"/>
      <c r="AT436" s="199"/>
      <c r="AU436" s="199"/>
      <c r="AV436" s="199"/>
      <c r="AW436" s="136"/>
      <c r="AX436" s="199"/>
      <c r="AY436" s="199"/>
      <c r="AZ436" s="199"/>
      <c r="BA436" s="199"/>
      <c r="BB436" s="136"/>
      <c r="BC436" s="199"/>
      <c r="BD436" s="199"/>
      <c r="BE436" s="199"/>
      <c r="BF436" s="199"/>
      <c r="BG436" s="136"/>
      <c r="BH436" s="199"/>
      <c r="BI436" s="199"/>
      <c r="BJ436" s="199"/>
    </row>
    <row r="437" spans="1:62" x14ac:dyDescent="0.25">
      <c r="A437" s="199"/>
      <c r="B437" s="136"/>
      <c r="C437" s="199"/>
      <c r="D437" s="199"/>
      <c r="E437" s="199"/>
      <c r="F437" s="199"/>
      <c r="G437" s="199"/>
      <c r="H437" s="199"/>
      <c r="I437" s="136"/>
      <c r="J437" s="199"/>
      <c r="K437" s="199"/>
      <c r="L437" s="199"/>
      <c r="M437" s="199"/>
      <c r="N437" s="136"/>
      <c r="O437" s="199"/>
      <c r="P437" s="199"/>
      <c r="Q437" s="199"/>
      <c r="R437" s="199"/>
      <c r="S437" s="136"/>
      <c r="T437" s="199"/>
      <c r="U437" s="199"/>
      <c r="V437" s="199"/>
      <c r="W437" s="199"/>
      <c r="X437" s="136"/>
      <c r="Y437" s="199"/>
      <c r="Z437" s="199"/>
      <c r="AA437" s="199"/>
      <c r="AB437" s="199"/>
      <c r="AC437" s="136"/>
      <c r="AD437" s="199"/>
      <c r="AE437" s="199"/>
      <c r="AF437" s="199"/>
      <c r="AG437" s="199"/>
      <c r="AH437" s="136"/>
      <c r="AI437" s="199"/>
      <c r="AJ437" s="199"/>
      <c r="AK437" s="199"/>
      <c r="AL437" s="199"/>
      <c r="AM437" s="136"/>
      <c r="AN437" s="199"/>
      <c r="AO437" s="199"/>
      <c r="AP437" s="199"/>
      <c r="AQ437" s="199"/>
      <c r="AR437" s="136"/>
      <c r="AS437" s="199"/>
      <c r="AT437" s="199"/>
      <c r="AU437" s="199"/>
      <c r="AV437" s="199"/>
      <c r="AW437" s="136"/>
      <c r="AX437" s="199"/>
      <c r="AY437" s="199"/>
      <c r="AZ437" s="199"/>
      <c r="BA437" s="199"/>
      <c r="BB437" s="136"/>
      <c r="BC437" s="199"/>
      <c r="BD437" s="199"/>
      <c r="BE437" s="199"/>
      <c r="BF437" s="199"/>
      <c r="BG437" s="136"/>
      <c r="BH437" s="199"/>
      <c r="BI437" s="199"/>
      <c r="BJ437" s="199"/>
    </row>
    <row r="438" spans="1:62" x14ac:dyDescent="0.25">
      <c r="A438" s="199"/>
      <c r="B438" s="136"/>
      <c r="C438" s="199"/>
      <c r="D438" s="199"/>
      <c r="E438" s="199"/>
      <c r="F438" s="199"/>
      <c r="G438" s="199"/>
      <c r="H438" s="199"/>
      <c r="I438" s="136"/>
      <c r="J438" s="199"/>
      <c r="K438" s="199"/>
      <c r="L438" s="199"/>
      <c r="M438" s="199"/>
      <c r="N438" s="136"/>
      <c r="O438" s="199"/>
      <c r="P438" s="199"/>
      <c r="Q438" s="199"/>
      <c r="R438" s="199"/>
      <c r="S438" s="136"/>
      <c r="T438" s="199"/>
      <c r="U438" s="199"/>
      <c r="V438" s="199"/>
      <c r="W438" s="199"/>
      <c r="X438" s="136"/>
      <c r="Y438" s="199"/>
      <c r="Z438" s="199"/>
      <c r="AA438" s="199"/>
      <c r="AB438" s="199"/>
      <c r="AC438" s="136"/>
      <c r="AD438" s="199"/>
      <c r="AE438" s="199"/>
      <c r="AF438" s="199"/>
      <c r="AG438" s="199"/>
      <c r="AH438" s="136"/>
      <c r="AI438" s="199"/>
      <c r="AJ438" s="199"/>
      <c r="AK438" s="199"/>
      <c r="AL438" s="199"/>
      <c r="AM438" s="136"/>
      <c r="AN438" s="199"/>
      <c r="AO438" s="199"/>
      <c r="AP438" s="199"/>
      <c r="AQ438" s="199"/>
      <c r="AR438" s="136"/>
      <c r="AS438" s="199"/>
      <c r="AT438" s="199"/>
      <c r="AU438" s="199"/>
      <c r="AV438" s="199"/>
      <c r="AW438" s="136"/>
      <c r="AX438" s="199"/>
      <c r="AY438" s="199"/>
      <c r="AZ438" s="199"/>
      <c r="BA438" s="199"/>
      <c r="BB438" s="136"/>
      <c r="BC438" s="199"/>
      <c r="BD438" s="199"/>
      <c r="BE438" s="199"/>
      <c r="BF438" s="199"/>
      <c r="BG438" s="136"/>
      <c r="BH438" s="199"/>
      <c r="BI438" s="199"/>
      <c r="BJ438" s="199"/>
    </row>
    <row r="439" spans="1:62" x14ac:dyDescent="0.25">
      <c r="A439" s="199"/>
      <c r="B439" s="136"/>
      <c r="C439" s="199"/>
      <c r="D439" s="199"/>
      <c r="E439" s="199"/>
      <c r="F439" s="199"/>
      <c r="G439" s="199"/>
      <c r="H439" s="199"/>
      <c r="I439" s="136"/>
      <c r="J439" s="199"/>
      <c r="K439" s="199"/>
      <c r="L439" s="199"/>
      <c r="M439" s="199"/>
      <c r="N439" s="136"/>
      <c r="O439" s="199"/>
      <c r="P439" s="199"/>
      <c r="Q439" s="199"/>
      <c r="R439" s="199"/>
      <c r="S439" s="136"/>
      <c r="T439" s="199"/>
      <c r="U439" s="199"/>
      <c r="V439" s="199"/>
      <c r="W439" s="199"/>
      <c r="X439" s="136"/>
      <c r="Y439" s="199"/>
      <c r="Z439" s="199"/>
      <c r="AA439" s="199"/>
      <c r="AB439" s="199"/>
      <c r="AC439" s="136"/>
      <c r="AD439" s="199"/>
      <c r="AE439" s="199"/>
      <c r="AF439" s="199"/>
      <c r="AG439" s="199"/>
      <c r="AH439" s="136"/>
      <c r="AI439" s="199"/>
      <c r="AJ439" s="199"/>
      <c r="AK439" s="199"/>
      <c r="AL439" s="199"/>
      <c r="AM439" s="136"/>
      <c r="AN439" s="199"/>
      <c r="AO439" s="199"/>
      <c r="AP439" s="199"/>
      <c r="AQ439" s="199"/>
      <c r="AR439" s="136"/>
      <c r="AS439" s="199"/>
      <c r="AT439" s="199"/>
      <c r="AU439" s="199"/>
      <c r="AV439" s="199"/>
      <c r="AW439" s="136"/>
      <c r="AX439" s="199"/>
      <c r="AY439" s="199"/>
      <c r="AZ439" s="199"/>
      <c r="BA439" s="199"/>
      <c r="BB439" s="136"/>
      <c r="BC439" s="199"/>
      <c r="BD439" s="199"/>
      <c r="BE439" s="199"/>
      <c r="BF439" s="199"/>
      <c r="BG439" s="136"/>
      <c r="BH439" s="199"/>
      <c r="BI439" s="199"/>
      <c r="BJ439" s="199"/>
    </row>
    <row r="440" spans="1:62" x14ac:dyDescent="0.25">
      <c r="A440" s="199"/>
      <c r="B440" s="136"/>
      <c r="C440" s="199"/>
      <c r="D440" s="199"/>
      <c r="E440" s="199"/>
      <c r="F440" s="199"/>
      <c r="G440" s="199"/>
      <c r="H440" s="199"/>
      <c r="I440" s="136"/>
      <c r="J440" s="199"/>
      <c r="K440" s="199"/>
      <c r="L440" s="199"/>
      <c r="M440" s="199"/>
      <c r="N440" s="136"/>
      <c r="O440" s="199"/>
      <c r="P440" s="199"/>
      <c r="Q440" s="199"/>
      <c r="R440" s="199"/>
      <c r="S440" s="136"/>
      <c r="T440" s="199"/>
      <c r="U440" s="199"/>
      <c r="V440" s="199"/>
      <c r="W440" s="199"/>
      <c r="X440" s="136"/>
      <c r="Y440" s="199"/>
      <c r="Z440" s="199"/>
      <c r="AA440" s="199"/>
      <c r="AB440" s="199"/>
      <c r="AC440" s="136"/>
      <c r="AD440" s="199"/>
      <c r="AE440" s="199"/>
      <c r="AF440" s="199"/>
      <c r="AG440" s="199"/>
      <c r="AH440" s="136"/>
      <c r="AI440" s="199"/>
      <c r="AJ440" s="199"/>
      <c r="AK440" s="199"/>
      <c r="AL440" s="199"/>
      <c r="AM440" s="136"/>
      <c r="AN440" s="199"/>
      <c r="AO440" s="199"/>
      <c r="AP440" s="199"/>
      <c r="AQ440" s="199"/>
      <c r="AR440" s="136"/>
      <c r="AS440" s="199"/>
      <c r="AT440" s="199"/>
      <c r="AU440" s="199"/>
      <c r="AV440" s="199"/>
      <c r="AW440" s="136"/>
      <c r="AX440" s="199"/>
      <c r="AY440" s="199"/>
      <c r="AZ440" s="199"/>
      <c r="BA440" s="199"/>
      <c r="BB440" s="136"/>
      <c r="BC440" s="199"/>
      <c r="BD440" s="199"/>
      <c r="BE440" s="199"/>
      <c r="BF440" s="199"/>
      <c r="BG440" s="136"/>
      <c r="BH440" s="199"/>
      <c r="BI440" s="199"/>
      <c r="BJ440" s="199"/>
    </row>
    <row r="441" spans="1:62" x14ac:dyDescent="0.25">
      <c r="A441" s="199"/>
      <c r="B441" s="136"/>
      <c r="C441" s="199"/>
      <c r="D441" s="199"/>
      <c r="E441" s="199"/>
      <c r="F441" s="199"/>
      <c r="G441" s="199"/>
      <c r="H441" s="199"/>
      <c r="I441" s="136"/>
      <c r="J441" s="199"/>
      <c r="K441" s="199"/>
      <c r="L441" s="199"/>
      <c r="M441" s="199"/>
      <c r="N441" s="136"/>
      <c r="O441" s="199"/>
      <c r="P441" s="199"/>
      <c r="Q441" s="199"/>
      <c r="R441" s="199"/>
      <c r="S441" s="136"/>
      <c r="T441" s="199"/>
      <c r="U441" s="199"/>
      <c r="V441" s="199"/>
      <c r="W441" s="199"/>
      <c r="X441" s="136"/>
      <c r="Y441" s="199"/>
      <c r="Z441" s="199"/>
      <c r="AA441" s="199"/>
      <c r="AB441" s="199"/>
      <c r="AC441" s="136"/>
      <c r="AD441" s="199"/>
      <c r="AE441" s="199"/>
      <c r="AF441" s="199"/>
      <c r="AG441" s="199"/>
      <c r="AH441" s="136"/>
      <c r="AI441" s="199"/>
      <c r="AJ441" s="199"/>
      <c r="AK441" s="199"/>
      <c r="AL441" s="199"/>
      <c r="AM441" s="136"/>
      <c r="AN441" s="199"/>
      <c r="AO441" s="199"/>
      <c r="AP441" s="199"/>
      <c r="AQ441" s="199"/>
      <c r="AR441" s="136"/>
      <c r="AS441" s="199"/>
      <c r="AT441" s="199"/>
      <c r="AU441" s="199"/>
      <c r="AV441" s="199"/>
      <c r="AW441" s="136"/>
      <c r="AX441" s="199"/>
      <c r="AY441" s="199"/>
      <c r="AZ441" s="199"/>
      <c r="BA441" s="199"/>
      <c r="BB441" s="136"/>
      <c r="BC441" s="199"/>
      <c r="BD441" s="199"/>
      <c r="BE441" s="199"/>
      <c r="BF441" s="199"/>
      <c r="BG441" s="136"/>
      <c r="BH441" s="199"/>
      <c r="BI441" s="199"/>
      <c r="BJ441" s="199"/>
    </row>
    <row r="442" spans="1:62" x14ac:dyDescent="0.25">
      <c r="A442" s="199"/>
      <c r="B442" s="136"/>
      <c r="C442" s="199"/>
      <c r="D442" s="199"/>
      <c r="E442" s="199"/>
      <c r="F442" s="199"/>
      <c r="G442" s="199"/>
      <c r="H442" s="199"/>
      <c r="I442" s="136"/>
      <c r="J442" s="199"/>
      <c r="K442" s="199"/>
      <c r="L442" s="199"/>
      <c r="M442" s="199"/>
      <c r="N442" s="136"/>
      <c r="O442" s="199"/>
      <c r="P442" s="199"/>
      <c r="Q442" s="199"/>
      <c r="R442" s="199"/>
      <c r="S442" s="136"/>
      <c r="T442" s="199"/>
      <c r="U442" s="199"/>
      <c r="V442" s="199"/>
      <c r="W442" s="199"/>
      <c r="X442" s="136"/>
      <c r="Y442" s="199"/>
      <c r="Z442" s="199"/>
      <c r="AA442" s="199"/>
      <c r="AB442" s="199"/>
      <c r="AC442" s="136"/>
      <c r="AD442" s="199"/>
      <c r="AE442" s="199"/>
      <c r="AF442" s="199"/>
      <c r="AG442" s="199"/>
      <c r="AH442" s="136"/>
      <c r="AI442" s="199"/>
      <c r="AJ442" s="199"/>
      <c r="AK442" s="199"/>
      <c r="AL442" s="199"/>
      <c r="AM442" s="136"/>
      <c r="AN442" s="199"/>
      <c r="AO442" s="199"/>
      <c r="AP442" s="199"/>
      <c r="AQ442" s="199"/>
      <c r="AR442" s="136"/>
      <c r="AS442" s="199"/>
      <c r="AT442" s="199"/>
      <c r="AU442" s="199"/>
      <c r="AV442" s="199"/>
      <c r="AW442" s="136"/>
      <c r="AX442" s="199"/>
      <c r="AY442" s="199"/>
      <c r="AZ442" s="199"/>
      <c r="BA442" s="199"/>
      <c r="BB442" s="136"/>
      <c r="BC442" s="199"/>
      <c r="BD442" s="199"/>
      <c r="BE442" s="199"/>
      <c r="BF442" s="199"/>
      <c r="BG442" s="136"/>
      <c r="BH442" s="199"/>
      <c r="BI442" s="199"/>
      <c r="BJ442" s="199"/>
    </row>
    <row r="446" spans="1:62" ht="36" x14ac:dyDescent="0.25">
      <c r="A446" s="169"/>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row>
    <row r="447" spans="1:62" x14ac:dyDescent="0.25">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row>
    <row r="448" spans="1:62" x14ac:dyDescent="0.25">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row>
    <row r="449" spans="1:62" ht="36" x14ac:dyDescent="0.25">
      <c r="A449" s="169"/>
      <c r="B449" s="169"/>
      <c r="C449" s="169"/>
      <c r="D449" s="169"/>
      <c r="E449" s="169"/>
      <c r="F449" s="169"/>
      <c r="G449" s="169"/>
      <c r="H449" s="169"/>
      <c r="I449" s="169"/>
      <c r="J449" s="169"/>
      <c r="K449" s="169"/>
      <c r="L449" s="169"/>
      <c r="M449" s="169"/>
      <c r="N449" s="169"/>
      <c r="O449" s="169"/>
      <c r="P449" s="169"/>
      <c r="Q449" s="169"/>
      <c r="R449" s="169"/>
      <c r="S449" s="169"/>
      <c r="T449" s="169"/>
      <c r="U449" s="169"/>
      <c r="V449" s="169"/>
      <c r="W449" s="169"/>
      <c r="X449" s="169"/>
      <c r="Y449" s="169"/>
      <c r="Z449" s="169"/>
      <c r="AA449" s="169"/>
      <c r="AB449" s="169"/>
      <c r="AC449" s="169"/>
      <c r="AD449" s="169"/>
      <c r="AE449" s="169"/>
      <c r="AF449" s="169"/>
      <c r="AG449" s="169"/>
      <c r="AH449" s="169"/>
      <c r="AI449" s="169"/>
      <c r="AJ449" s="169"/>
      <c r="AK449" s="169"/>
      <c r="AL449" s="169"/>
      <c r="AM449" s="169"/>
      <c r="AN449" s="169"/>
      <c r="AO449" s="169"/>
      <c r="AP449" s="169"/>
      <c r="AQ449" s="169"/>
      <c r="AR449" s="169"/>
      <c r="AS449" s="169"/>
      <c r="AT449" s="169"/>
      <c r="AU449" s="169"/>
      <c r="AV449" s="169"/>
      <c r="AW449" s="169"/>
      <c r="AX449" s="169"/>
      <c r="AY449" s="169"/>
      <c r="AZ449" s="169"/>
      <c r="BA449" s="169"/>
      <c r="BB449" s="169"/>
      <c r="BC449" s="169"/>
      <c r="BD449" s="169"/>
      <c r="BE449" s="169"/>
      <c r="BF449" s="169"/>
      <c r="BG449" s="169"/>
      <c r="BH449" s="169"/>
      <c r="BI449" s="169"/>
      <c r="BJ449" s="169"/>
    </row>
    <row r="450" spans="1:62" ht="36" x14ac:dyDescent="0.25">
      <c r="A450" s="169"/>
      <c r="B450" s="169"/>
      <c r="C450" s="169"/>
      <c r="D450" s="169"/>
      <c r="E450" s="169"/>
      <c r="F450" s="169"/>
      <c r="G450" s="169"/>
      <c r="H450" s="169"/>
      <c r="I450" s="169"/>
      <c r="J450" s="169"/>
      <c r="K450" s="169"/>
      <c r="L450" s="169"/>
      <c r="M450" s="169"/>
      <c r="N450" s="169"/>
      <c r="O450" s="169"/>
      <c r="P450" s="169"/>
      <c r="Q450" s="169"/>
      <c r="R450" s="169"/>
      <c r="S450" s="169"/>
      <c r="T450" s="169"/>
      <c r="U450" s="169"/>
      <c r="V450" s="169"/>
      <c r="W450" s="169"/>
      <c r="X450" s="169"/>
      <c r="Y450" s="169"/>
      <c r="Z450" s="169"/>
      <c r="AA450" s="169"/>
      <c r="AB450" s="169"/>
      <c r="AC450" s="169"/>
      <c r="AD450" s="169"/>
      <c r="AE450" s="169"/>
      <c r="AF450" s="169"/>
      <c r="AG450" s="169"/>
      <c r="AH450" s="169"/>
      <c r="AI450" s="169"/>
      <c r="AJ450" s="169"/>
      <c r="AK450" s="169"/>
      <c r="AL450" s="169"/>
      <c r="AM450" s="169"/>
      <c r="AN450" s="169"/>
      <c r="AO450" s="169"/>
      <c r="AP450" s="169"/>
      <c r="AQ450" s="169"/>
      <c r="AR450" s="169"/>
      <c r="AS450" s="169"/>
      <c r="AT450" s="169"/>
      <c r="AU450" s="169"/>
      <c r="AV450" s="169"/>
      <c r="AW450" s="169"/>
      <c r="AX450" s="169"/>
      <c r="AY450" s="169"/>
      <c r="AZ450" s="169"/>
      <c r="BA450" s="169"/>
      <c r="BB450" s="169"/>
      <c r="BC450" s="169"/>
      <c r="BD450" s="169"/>
      <c r="BE450" s="169"/>
      <c r="BF450" s="169"/>
      <c r="BG450" s="169"/>
      <c r="BH450" s="169"/>
      <c r="BI450" s="169"/>
      <c r="BJ450" s="169"/>
    </row>
    <row r="451" spans="1:62" ht="36" x14ac:dyDescent="0.25">
      <c r="A451" s="169"/>
      <c r="B451" s="169"/>
      <c r="C451" s="169"/>
      <c r="D451" s="169"/>
      <c r="E451" s="169"/>
      <c r="F451" s="169"/>
      <c r="G451" s="169"/>
      <c r="H451" s="169"/>
      <c r="I451" s="169"/>
      <c r="J451" s="169"/>
      <c r="K451" s="169"/>
      <c r="L451" s="169"/>
      <c r="M451" s="169"/>
      <c r="N451" s="169"/>
      <c r="O451" s="169"/>
      <c r="P451" s="169"/>
      <c r="Q451" s="169"/>
      <c r="R451" s="169"/>
      <c r="S451" s="169"/>
      <c r="T451" s="169"/>
      <c r="U451" s="169"/>
      <c r="V451" s="169"/>
      <c r="W451" s="169"/>
      <c r="X451" s="169"/>
      <c r="Y451" s="169"/>
      <c r="Z451" s="169"/>
      <c r="AA451" s="169"/>
      <c r="AB451" s="169"/>
      <c r="AC451" s="169"/>
      <c r="AD451" s="169"/>
      <c r="AE451" s="169"/>
      <c r="AF451" s="169"/>
      <c r="AG451" s="169"/>
      <c r="AH451" s="169"/>
      <c r="AI451" s="169"/>
      <c r="AJ451" s="169"/>
      <c r="AK451" s="169"/>
      <c r="AL451" s="169"/>
      <c r="AM451" s="169"/>
      <c r="AN451" s="169"/>
      <c r="AO451" s="169"/>
      <c r="AP451" s="169"/>
      <c r="AQ451" s="169"/>
      <c r="AR451" s="169"/>
      <c r="AS451" s="169"/>
      <c r="AT451" s="169"/>
      <c r="AU451" s="169"/>
      <c r="AV451" s="169"/>
      <c r="AW451" s="169"/>
      <c r="AX451" s="169"/>
      <c r="AY451" s="169"/>
      <c r="AZ451" s="169"/>
      <c r="BA451" s="169"/>
      <c r="BB451" s="169"/>
      <c r="BC451" s="169"/>
      <c r="BD451" s="169"/>
      <c r="BE451" s="169"/>
      <c r="BF451" s="169"/>
      <c r="BG451" s="169"/>
      <c r="BH451" s="169"/>
      <c r="BI451" s="169"/>
      <c r="BJ451" s="169"/>
    </row>
    <row r="452" spans="1:62" x14ac:dyDescent="0.25">
      <c r="F452" s="194"/>
      <c r="G452" s="194"/>
    </row>
    <row r="454" spans="1:62" x14ac:dyDescent="0.25">
      <c r="A454" s="199"/>
      <c r="B454" s="136"/>
      <c r="C454" s="199"/>
      <c r="D454" s="199"/>
      <c r="E454" s="199"/>
      <c r="F454" s="199"/>
      <c r="G454" s="199"/>
      <c r="H454" s="199"/>
      <c r="I454" s="136"/>
      <c r="J454" s="199"/>
      <c r="K454" s="199"/>
      <c r="L454" s="199"/>
      <c r="M454" s="199"/>
      <c r="N454" s="136"/>
      <c r="O454" s="199"/>
      <c r="P454" s="199"/>
      <c r="Q454" s="199"/>
      <c r="R454" s="199"/>
      <c r="S454" s="136"/>
      <c r="T454" s="199"/>
      <c r="U454" s="199"/>
      <c r="V454" s="199"/>
      <c r="W454" s="199"/>
      <c r="X454" s="136"/>
      <c r="Y454" s="199"/>
      <c r="Z454" s="199"/>
      <c r="AA454" s="199"/>
      <c r="AB454" s="199"/>
      <c r="AC454" s="136"/>
      <c r="AD454" s="199"/>
      <c r="AE454" s="199"/>
      <c r="AF454" s="199"/>
      <c r="AG454" s="199"/>
      <c r="AH454" s="136"/>
      <c r="AI454" s="199"/>
      <c r="AJ454" s="199"/>
      <c r="AK454" s="199"/>
      <c r="AL454" s="199"/>
      <c r="AM454" s="136"/>
      <c r="AN454" s="199"/>
      <c r="AO454" s="199"/>
      <c r="AP454" s="199"/>
      <c r="AQ454" s="199"/>
      <c r="AR454" s="136"/>
      <c r="AS454" s="199"/>
      <c r="AT454" s="199"/>
      <c r="AU454" s="199"/>
      <c r="AV454" s="199"/>
      <c r="AW454" s="136"/>
      <c r="AX454" s="199"/>
      <c r="AY454" s="199"/>
      <c r="AZ454" s="199"/>
      <c r="BA454" s="199"/>
      <c r="BB454" s="136"/>
      <c r="BC454" s="199"/>
      <c r="BD454" s="199"/>
      <c r="BE454" s="199"/>
      <c r="BF454" s="199"/>
      <c r="BG454" s="136"/>
      <c r="BH454" s="199"/>
      <c r="BI454" s="199"/>
      <c r="BJ454" s="199"/>
    </row>
    <row r="455" spans="1:62" x14ac:dyDescent="0.25">
      <c r="A455" s="199"/>
      <c r="B455" s="136"/>
      <c r="C455" s="199"/>
      <c r="D455" s="199"/>
      <c r="E455" s="199"/>
      <c r="F455" s="199"/>
      <c r="G455" s="199"/>
      <c r="H455" s="199"/>
      <c r="I455" s="136"/>
      <c r="J455" s="199"/>
      <c r="K455" s="199"/>
      <c r="L455" s="199"/>
      <c r="M455" s="199"/>
      <c r="N455" s="136"/>
      <c r="O455" s="199"/>
      <c r="P455" s="199"/>
      <c r="Q455" s="199"/>
      <c r="R455" s="199"/>
      <c r="S455" s="136"/>
      <c r="T455" s="199"/>
      <c r="U455" s="199"/>
      <c r="V455" s="199"/>
      <c r="W455" s="199"/>
      <c r="X455" s="136"/>
      <c r="Y455" s="199"/>
      <c r="Z455" s="199"/>
      <c r="AA455" s="199"/>
      <c r="AB455" s="199"/>
      <c r="AC455" s="136"/>
      <c r="AD455" s="199"/>
      <c r="AE455" s="199"/>
      <c r="AF455" s="199"/>
      <c r="AG455" s="199"/>
      <c r="AH455" s="136"/>
      <c r="AI455" s="199"/>
      <c r="AJ455" s="199"/>
      <c r="AK455" s="199"/>
      <c r="AL455" s="199"/>
      <c r="AM455" s="136"/>
      <c r="AN455" s="199"/>
      <c r="AO455" s="199"/>
      <c r="AP455" s="199"/>
      <c r="AQ455" s="199"/>
      <c r="AR455" s="136"/>
      <c r="AS455" s="199"/>
      <c r="AT455" s="199"/>
      <c r="AU455" s="199"/>
      <c r="AV455" s="199"/>
      <c r="AW455" s="136"/>
      <c r="AX455" s="199"/>
      <c r="AY455" s="199"/>
      <c r="AZ455" s="199"/>
      <c r="BA455" s="199"/>
      <c r="BB455" s="136"/>
      <c r="BC455" s="199"/>
      <c r="BD455" s="199"/>
      <c r="BE455" s="199"/>
      <c r="BF455" s="199"/>
      <c r="BG455" s="136"/>
      <c r="BH455" s="199"/>
      <c r="BI455" s="199"/>
      <c r="BJ455" s="199"/>
    </row>
    <row r="456" spans="1:62" x14ac:dyDescent="0.25">
      <c r="A456" s="199"/>
      <c r="B456" s="136"/>
      <c r="C456" s="199"/>
      <c r="D456" s="199"/>
      <c r="E456" s="199"/>
      <c r="F456" s="199"/>
      <c r="G456" s="199"/>
      <c r="H456" s="199"/>
      <c r="I456" s="136"/>
      <c r="J456" s="199"/>
      <c r="K456" s="199"/>
      <c r="L456" s="199"/>
      <c r="M456" s="199"/>
      <c r="N456" s="136"/>
      <c r="O456" s="199"/>
      <c r="P456" s="199"/>
      <c r="Q456" s="199"/>
      <c r="R456" s="199"/>
      <c r="S456" s="136"/>
      <c r="T456" s="199"/>
      <c r="U456" s="199"/>
      <c r="V456" s="199"/>
      <c r="W456" s="199"/>
      <c r="X456" s="136"/>
      <c r="Y456" s="199"/>
      <c r="Z456" s="199"/>
      <c r="AA456" s="199"/>
      <c r="AB456" s="199"/>
      <c r="AC456" s="136"/>
      <c r="AD456" s="199"/>
      <c r="AE456" s="199"/>
      <c r="AF456" s="199"/>
      <c r="AG456" s="199"/>
      <c r="AH456" s="136"/>
      <c r="AI456" s="199"/>
      <c r="AJ456" s="199"/>
      <c r="AK456" s="199"/>
      <c r="AL456" s="199"/>
      <c r="AM456" s="136"/>
      <c r="AN456" s="199"/>
      <c r="AO456" s="199"/>
      <c r="AP456" s="199"/>
      <c r="AQ456" s="199"/>
      <c r="AR456" s="136"/>
      <c r="AS456" s="199"/>
      <c r="AT456" s="199"/>
      <c r="AU456" s="199"/>
      <c r="AV456" s="199"/>
      <c r="AW456" s="136"/>
      <c r="AX456" s="199"/>
      <c r="AY456" s="199"/>
      <c r="AZ456" s="199"/>
      <c r="BA456" s="199"/>
      <c r="BB456" s="136"/>
      <c r="BC456" s="199"/>
      <c r="BD456" s="199"/>
      <c r="BE456" s="199"/>
      <c r="BF456" s="199"/>
      <c r="BG456" s="136"/>
      <c r="BH456" s="199"/>
      <c r="BI456" s="199"/>
      <c r="BJ456" s="199"/>
    </row>
    <row r="457" spans="1:62" x14ac:dyDescent="0.25">
      <c r="A457" s="199"/>
      <c r="B457" s="136"/>
      <c r="C457" s="199"/>
      <c r="D457" s="199"/>
      <c r="E457" s="199"/>
      <c r="F457" s="199"/>
      <c r="G457" s="199"/>
      <c r="H457" s="199"/>
      <c r="I457" s="136"/>
      <c r="J457" s="199"/>
      <c r="K457" s="199"/>
      <c r="L457" s="199"/>
      <c r="M457" s="199"/>
      <c r="N457" s="136"/>
      <c r="O457" s="199"/>
      <c r="P457" s="199"/>
      <c r="Q457" s="199"/>
      <c r="R457" s="199"/>
      <c r="S457" s="136"/>
      <c r="T457" s="199"/>
      <c r="U457" s="199"/>
      <c r="V457" s="199"/>
      <c r="W457" s="199"/>
      <c r="X457" s="136"/>
      <c r="Y457" s="199"/>
      <c r="Z457" s="199"/>
      <c r="AA457" s="199"/>
      <c r="AB457" s="199"/>
      <c r="AC457" s="136"/>
      <c r="AD457" s="199"/>
      <c r="AE457" s="199"/>
      <c r="AF457" s="199"/>
      <c r="AG457" s="199"/>
      <c r="AH457" s="136"/>
      <c r="AI457" s="199"/>
      <c r="AJ457" s="199"/>
      <c r="AK457" s="199"/>
      <c r="AL457" s="199"/>
      <c r="AM457" s="136"/>
      <c r="AN457" s="199"/>
      <c r="AO457" s="199"/>
      <c r="AP457" s="199"/>
      <c r="AQ457" s="199"/>
      <c r="AR457" s="136"/>
      <c r="AS457" s="199"/>
      <c r="AT457" s="199"/>
      <c r="AU457" s="199"/>
      <c r="AV457" s="199"/>
      <c r="AW457" s="136"/>
      <c r="AX457" s="199"/>
      <c r="AY457" s="199"/>
      <c r="AZ457" s="199"/>
      <c r="BA457" s="199"/>
      <c r="BB457" s="136"/>
      <c r="BC457" s="199"/>
      <c r="BD457" s="199"/>
      <c r="BE457" s="199"/>
      <c r="BF457" s="199"/>
      <c r="BG457" s="136"/>
      <c r="BH457" s="199"/>
      <c r="BI457" s="199"/>
      <c r="BJ457" s="199"/>
    </row>
    <row r="458" spans="1:62" x14ac:dyDescent="0.25">
      <c r="A458" s="199"/>
      <c r="B458" s="136"/>
      <c r="C458" s="199"/>
      <c r="D458" s="199"/>
      <c r="E458" s="199"/>
      <c r="F458" s="199"/>
      <c r="G458" s="199"/>
      <c r="H458" s="199"/>
      <c r="I458" s="136"/>
      <c r="J458" s="199"/>
      <c r="K458" s="199"/>
      <c r="L458" s="199"/>
      <c r="M458" s="199"/>
      <c r="N458" s="136"/>
      <c r="O458" s="199"/>
      <c r="P458" s="199"/>
      <c r="Q458" s="199"/>
      <c r="R458" s="199"/>
      <c r="S458" s="136"/>
      <c r="T458" s="199"/>
      <c r="U458" s="199"/>
      <c r="V458" s="199"/>
      <c r="W458" s="199"/>
      <c r="X458" s="136"/>
      <c r="Y458" s="199"/>
      <c r="Z458" s="199"/>
      <c r="AA458" s="199"/>
      <c r="AB458" s="199"/>
      <c r="AC458" s="136"/>
      <c r="AD458" s="199"/>
      <c r="AE458" s="199"/>
      <c r="AF458" s="199"/>
      <c r="AG458" s="199"/>
      <c r="AH458" s="136"/>
      <c r="AI458" s="199"/>
      <c r="AJ458" s="199"/>
      <c r="AK458" s="199"/>
      <c r="AL458" s="199"/>
      <c r="AM458" s="136"/>
      <c r="AN458" s="199"/>
      <c r="AO458" s="199"/>
      <c r="AP458" s="199"/>
      <c r="AQ458" s="199"/>
      <c r="AR458" s="136"/>
      <c r="AS458" s="199"/>
      <c r="AT458" s="199"/>
      <c r="AU458" s="199"/>
      <c r="AV458" s="199"/>
      <c r="AW458" s="136"/>
      <c r="AX458" s="199"/>
      <c r="AY458" s="199"/>
      <c r="AZ458" s="199"/>
      <c r="BA458" s="199"/>
      <c r="BB458" s="136"/>
      <c r="BC458" s="199"/>
      <c r="BD458" s="199"/>
      <c r="BE458" s="199"/>
      <c r="BF458" s="199"/>
      <c r="BG458" s="136"/>
      <c r="BH458" s="199"/>
      <c r="BI458" s="199"/>
      <c r="BJ458" s="199"/>
    </row>
    <row r="459" spans="1:62" x14ac:dyDescent="0.25">
      <c r="A459" s="199"/>
      <c r="B459" s="136"/>
      <c r="C459" s="199"/>
      <c r="D459" s="199"/>
      <c r="E459" s="199"/>
      <c r="F459" s="199"/>
      <c r="G459" s="199"/>
      <c r="H459" s="199"/>
      <c r="I459" s="136"/>
      <c r="J459" s="199"/>
      <c r="K459" s="199"/>
      <c r="L459" s="199"/>
      <c r="M459" s="199"/>
      <c r="N459" s="136"/>
      <c r="O459" s="199"/>
      <c r="P459" s="199"/>
      <c r="Q459" s="199"/>
      <c r="R459" s="199"/>
      <c r="S459" s="136"/>
      <c r="T459" s="199"/>
      <c r="U459" s="199"/>
      <c r="V459" s="199"/>
      <c r="W459" s="199"/>
      <c r="X459" s="136"/>
      <c r="Y459" s="199"/>
      <c r="Z459" s="199"/>
      <c r="AA459" s="199"/>
      <c r="AB459" s="199"/>
      <c r="AC459" s="136"/>
      <c r="AD459" s="199"/>
      <c r="AE459" s="199"/>
      <c r="AF459" s="199"/>
      <c r="AG459" s="199"/>
      <c r="AH459" s="136"/>
      <c r="AI459" s="199"/>
      <c r="AJ459" s="199"/>
      <c r="AK459" s="199"/>
      <c r="AL459" s="199"/>
      <c r="AM459" s="136"/>
      <c r="AN459" s="199"/>
      <c r="AO459" s="199"/>
      <c r="AP459" s="199"/>
      <c r="AQ459" s="199"/>
      <c r="AR459" s="136"/>
      <c r="AS459" s="199"/>
      <c r="AT459" s="199"/>
      <c r="AU459" s="199"/>
      <c r="AV459" s="199"/>
      <c r="AW459" s="136"/>
      <c r="AX459" s="199"/>
      <c r="AY459" s="199"/>
      <c r="AZ459" s="199"/>
      <c r="BA459" s="199"/>
      <c r="BB459" s="136"/>
      <c r="BC459" s="199"/>
      <c r="BD459" s="199"/>
      <c r="BE459" s="199"/>
      <c r="BF459" s="199"/>
      <c r="BG459" s="136"/>
      <c r="BH459" s="199"/>
      <c r="BI459" s="199"/>
      <c r="BJ459" s="199"/>
    </row>
    <row r="460" spans="1:62" x14ac:dyDescent="0.25">
      <c r="A460" s="199"/>
      <c r="B460" s="136"/>
      <c r="C460" s="199"/>
      <c r="D460" s="199"/>
      <c r="E460" s="199"/>
      <c r="F460" s="199"/>
      <c r="G460" s="199"/>
      <c r="H460" s="199"/>
      <c r="I460" s="136"/>
      <c r="J460" s="199"/>
      <c r="K460" s="199"/>
      <c r="L460" s="199"/>
      <c r="M460" s="199"/>
      <c r="N460" s="136"/>
      <c r="O460" s="199"/>
      <c r="P460" s="199"/>
      <c r="Q460" s="199"/>
      <c r="R460" s="199"/>
      <c r="S460" s="136"/>
      <c r="T460" s="199"/>
      <c r="U460" s="199"/>
      <c r="V460" s="199"/>
      <c r="W460" s="199"/>
      <c r="X460" s="136"/>
      <c r="Y460" s="199"/>
      <c r="Z460" s="199"/>
      <c r="AA460" s="199"/>
      <c r="AB460" s="199"/>
      <c r="AC460" s="136"/>
      <c r="AD460" s="199"/>
      <c r="AE460" s="199"/>
      <c r="AF460" s="199"/>
      <c r="AG460" s="199"/>
      <c r="AH460" s="136"/>
      <c r="AI460" s="199"/>
      <c r="AJ460" s="199"/>
      <c r="AK460" s="199"/>
      <c r="AL460" s="199"/>
      <c r="AM460" s="136"/>
      <c r="AN460" s="199"/>
      <c r="AO460" s="199"/>
      <c r="AP460" s="199"/>
      <c r="AQ460" s="199"/>
      <c r="AR460" s="136"/>
      <c r="AS460" s="199"/>
      <c r="AT460" s="199"/>
      <c r="AU460" s="199"/>
      <c r="AV460" s="199"/>
      <c r="AW460" s="136"/>
      <c r="AX460" s="199"/>
      <c r="AY460" s="199"/>
      <c r="AZ460" s="199"/>
      <c r="BA460" s="199"/>
      <c r="BB460" s="136"/>
      <c r="BC460" s="199"/>
      <c r="BD460" s="199"/>
      <c r="BE460" s="199"/>
      <c r="BF460" s="199"/>
      <c r="BG460" s="136"/>
      <c r="BH460" s="199"/>
      <c r="BI460" s="199"/>
      <c r="BJ460" s="199"/>
    </row>
    <row r="461" spans="1:62" x14ac:dyDescent="0.25">
      <c r="A461" s="199"/>
      <c r="B461" s="136"/>
      <c r="C461" s="199"/>
      <c r="D461" s="199"/>
      <c r="E461" s="199"/>
      <c r="F461" s="199"/>
      <c r="G461" s="199"/>
      <c r="H461" s="199"/>
      <c r="I461" s="136"/>
      <c r="J461" s="199"/>
      <c r="K461" s="199"/>
      <c r="L461" s="199"/>
      <c r="M461" s="199"/>
      <c r="N461" s="136"/>
      <c r="O461" s="199"/>
      <c r="P461" s="199"/>
      <c r="Q461" s="199"/>
      <c r="R461" s="199"/>
      <c r="S461" s="136"/>
      <c r="T461" s="199"/>
      <c r="U461" s="199"/>
      <c r="V461" s="199"/>
      <c r="W461" s="199"/>
      <c r="X461" s="136"/>
      <c r="Y461" s="199"/>
      <c r="Z461" s="199"/>
      <c r="AA461" s="199"/>
      <c r="AB461" s="199"/>
      <c r="AC461" s="136"/>
      <c r="AD461" s="199"/>
      <c r="AE461" s="199"/>
      <c r="AF461" s="199"/>
      <c r="AG461" s="199"/>
      <c r="AH461" s="136"/>
      <c r="AI461" s="199"/>
      <c r="AJ461" s="199"/>
      <c r="AK461" s="199"/>
      <c r="AL461" s="199"/>
      <c r="AM461" s="136"/>
      <c r="AN461" s="199"/>
      <c r="AO461" s="199"/>
      <c r="AP461" s="199"/>
      <c r="AQ461" s="199"/>
      <c r="AR461" s="136"/>
      <c r="AS461" s="199"/>
      <c r="AT461" s="199"/>
      <c r="AU461" s="199"/>
      <c r="AV461" s="199"/>
      <c r="AW461" s="136"/>
      <c r="AX461" s="199"/>
      <c r="AY461" s="199"/>
      <c r="AZ461" s="199"/>
      <c r="BA461" s="199"/>
      <c r="BB461" s="136"/>
      <c r="BC461" s="199"/>
      <c r="BD461" s="199"/>
      <c r="BE461" s="199"/>
      <c r="BF461" s="199"/>
      <c r="BG461" s="136"/>
      <c r="BH461" s="199"/>
      <c r="BI461" s="199"/>
      <c r="BJ461" s="199"/>
    </row>
    <row r="465" spans="1:62" ht="36" x14ac:dyDescent="0.25">
      <c r="A465" s="169"/>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row>
    <row r="466" spans="1:62" x14ac:dyDescent="0.25">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row>
    <row r="467" spans="1:62" x14ac:dyDescent="0.25">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row>
    <row r="468" spans="1:62" ht="36" x14ac:dyDescent="0.25">
      <c r="A468" s="169"/>
      <c r="B468" s="169"/>
      <c r="C468" s="169"/>
      <c r="D468" s="169"/>
      <c r="E468" s="169"/>
      <c r="F468" s="169"/>
      <c r="G468" s="169"/>
      <c r="H468" s="169"/>
      <c r="I468" s="169"/>
      <c r="J468" s="169"/>
      <c r="K468" s="169"/>
      <c r="L468" s="169"/>
      <c r="M468" s="169"/>
      <c r="N468" s="169"/>
      <c r="O468" s="169"/>
      <c r="P468" s="169"/>
      <c r="Q468" s="169"/>
      <c r="R468" s="169"/>
      <c r="S468" s="169"/>
      <c r="T468" s="169"/>
      <c r="U468" s="169"/>
      <c r="V468" s="169"/>
      <c r="W468" s="169"/>
      <c r="X468" s="169"/>
      <c r="Y468" s="169"/>
      <c r="Z468" s="169"/>
      <c r="AA468" s="169"/>
      <c r="AB468" s="169"/>
      <c r="AC468" s="169"/>
      <c r="AD468" s="169"/>
      <c r="AE468" s="169"/>
      <c r="AF468" s="169"/>
      <c r="AG468" s="169"/>
      <c r="AH468" s="169"/>
      <c r="AI468" s="169"/>
      <c r="AJ468" s="169"/>
      <c r="AK468" s="169"/>
      <c r="AL468" s="169"/>
      <c r="AM468" s="169"/>
      <c r="AN468" s="169"/>
      <c r="AO468" s="169"/>
      <c r="AP468" s="169"/>
      <c r="AQ468" s="169"/>
      <c r="AR468" s="169"/>
      <c r="AS468" s="169"/>
      <c r="AT468" s="169"/>
      <c r="AU468" s="169"/>
      <c r="AV468" s="169"/>
      <c r="AW468" s="169"/>
      <c r="AX468" s="169"/>
      <c r="AY468" s="169"/>
      <c r="AZ468" s="169"/>
      <c r="BA468" s="169"/>
      <c r="BB468" s="169"/>
      <c r="BC468" s="169"/>
      <c r="BD468" s="169"/>
      <c r="BE468" s="169"/>
      <c r="BF468" s="169"/>
      <c r="BG468" s="169"/>
      <c r="BH468" s="169"/>
      <c r="BI468" s="169"/>
      <c r="BJ468" s="169"/>
    </row>
    <row r="469" spans="1:62" ht="36" x14ac:dyDescent="0.25">
      <c r="A469" s="169"/>
      <c r="B469" s="169"/>
      <c r="C469" s="169"/>
      <c r="D469" s="169"/>
      <c r="E469" s="169"/>
      <c r="F469" s="169"/>
      <c r="G469" s="169"/>
      <c r="H469" s="169"/>
      <c r="I469" s="169"/>
      <c r="J469" s="169"/>
      <c r="K469" s="169"/>
      <c r="L469" s="169"/>
      <c r="M469" s="169"/>
      <c r="N469" s="169"/>
      <c r="O469" s="169"/>
      <c r="P469" s="169"/>
      <c r="Q469" s="169"/>
      <c r="R469" s="169"/>
      <c r="S469" s="169"/>
      <c r="T469" s="169"/>
      <c r="U469" s="169"/>
      <c r="V469" s="169"/>
      <c r="W469" s="169"/>
      <c r="X469" s="169"/>
      <c r="Y469" s="169"/>
      <c r="Z469" s="169"/>
      <c r="AA469" s="169"/>
      <c r="AB469" s="169"/>
      <c r="AC469" s="169"/>
      <c r="AD469" s="169"/>
      <c r="AE469" s="169"/>
      <c r="AF469" s="169"/>
      <c r="AG469" s="169"/>
      <c r="AH469" s="169"/>
      <c r="AI469" s="169"/>
      <c r="AJ469" s="169"/>
      <c r="AK469" s="169"/>
      <c r="AL469" s="169"/>
      <c r="AM469" s="169"/>
      <c r="AN469" s="169"/>
      <c r="AO469" s="169"/>
      <c r="AP469" s="169"/>
      <c r="AQ469" s="169"/>
      <c r="AR469" s="169"/>
      <c r="AS469" s="169"/>
      <c r="AT469" s="169"/>
      <c r="AU469" s="169"/>
      <c r="AV469" s="169"/>
      <c r="AW469" s="169"/>
      <c r="AX469" s="169"/>
      <c r="AY469" s="169"/>
      <c r="AZ469" s="169"/>
      <c r="BA469" s="169"/>
      <c r="BB469" s="169"/>
      <c r="BC469" s="169"/>
      <c r="BD469" s="169"/>
      <c r="BE469" s="169"/>
      <c r="BF469" s="169"/>
      <c r="BG469" s="169"/>
      <c r="BH469" s="169"/>
      <c r="BI469" s="169"/>
      <c r="BJ469" s="169"/>
    </row>
    <row r="470" spans="1:62" ht="36" x14ac:dyDescent="0.25">
      <c r="A470" s="169"/>
      <c r="B470" s="169"/>
      <c r="C470" s="169"/>
      <c r="D470" s="169"/>
      <c r="E470" s="169"/>
      <c r="F470" s="169"/>
      <c r="G470" s="169"/>
      <c r="H470" s="169"/>
      <c r="I470" s="169"/>
      <c r="J470" s="169"/>
      <c r="K470" s="169"/>
      <c r="L470" s="169"/>
      <c r="M470" s="169"/>
      <c r="N470" s="169"/>
      <c r="O470" s="169"/>
      <c r="P470" s="169"/>
      <c r="Q470" s="169"/>
      <c r="R470" s="169"/>
      <c r="S470" s="169"/>
      <c r="T470" s="169"/>
      <c r="U470" s="169"/>
      <c r="V470" s="169"/>
      <c r="W470" s="169"/>
      <c r="X470" s="169"/>
      <c r="Y470" s="169"/>
      <c r="Z470" s="169"/>
      <c r="AA470" s="169"/>
      <c r="AB470" s="169"/>
      <c r="AC470" s="169"/>
      <c r="AD470" s="169"/>
      <c r="AE470" s="169"/>
      <c r="AF470" s="169"/>
      <c r="AG470" s="169"/>
      <c r="AH470" s="169"/>
      <c r="AI470" s="169"/>
      <c r="AJ470" s="169"/>
      <c r="AK470" s="169"/>
      <c r="AL470" s="169"/>
      <c r="AM470" s="169"/>
      <c r="AN470" s="169"/>
      <c r="AO470" s="169"/>
      <c r="AP470" s="169"/>
      <c r="AQ470" s="169"/>
      <c r="AR470" s="169"/>
      <c r="AS470" s="169"/>
      <c r="AT470" s="169"/>
      <c r="AU470" s="169"/>
      <c r="AV470" s="169"/>
      <c r="AW470" s="169"/>
      <c r="AX470" s="169"/>
      <c r="AY470" s="169"/>
      <c r="AZ470" s="169"/>
      <c r="BA470" s="169"/>
      <c r="BB470" s="169"/>
      <c r="BC470" s="169"/>
      <c r="BD470" s="169"/>
      <c r="BE470" s="169"/>
      <c r="BF470" s="169"/>
      <c r="BG470" s="169"/>
      <c r="BH470" s="169"/>
      <c r="BI470" s="169"/>
      <c r="BJ470" s="169"/>
    </row>
    <row r="471" spans="1:62" x14ac:dyDescent="0.25">
      <c r="F471" s="194"/>
      <c r="G471" s="194"/>
    </row>
    <row r="473" spans="1:62" x14ac:dyDescent="0.25">
      <c r="A473" s="199"/>
      <c r="B473" s="136"/>
      <c r="C473" s="199"/>
      <c r="D473" s="199"/>
      <c r="E473" s="199"/>
      <c r="F473" s="199"/>
      <c r="G473" s="199"/>
      <c r="H473" s="199"/>
      <c r="I473" s="136"/>
      <c r="J473" s="199"/>
      <c r="K473" s="199"/>
      <c r="L473" s="199"/>
      <c r="M473" s="199"/>
      <c r="N473" s="136"/>
      <c r="O473" s="199"/>
      <c r="P473" s="199"/>
      <c r="Q473" s="199"/>
      <c r="R473" s="199"/>
      <c r="S473" s="136"/>
      <c r="T473" s="199"/>
      <c r="U473" s="199"/>
      <c r="V473" s="199"/>
      <c r="W473" s="199"/>
      <c r="X473" s="136"/>
      <c r="Y473" s="199"/>
      <c r="Z473" s="199"/>
      <c r="AA473" s="199"/>
      <c r="AB473" s="199"/>
      <c r="AC473" s="136"/>
      <c r="AD473" s="199"/>
      <c r="AE473" s="199"/>
      <c r="AF473" s="199"/>
      <c r="AG473" s="199"/>
      <c r="AH473" s="136"/>
      <c r="AI473" s="199"/>
      <c r="AJ473" s="199"/>
      <c r="AK473" s="199"/>
      <c r="AL473" s="199"/>
      <c r="AM473" s="136"/>
      <c r="AN473" s="199"/>
      <c r="AO473" s="199"/>
      <c r="AP473" s="199"/>
      <c r="AQ473" s="199"/>
      <c r="AR473" s="136"/>
      <c r="AS473" s="199"/>
      <c r="AT473" s="199"/>
      <c r="AU473" s="199"/>
      <c r="AV473" s="199"/>
      <c r="AW473" s="136"/>
      <c r="AX473" s="199"/>
      <c r="AY473" s="199"/>
      <c r="AZ473" s="199"/>
      <c r="BA473" s="199"/>
      <c r="BB473" s="136"/>
      <c r="BC473" s="199"/>
      <c r="BD473" s="199"/>
      <c r="BE473" s="199"/>
      <c r="BF473" s="199"/>
      <c r="BG473" s="136"/>
      <c r="BH473" s="199"/>
      <c r="BI473" s="199"/>
      <c r="BJ473" s="199"/>
    </row>
    <row r="474" spans="1:62" x14ac:dyDescent="0.25">
      <c r="A474" s="199"/>
      <c r="B474" s="136"/>
      <c r="C474" s="199"/>
      <c r="D474" s="199"/>
      <c r="E474" s="199"/>
      <c r="F474" s="199"/>
      <c r="G474" s="199"/>
      <c r="H474" s="199"/>
      <c r="I474" s="136"/>
      <c r="J474" s="199"/>
      <c r="K474" s="199"/>
      <c r="L474" s="199"/>
      <c r="M474" s="199"/>
      <c r="N474" s="136"/>
      <c r="O474" s="199"/>
      <c r="P474" s="199"/>
      <c r="Q474" s="199"/>
      <c r="R474" s="199"/>
      <c r="S474" s="136"/>
      <c r="T474" s="199"/>
      <c r="U474" s="199"/>
      <c r="V474" s="199"/>
      <c r="W474" s="199"/>
      <c r="X474" s="136"/>
      <c r="Y474" s="199"/>
      <c r="Z474" s="199"/>
      <c r="AA474" s="199"/>
      <c r="AB474" s="199"/>
      <c r="AC474" s="136"/>
      <c r="AD474" s="199"/>
      <c r="AE474" s="199"/>
      <c r="AF474" s="199"/>
      <c r="AG474" s="199"/>
      <c r="AH474" s="136"/>
      <c r="AI474" s="199"/>
      <c r="AJ474" s="199"/>
      <c r="AK474" s="199"/>
      <c r="AL474" s="199"/>
      <c r="AM474" s="136"/>
      <c r="AN474" s="199"/>
      <c r="AO474" s="199"/>
      <c r="AP474" s="199"/>
      <c r="AQ474" s="199"/>
      <c r="AR474" s="136"/>
      <c r="AS474" s="199"/>
      <c r="AT474" s="199"/>
      <c r="AU474" s="199"/>
      <c r="AV474" s="199"/>
      <c r="AW474" s="136"/>
      <c r="AX474" s="199"/>
      <c r="AY474" s="199"/>
      <c r="AZ474" s="199"/>
      <c r="BA474" s="199"/>
      <c r="BB474" s="136"/>
      <c r="BC474" s="199"/>
      <c r="BD474" s="199"/>
      <c r="BE474" s="199"/>
      <c r="BF474" s="199"/>
      <c r="BG474" s="136"/>
      <c r="BH474" s="199"/>
      <c r="BI474" s="199"/>
      <c r="BJ474" s="199"/>
    </row>
    <row r="475" spans="1:62" x14ac:dyDescent="0.25">
      <c r="A475" s="199"/>
      <c r="B475" s="136"/>
      <c r="C475" s="199"/>
      <c r="D475" s="199"/>
      <c r="E475" s="199"/>
      <c r="F475" s="199"/>
      <c r="G475" s="199"/>
      <c r="H475" s="199"/>
      <c r="I475" s="136"/>
      <c r="J475" s="199"/>
      <c r="K475" s="199"/>
      <c r="L475" s="199"/>
      <c r="M475" s="199"/>
      <c r="N475" s="136"/>
      <c r="O475" s="199"/>
      <c r="P475" s="199"/>
      <c r="Q475" s="199"/>
      <c r="R475" s="199"/>
      <c r="S475" s="136"/>
      <c r="T475" s="199"/>
      <c r="U475" s="199"/>
      <c r="V475" s="199"/>
      <c r="W475" s="199"/>
      <c r="X475" s="136"/>
      <c r="Y475" s="199"/>
      <c r="Z475" s="199"/>
      <c r="AA475" s="199"/>
      <c r="AB475" s="199"/>
      <c r="AC475" s="136"/>
      <c r="AD475" s="199"/>
      <c r="AE475" s="199"/>
      <c r="AF475" s="199"/>
      <c r="AG475" s="199"/>
      <c r="AH475" s="136"/>
      <c r="AI475" s="199"/>
      <c r="AJ475" s="199"/>
      <c r="AK475" s="199"/>
      <c r="AL475" s="199"/>
      <c r="AM475" s="136"/>
      <c r="AN475" s="199"/>
      <c r="AO475" s="199"/>
      <c r="AP475" s="199"/>
      <c r="AQ475" s="199"/>
      <c r="AR475" s="136"/>
      <c r="AS475" s="199"/>
      <c r="AT475" s="199"/>
      <c r="AU475" s="199"/>
      <c r="AV475" s="199"/>
      <c r="AW475" s="136"/>
      <c r="AX475" s="199"/>
      <c r="AY475" s="199"/>
      <c r="AZ475" s="199"/>
      <c r="BA475" s="199"/>
      <c r="BB475" s="136"/>
      <c r="BC475" s="199"/>
      <c r="BD475" s="199"/>
      <c r="BE475" s="199"/>
      <c r="BF475" s="199"/>
      <c r="BG475" s="136"/>
      <c r="BH475" s="199"/>
      <c r="BI475" s="199"/>
      <c r="BJ475" s="199"/>
    </row>
    <row r="476" spans="1:62" x14ac:dyDescent="0.25">
      <c r="A476" s="199"/>
      <c r="B476" s="136"/>
      <c r="C476" s="199"/>
      <c r="D476" s="199"/>
      <c r="E476" s="199"/>
      <c r="F476" s="199"/>
      <c r="G476" s="199"/>
      <c r="H476" s="199"/>
      <c r="I476" s="136"/>
      <c r="J476" s="199"/>
      <c r="K476" s="199"/>
      <c r="L476" s="199"/>
      <c r="M476" s="199"/>
      <c r="N476" s="136"/>
      <c r="O476" s="199"/>
      <c r="P476" s="199"/>
      <c r="Q476" s="199"/>
      <c r="R476" s="199"/>
      <c r="S476" s="136"/>
      <c r="T476" s="199"/>
      <c r="U476" s="199"/>
      <c r="V476" s="199"/>
      <c r="W476" s="199"/>
      <c r="X476" s="136"/>
      <c r="Y476" s="199"/>
      <c r="Z476" s="199"/>
      <c r="AA476" s="199"/>
      <c r="AB476" s="199"/>
      <c r="AC476" s="136"/>
      <c r="AD476" s="199"/>
      <c r="AE476" s="199"/>
      <c r="AF476" s="199"/>
      <c r="AG476" s="199"/>
      <c r="AH476" s="136"/>
      <c r="AI476" s="199"/>
      <c r="AJ476" s="199"/>
      <c r="AK476" s="199"/>
      <c r="AL476" s="199"/>
      <c r="AM476" s="136"/>
      <c r="AN476" s="199"/>
      <c r="AO476" s="199"/>
      <c r="AP476" s="199"/>
      <c r="AQ476" s="199"/>
      <c r="AR476" s="136"/>
      <c r="AS476" s="199"/>
      <c r="AT476" s="199"/>
      <c r="AU476" s="199"/>
      <c r="AV476" s="199"/>
      <c r="AW476" s="136"/>
      <c r="AX476" s="199"/>
      <c r="AY476" s="199"/>
      <c r="AZ476" s="199"/>
      <c r="BA476" s="199"/>
      <c r="BB476" s="136"/>
      <c r="BC476" s="199"/>
      <c r="BD476" s="199"/>
      <c r="BE476" s="199"/>
      <c r="BF476" s="199"/>
      <c r="BG476" s="136"/>
      <c r="BH476" s="199"/>
      <c r="BI476" s="199"/>
      <c r="BJ476" s="199"/>
    </row>
    <row r="477" spans="1:62" x14ac:dyDescent="0.25">
      <c r="A477" s="199"/>
      <c r="B477" s="136"/>
      <c r="C477" s="199"/>
      <c r="D477" s="199"/>
      <c r="E477" s="199"/>
      <c r="F477" s="199"/>
      <c r="G477" s="199"/>
      <c r="H477" s="199"/>
      <c r="I477" s="136"/>
      <c r="J477" s="199"/>
      <c r="K477" s="199"/>
      <c r="L477" s="199"/>
      <c r="M477" s="199"/>
      <c r="N477" s="136"/>
      <c r="O477" s="199"/>
      <c r="P477" s="199"/>
      <c r="Q477" s="199"/>
      <c r="R477" s="199"/>
      <c r="S477" s="136"/>
      <c r="T477" s="199"/>
      <c r="U477" s="199"/>
      <c r="V477" s="199"/>
      <c r="W477" s="199"/>
      <c r="X477" s="136"/>
      <c r="Y477" s="199"/>
      <c r="Z477" s="199"/>
      <c r="AA477" s="199"/>
      <c r="AB477" s="199"/>
      <c r="AC477" s="136"/>
      <c r="AD477" s="199"/>
      <c r="AE477" s="199"/>
      <c r="AF477" s="199"/>
      <c r="AG477" s="199"/>
      <c r="AH477" s="136"/>
      <c r="AI477" s="199"/>
      <c r="AJ477" s="199"/>
      <c r="AK477" s="199"/>
      <c r="AL477" s="199"/>
      <c r="AM477" s="136"/>
      <c r="AN477" s="199"/>
      <c r="AO477" s="199"/>
      <c r="AP477" s="199"/>
      <c r="AQ477" s="199"/>
      <c r="AR477" s="136"/>
      <c r="AS477" s="199"/>
      <c r="AT477" s="199"/>
      <c r="AU477" s="199"/>
      <c r="AV477" s="199"/>
      <c r="AW477" s="136"/>
      <c r="AX477" s="199"/>
      <c r="AY477" s="199"/>
      <c r="AZ477" s="199"/>
      <c r="BA477" s="199"/>
      <c r="BB477" s="136"/>
      <c r="BC477" s="199"/>
      <c r="BD477" s="199"/>
      <c r="BE477" s="199"/>
      <c r="BF477" s="199"/>
      <c r="BG477" s="136"/>
      <c r="BH477" s="199"/>
      <c r="BI477" s="199"/>
      <c r="BJ477" s="199"/>
    </row>
    <row r="478" spans="1:62" x14ac:dyDescent="0.25">
      <c r="A478" s="199"/>
      <c r="B478" s="136"/>
      <c r="C478" s="199"/>
      <c r="D478" s="199"/>
      <c r="E478" s="199"/>
      <c r="F478" s="199"/>
      <c r="G478" s="199"/>
      <c r="H478" s="199"/>
      <c r="I478" s="136"/>
      <c r="J478" s="199"/>
      <c r="K478" s="199"/>
      <c r="L478" s="199"/>
      <c r="M478" s="199"/>
      <c r="N478" s="136"/>
      <c r="O478" s="199"/>
      <c r="P478" s="199"/>
      <c r="Q478" s="199"/>
      <c r="R478" s="199"/>
      <c r="S478" s="136"/>
      <c r="T478" s="199"/>
      <c r="U478" s="199"/>
      <c r="V478" s="199"/>
      <c r="W478" s="199"/>
      <c r="X478" s="136"/>
      <c r="Y478" s="199"/>
      <c r="Z478" s="199"/>
      <c r="AA478" s="199"/>
      <c r="AB478" s="199"/>
      <c r="AC478" s="136"/>
      <c r="AD478" s="199"/>
      <c r="AE478" s="199"/>
      <c r="AF478" s="199"/>
      <c r="AG478" s="199"/>
      <c r="AH478" s="136"/>
      <c r="AI478" s="199"/>
      <c r="AJ478" s="199"/>
      <c r="AK478" s="199"/>
      <c r="AL478" s="199"/>
      <c r="AM478" s="136"/>
      <c r="AN478" s="199"/>
      <c r="AO478" s="199"/>
      <c r="AP478" s="199"/>
      <c r="AQ478" s="199"/>
      <c r="AR478" s="136"/>
      <c r="AS478" s="199"/>
      <c r="AT478" s="199"/>
      <c r="AU478" s="199"/>
      <c r="AV478" s="199"/>
      <c r="AW478" s="136"/>
      <c r="AX478" s="199"/>
      <c r="AY478" s="199"/>
      <c r="AZ478" s="199"/>
      <c r="BA478" s="199"/>
      <c r="BB478" s="136"/>
      <c r="BC478" s="199"/>
      <c r="BD478" s="199"/>
      <c r="BE478" s="199"/>
      <c r="BF478" s="199"/>
      <c r="BG478" s="136"/>
      <c r="BH478" s="199"/>
      <c r="BI478" s="199"/>
      <c r="BJ478" s="199"/>
    </row>
    <row r="479" spans="1:62" x14ac:dyDescent="0.25">
      <c r="A479" s="199"/>
      <c r="B479" s="136"/>
      <c r="C479" s="199"/>
      <c r="D479" s="199"/>
      <c r="E479" s="199"/>
      <c r="F479" s="199"/>
      <c r="G479" s="199"/>
      <c r="H479" s="199"/>
      <c r="I479" s="136"/>
      <c r="J479" s="199"/>
      <c r="K479" s="199"/>
      <c r="L479" s="199"/>
      <c r="M479" s="199"/>
      <c r="N479" s="136"/>
      <c r="O479" s="199"/>
      <c r="P479" s="199"/>
      <c r="Q479" s="199"/>
      <c r="R479" s="199"/>
      <c r="S479" s="136"/>
      <c r="T479" s="199"/>
      <c r="U479" s="199"/>
      <c r="V479" s="199"/>
      <c r="W479" s="199"/>
      <c r="X479" s="136"/>
      <c r="Y479" s="199"/>
      <c r="Z479" s="199"/>
      <c r="AA479" s="199"/>
      <c r="AB479" s="199"/>
      <c r="AC479" s="136"/>
      <c r="AD479" s="199"/>
      <c r="AE479" s="199"/>
      <c r="AF479" s="199"/>
      <c r="AG479" s="199"/>
      <c r="AH479" s="136"/>
      <c r="AI479" s="199"/>
      <c r="AJ479" s="199"/>
      <c r="AK479" s="199"/>
      <c r="AL479" s="199"/>
      <c r="AM479" s="136"/>
      <c r="AN479" s="199"/>
      <c r="AO479" s="199"/>
      <c r="AP479" s="199"/>
      <c r="AQ479" s="199"/>
      <c r="AR479" s="136"/>
      <c r="AS479" s="199"/>
      <c r="AT479" s="199"/>
      <c r="AU479" s="199"/>
      <c r="AV479" s="199"/>
      <c r="AW479" s="136"/>
      <c r="AX479" s="199"/>
      <c r="AY479" s="199"/>
      <c r="AZ479" s="199"/>
      <c r="BA479" s="199"/>
      <c r="BB479" s="136"/>
      <c r="BC479" s="199"/>
      <c r="BD479" s="199"/>
      <c r="BE479" s="199"/>
      <c r="BF479" s="199"/>
      <c r="BG479" s="136"/>
      <c r="BH479" s="199"/>
      <c r="BI479" s="199"/>
      <c r="BJ479" s="199"/>
    </row>
    <row r="480" spans="1:62" x14ac:dyDescent="0.25">
      <c r="A480" s="199"/>
      <c r="B480" s="136"/>
      <c r="C480" s="199"/>
      <c r="D480" s="199"/>
      <c r="E480" s="199"/>
      <c r="F480" s="199"/>
      <c r="G480" s="199"/>
      <c r="H480" s="199"/>
      <c r="I480" s="136"/>
      <c r="J480" s="199"/>
      <c r="K480" s="199"/>
      <c r="L480" s="199"/>
      <c r="M480" s="199"/>
      <c r="N480" s="136"/>
      <c r="O480" s="199"/>
      <c r="P480" s="199"/>
      <c r="Q480" s="199"/>
      <c r="R480" s="199"/>
      <c r="S480" s="136"/>
      <c r="T480" s="199"/>
      <c r="U480" s="199"/>
      <c r="V480" s="199"/>
      <c r="W480" s="199"/>
      <c r="X480" s="136"/>
      <c r="Y480" s="199"/>
      <c r="Z480" s="199"/>
      <c r="AA480" s="199"/>
      <c r="AB480" s="199"/>
      <c r="AC480" s="136"/>
      <c r="AD480" s="199"/>
      <c r="AE480" s="199"/>
      <c r="AF480" s="199"/>
      <c r="AG480" s="199"/>
      <c r="AH480" s="136"/>
      <c r="AI480" s="199"/>
      <c r="AJ480" s="199"/>
      <c r="AK480" s="199"/>
      <c r="AL480" s="199"/>
      <c r="AM480" s="136"/>
      <c r="AN480" s="199"/>
      <c r="AO480" s="199"/>
      <c r="AP480" s="199"/>
      <c r="AQ480" s="199"/>
      <c r="AR480" s="136"/>
      <c r="AS480" s="199"/>
      <c r="AT480" s="199"/>
      <c r="AU480" s="199"/>
      <c r="AV480" s="199"/>
      <c r="AW480" s="136"/>
      <c r="AX480" s="199"/>
      <c r="AY480" s="199"/>
      <c r="AZ480" s="199"/>
      <c r="BA480" s="199"/>
      <c r="BB480" s="136"/>
      <c r="BC480" s="199"/>
      <c r="BD480" s="199"/>
      <c r="BE480" s="199"/>
      <c r="BF480" s="199"/>
      <c r="BG480" s="136"/>
      <c r="BH480" s="199"/>
      <c r="BI480" s="199"/>
      <c r="BJ480" s="199"/>
    </row>
    <row r="484" spans="1:62" ht="36" x14ac:dyDescent="0.25">
      <c r="A484" s="169"/>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row>
    <row r="485" spans="1:62" x14ac:dyDescent="0.25">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row>
    <row r="486" spans="1:62" x14ac:dyDescent="0.25">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row>
    <row r="487" spans="1:62" ht="36" x14ac:dyDescent="0.25">
      <c r="A487" s="169"/>
      <c r="B487" s="169"/>
      <c r="C487" s="169"/>
      <c r="D487" s="169"/>
      <c r="E487" s="169"/>
      <c r="F487" s="169"/>
      <c r="G487" s="169"/>
      <c r="H487" s="169"/>
      <c r="I487" s="169"/>
      <c r="J487" s="169"/>
      <c r="K487" s="169"/>
      <c r="L487" s="169"/>
      <c r="M487" s="169"/>
      <c r="N487" s="169"/>
      <c r="O487" s="169"/>
      <c r="P487" s="169"/>
      <c r="Q487" s="169"/>
      <c r="R487" s="169"/>
      <c r="S487" s="169"/>
      <c r="T487" s="169"/>
      <c r="U487" s="169"/>
      <c r="V487" s="169"/>
      <c r="W487" s="169"/>
      <c r="X487" s="169"/>
      <c r="Y487" s="169"/>
      <c r="Z487" s="169"/>
      <c r="AA487" s="169"/>
      <c r="AB487" s="169"/>
      <c r="AC487" s="169"/>
      <c r="AD487" s="169"/>
      <c r="AE487" s="169"/>
      <c r="AF487" s="169"/>
      <c r="AG487" s="169"/>
      <c r="AH487" s="169"/>
      <c r="AI487" s="169"/>
      <c r="AJ487" s="169"/>
      <c r="AK487" s="169"/>
      <c r="AL487" s="169"/>
      <c r="AM487" s="169"/>
      <c r="AN487" s="169"/>
      <c r="AO487" s="169"/>
      <c r="AP487" s="169"/>
      <c r="AQ487" s="169"/>
      <c r="AR487" s="169"/>
      <c r="AS487" s="169"/>
      <c r="AT487" s="169"/>
      <c r="AU487" s="169"/>
      <c r="AV487" s="169"/>
      <c r="AW487" s="169"/>
      <c r="AX487" s="169"/>
      <c r="AY487" s="169"/>
      <c r="AZ487" s="169"/>
      <c r="BA487" s="169"/>
      <c r="BB487" s="169"/>
      <c r="BC487" s="169"/>
      <c r="BD487" s="169"/>
      <c r="BE487" s="169"/>
      <c r="BF487" s="169"/>
      <c r="BG487" s="169"/>
      <c r="BH487" s="169"/>
      <c r="BI487" s="169"/>
      <c r="BJ487" s="169"/>
    </row>
    <row r="488" spans="1:62" ht="36" x14ac:dyDescent="0.25">
      <c r="A488" s="169"/>
      <c r="B488" s="169"/>
      <c r="C488" s="169"/>
      <c r="D488" s="169"/>
      <c r="E488" s="169"/>
      <c r="F488" s="169"/>
      <c r="G488" s="169"/>
      <c r="H488" s="169"/>
      <c r="I488" s="169"/>
      <c r="J488" s="169"/>
      <c r="K488" s="169"/>
      <c r="L488" s="169"/>
      <c r="M488" s="169"/>
      <c r="N488" s="169"/>
      <c r="O488" s="169"/>
      <c r="P488" s="169"/>
      <c r="Q488" s="169"/>
      <c r="R488" s="169"/>
      <c r="S488" s="169"/>
      <c r="T488" s="169"/>
      <c r="U488" s="169"/>
      <c r="V488" s="169"/>
      <c r="W488" s="169"/>
      <c r="X488" s="169"/>
      <c r="Y488" s="169"/>
      <c r="Z488" s="169"/>
      <c r="AA488" s="169"/>
      <c r="AB488" s="169"/>
      <c r="AC488" s="169"/>
      <c r="AD488" s="169"/>
      <c r="AE488" s="169"/>
      <c r="AF488" s="169"/>
      <c r="AG488" s="169"/>
      <c r="AH488" s="169"/>
      <c r="AI488" s="169"/>
      <c r="AJ488" s="169"/>
      <c r="AK488" s="169"/>
      <c r="AL488" s="169"/>
      <c r="AM488" s="169"/>
      <c r="AN488" s="169"/>
      <c r="AO488" s="169"/>
      <c r="AP488" s="169"/>
      <c r="AQ488" s="169"/>
      <c r="AR488" s="169"/>
      <c r="AS488" s="169"/>
      <c r="AT488" s="169"/>
      <c r="AU488" s="169"/>
      <c r="AV488" s="169"/>
      <c r="AW488" s="169"/>
      <c r="AX488" s="169"/>
      <c r="AY488" s="169"/>
      <c r="AZ488" s="169"/>
      <c r="BA488" s="169"/>
      <c r="BB488" s="169"/>
      <c r="BC488" s="169"/>
      <c r="BD488" s="169"/>
      <c r="BE488" s="169"/>
      <c r="BF488" s="169"/>
      <c r="BG488" s="169"/>
      <c r="BH488" s="169"/>
      <c r="BI488" s="169"/>
      <c r="BJ488" s="169"/>
    </row>
    <row r="489" spans="1:62" ht="36" x14ac:dyDescent="0.25">
      <c r="A489" s="169"/>
      <c r="B489" s="169"/>
      <c r="C489" s="169"/>
      <c r="D489" s="169"/>
      <c r="E489" s="169"/>
      <c r="F489" s="169"/>
      <c r="G489" s="169"/>
      <c r="H489" s="169"/>
      <c r="I489" s="169"/>
      <c r="J489" s="169"/>
      <c r="K489" s="169"/>
      <c r="L489" s="169"/>
      <c r="M489" s="169"/>
      <c r="N489" s="169"/>
      <c r="O489" s="169"/>
      <c r="P489" s="169"/>
      <c r="Q489" s="169"/>
      <c r="R489" s="169"/>
      <c r="S489" s="169"/>
      <c r="T489" s="169"/>
      <c r="U489" s="169"/>
      <c r="V489" s="169"/>
      <c r="W489" s="169"/>
      <c r="X489" s="169"/>
      <c r="Y489" s="169"/>
      <c r="Z489" s="169"/>
      <c r="AA489" s="169"/>
      <c r="AB489" s="169"/>
      <c r="AC489" s="169"/>
      <c r="AD489" s="169"/>
      <c r="AE489" s="169"/>
      <c r="AF489" s="169"/>
      <c r="AG489" s="169"/>
      <c r="AH489" s="169"/>
      <c r="AI489" s="169"/>
      <c r="AJ489" s="169"/>
      <c r="AK489" s="169"/>
      <c r="AL489" s="169"/>
      <c r="AM489" s="169"/>
      <c r="AN489" s="169"/>
      <c r="AO489" s="169"/>
      <c r="AP489" s="169"/>
      <c r="AQ489" s="169"/>
      <c r="AR489" s="169"/>
      <c r="AS489" s="169"/>
      <c r="AT489" s="169"/>
      <c r="AU489" s="169"/>
      <c r="AV489" s="169"/>
      <c r="AW489" s="169"/>
      <c r="AX489" s="169"/>
      <c r="AY489" s="169"/>
      <c r="AZ489" s="169"/>
      <c r="BA489" s="169"/>
      <c r="BB489" s="169"/>
      <c r="BC489" s="169"/>
      <c r="BD489" s="169"/>
      <c r="BE489" s="169"/>
      <c r="BF489" s="169"/>
      <c r="BG489" s="169"/>
      <c r="BH489" s="169"/>
      <c r="BI489" s="169"/>
      <c r="BJ489" s="169"/>
    </row>
    <row r="490" spans="1:62" x14ac:dyDescent="0.25">
      <c r="F490" s="194"/>
      <c r="G490" s="194"/>
    </row>
    <row r="492" spans="1:62" x14ac:dyDescent="0.25">
      <c r="A492" s="199"/>
      <c r="B492" s="136"/>
      <c r="C492" s="199"/>
      <c r="D492" s="199"/>
      <c r="E492" s="199"/>
      <c r="F492" s="199"/>
      <c r="G492" s="199"/>
      <c r="H492" s="199"/>
      <c r="I492" s="136"/>
      <c r="J492" s="199"/>
      <c r="K492" s="199"/>
      <c r="L492" s="199"/>
      <c r="M492" s="199"/>
      <c r="N492" s="136"/>
      <c r="O492" s="199"/>
      <c r="P492" s="199"/>
      <c r="Q492" s="199"/>
      <c r="R492" s="199"/>
      <c r="S492" s="136"/>
      <c r="T492" s="199"/>
      <c r="U492" s="199"/>
      <c r="V492" s="199"/>
      <c r="W492" s="199"/>
      <c r="X492" s="136"/>
      <c r="Y492" s="199"/>
      <c r="Z492" s="199"/>
      <c r="AA492" s="199"/>
      <c r="AB492" s="199"/>
      <c r="AC492" s="136"/>
      <c r="AD492" s="199"/>
      <c r="AE492" s="199"/>
      <c r="AF492" s="199"/>
      <c r="AG492" s="199"/>
      <c r="AH492" s="136"/>
      <c r="AI492" s="199"/>
      <c r="AJ492" s="199"/>
      <c r="AK492" s="199"/>
      <c r="AL492" s="199"/>
      <c r="AM492" s="136"/>
      <c r="AN492" s="199"/>
      <c r="AO492" s="199"/>
      <c r="AP492" s="199"/>
      <c r="AQ492" s="199"/>
      <c r="AR492" s="136"/>
      <c r="AS492" s="199"/>
      <c r="AT492" s="199"/>
      <c r="AU492" s="199"/>
      <c r="AV492" s="199"/>
      <c r="AW492" s="136"/>
      <c r="AX492" s="199"/>
      <c r="AY492" s="199"/>
      <c r="AZ492" s="199"/>
      <c r="BA492" s="199"/>
      <c r="BB492" s="136"/>
      <c r="BC492" s="199"/>
      <c r="BD492" s="199"/>
      <c r="BE492" s="199"/>
      <c r="BF492" s="199"/>
      <c r="BG492" s="136"/>
      <c r="BH492" s="199"/>
      <c r="BI492" s="199"/>
      <c r="BJ492" s="199"/>
    </row>
    <row r="493" spans="1:62" x14ac:dyDescent="0.25">
      <c r="A493" s="199"/>
      <c r="B493" s="136"/>
      <c r="C493" s="199"/>
      <c r="D493" s="199"/>
      <c r="E493" s="199"/>
      <c r="F493" s="199"/>
      <c r="G493" s="199"/>
      <c r="H493" s="199"/>
      <c r="I493" s="136"/>
      <c r="J493" s="199"/>
      <c r="K493" s="199"/>
      <c r="L493" s="199"/>
      <c r="M493" s="199"/>
      <c r="N493" s="136"/>
      <c r="O493" s="199"/>
      <c r="P493" s="199"/>
      <c r="Q493" s="199"/>
      <c r="R493" s="199"/>
      <c r="S493" s="136"/>
      <c r="T493" s="199"/>
      <c r="U493" s="199"/>
      <c r="V493" s="199"/>
      <c r="W493" s="199"/>
      <c r="X493" s="136"/>
      <c r="Y493" s="199"/>
      <c r="Z493" s="199"/>
      <c r="AA493" s="199"/>
      <c r="AB493" s="199"/>
      <c r="AC493" s="136"/>
      <c r="AD493" s="199"/>
      <c r="AE493" s="199"/>
      <c r="AF493" s="199"/>
      <c r="AG493" s="199"/>
      <c r="AH493" s="136"/>
      <c r="AI493" s="199"/>
      <c r="AJ493" s="199"/>
      <c r="AK493" s="199"/>
      <c r="AL493" s="199"/>
      <c r="AM493" s="136"/>
      <c r="AN493" s="199"/>
      <c r="AO493" s="199"/>
      <c r="AP493" s="199"/>
      <c r="AQ493" s="199"/>
      <c r="AR493" s="136"/>
      <c r="AS493" s="199"/>
      <c r="AT493" s="199"/>
      <c r="AU493" s="199"/>
      <c r="AV493" s="199"/>
      <c r="AW493" s="136"/>
      <c r="AX493" s="199"/>
      <c r="AY493" s="199"/>
      <c r="AZ493" s="199"/>
      <c r="BA493" s="199"/>
      <c r="BB493" s="136"/>
      <c r="BC493" s="199"/>
      <c r="BD493" s="199"/>
      <c r="BE493" s="199"/>
      <c r="BF493" s="199"/>
      <c r="BG493" s="136"/>
      <c r="BH493" s="199"/>
      <c r="BI493" s="199"/>
      <c r="BJ493" s="199"/>
    </row>
    <row r="494" spans="1:62" x14ac:dyDescent="0.25">
      <c r="A494" s="199"/>
      <c r="B494" s="136"/>
      <c r="C494" s="199"/>
      <c r="D494" s="199"/>
      <c r="E494" s="199"/>
      <c r="F494" s="199"/>
      <c r="G494" s="199"/>
      <c r="H494" s="199"/>
      <c r="I494" s="136"/>
      <c r="J494" s="199"/>
      <c r="K494" s="199"/>
      <c r="L494" s="199"/>
      <c r="M494" s="199"/>
      <c r="N494" s="136"/>
      <c r="O494" s="199"/>
      <c r="P494" s="199"/>
      <c r="Q494" s="199"/>
      <c r="R494" s="199"/>
      <c r="S494" s="136"/>
      <c r="T494" s="199"/>
      <c r="U494" s="199"/>
      <c r="V494" s="199"/>
      <c r="W494" s="199"/>
      <c r="X494" s="136"/>
      <c r="Y494" s="199"/>
      <c r="Z494" s="199"/>
      <c r="AA494" s="199"/>
      <c r="AB494" s="199"/>
      <c r="AC494" s="136"/>
      <c r="AD494" s="199"/>
      <c r="AE494" s="199"/>
      <c r="AF494" s="199"/>
      <c r="AG494" s="199"/>
      <c r="AH494" s="136"/>
      <c r="AI494" s="199"/>
      <c r="AJ494" s="199"/>
      <c r="AK494" s="199"/>
      <c r="AL494" s="199"/>
      <c r="AM494" s="136"/>
      <c r="AN494" s="199"/>
      <c r="AO494" s="199"/>
      <c r="AP494" s="199"/>
      <c r="AQ494" s="199"/>
      <c r="AR494" s="136"/>
      <c r="AS494" s="199"/>
      <c r="AT494" s="199"/>
      <c r="AU494" s="199"/>
      <c r="AV494" s="199"/>
      <c r="AW494" s="136"/>
      <c r="AX494" s="199"/>
      <c r="AY494" s="199"/>
      <c r="AZ494" s="199"/>
      <c r="BA494" s="199"/>
      <c r="BB494" s="136"/>
      <c r="BC494" s="199"/>
      <c r="BD494" s="199"/>
      <c r="BE494" s="199"/>
      <c r="BF494" s="199"/>
      <c r="BG494" s="136"/>
      <c r="BH494" s="199"/>
      <c r="BI494" s="199"/>
      <c r="BJ494" s="199"/>
    </row>
    <row r="495" spans="1:62" x14ac:dyDescent="0.25">
      <c r="A495" s="199"/>
      <c r="B495" s="136"/>
      <c r="C495" s="199"/>
      <c r="D495" s="199"/>
      <c r="E495" s="199"/>
      <c r="F495" s="199"/>
      <c r="G495" s="199"/>
      <c r="H495" s="199"/>
      <c r="I495" s="136"/>
      <c r="J495" s="199"/>
      <c r="K495" s="199"/>
      <c r="L495" s="199"/>
      <c r="M495" s="199"/>
      <c r="N495" s="136"/>
      <c r="O495" s="199"/>
      <c r="P495" s="199"/>
      <c r="Q495" s="199"/>
      <c r="R495" s="199"/>
      <c r="S495" s="136"/>
      <c r="T495" s="199"/>
      <c r="U495" s="199"/>
      <c r="V495" s="199"/>
      <c r="W495" s="199"/>
      <c r="X495" s="136"/>
      <c r="Y495" s="199"/>
      <c r="Z495" s="199"/>
      <c r="AA495" s="199"/>
      <c r="AB495" s="199"/>
      <c r="AC495" s="136"/>
      <c r="AD495" s="199"/>
      <c r="AE495" s="199"/>
      <c r="AF495" s="199"/>
      <c r="AG495" s="199"/>
      <c r="AH495" s="136"/>
      <c r="AI495" s="199"/>
      <c r="AJ495" s="199"/>
      <c r="AK495" s="199"/>
      <c r="AL495" s="199"/>
      <c r="AM495" s="136"/>
      <c r="AN495" s="199"/>
      <c r="AO495" s="199"/>
      <c r="AP495" s="199"/>
      <c r="AQ495" s="199"/>
      <c r="AR495" s="136"/>
      <c r="AS495" s="199"/>
      <c r="AT495" s="199"/>
      <c r="AU495" s="199"/>
      <c r="AV495" s="199"/>
      <c r="AW495" s="136"/>
      <c r="AX495" s="199"/>
      <c r="AY495" s="199"/>
      <c r="AZ495" s="199"/>
      <c r="BA495" s="199"/>
      <c r="BB495" s="136"/>
      <c r="BC495" s="199"/>
      <c r="BD495" s="199"/>
      <c r="BE495" s="199"/>
      <c r="BF495" s="199"/>
      <c r="BG495" s="136"/>
      <c r="BH495" s="199"/>
      <c r="BI495" s="199"/>
      <c r="BJ495" s="199"/>
    </row>
    <row r="496" spans="1:62" x14ac:dyDescent="0.25">
      <c r="A496" s="199"/>
      <c r="B496" s="136"/>
      <c r="C496" s="199"/>
      <c r="D496" s="199"/>
      <c r="E496" s="199"/>
      <c r="F496" s="199"/>
      <c r="G496" s="199"/>
      <c r="H496" s="199"/>
      <c r="I496" s="136"/>
      <c r="J496" s="199"/>
      <c r="K496" s="199"/>
      <c r="L496" s="199"/>
      <c r="M496" s="199"/>
      <c r="N496" s="136"/>
      <c r="O496" s="199"/>
      <c r="P496" s="199"/>
      <c r="Q496" s="199"/>
      <c r="R496" s="199"/>
      <c r="S496" s="136"/>
      <c r="T496" s="199"/>
      <c r="U496" s="199"/>
      <c r="V496" s="199"/>
      <c r="W496" s="199"/>
      <c r="X496" s="136"/>
      <c r="Y496" s="199"/>
      <c r="Z496" s="199"/>
      <c r="AA496" s="199"/>
      <c r="AB496" s="199"/>
      <c r="AC496" s="136"/>
      <c r="AD496" s="199"/>
      <c r="AE496" s="199"/>
      <c r="AF496" s="199"/>
      <c r="AG496" s="199"/>
      <c r="AH496" s="136"/>
      <c r="AI496" s="199"/>
      <c r="AJ496" s="199"/>
      <c r="AK496" s="199"/>
      <c r="AL496" s="199"/>
      <c r="AM496" s="136"/>
      <c r="AN496" s="199"/>
      <c r="AO496" s="199"/>
      <c r="AP496" s="199"/>
      <c r="AQ496" s="199"/>
      <c r="AR496" s="136"/>
      <c r="AS496" s="199"/>
      <c r="AT496" s="199"/>
      <c r="AU496" s="199"/>
      <c r="AV496" s="199"/>
      <c r="AW496" s="136"/>
      <c r="AX496" s="199"/>
      <c r="AY496" s="199"/>
      <c r="AZ496" s="199"/>
      <c r="BA496" s="199"/>
      <c r="BB496" s="136"/>
      <c r="BC496" s="199"/>
      <c r="BD496" s="199"/>
      <c r="BE496" s="199"/>
      <c r="BF496" s="199"/>
      <c r="BG496" s="136"/>
      <c r="BH496" s="199"/>
      <c r="BI496" s="199"/>
      <c r="BJ496" s="199"/>
    </row>
    <row r="497" spans="1:62" x14ac:dyDescent="0.25">
      <c r="A497" s="199"/>
      <c r="B497" s="136"/>
      <c r="C497" s="199"/>
      <c r="D497" s="199"/>
      <c r="E497" s="199"/>
      <c r="F497" s="199"/>
      <c r="G497" s="199"/>
      <c r="H497" s="199"/>
      <c r="I497" s="136"/>
      <c r="J497" s="199"/>
      <c r="K497" s="199"/>
      <c r="L497" s="199"/>
      <c r="M497" s="199"/>
      <c r="N497" s="136"/>
      <c r="O497" s="199"/>
      <c r="P497" s="199"/>
      <c r="Q497" s="199"/>
      <c r="R497" s="199"/>
      <c r="S497" s="136"/>
      <c r="T497" s="199"/>
      <c r="U497" s="199"/>
      <c r="V497" s="199"/>
      <c r="W497" s="199"/>
      <c r="X497" s="136"/>
      <c r="Y497" s="199"/>
      <c r="Z497" s="199"/>
      <c r="AA497" s="199"/>
      <c r="AB497" s="199"/>
      <c r="AC497" s="136"/>
      <c r="AD497" s="199"/>
      <c r="AE497" s="199"/>
      <c r="AF497" s="199"/>
      <c r="AG497" s="199"/>
      <c r="AH497" s="136"/>
      <c r="AI497" s="199"/>
      <c r="AJ497" s="199"/>
      <c r="AK497" s="199"/>
      <c r="AL497" s="199"/>
      <c r="AM497" s="136"/>
      <c r="AN497" s="199"/>
      <c r="AO497" s="199"/>
      <c r="AP497" s="199"/>
      <c r="AQ497" s="199"/>
      <c r="AR497" s="136"/>
      <c r="AS497" s="199"/>
      <c r="AT497" s="199"/>
      <c r="AU497" s="199"/>
      <c r="AV497" s="199"/>
      <c r="AW497" s="136"/>
      <c r="AX497" s="199"/>
      <c r="AY497" s="199"/>
      <c r="AZ497" s="199"/>
      <c r="BA497" s="199"/>
      <c r="BB497" s="136"/>
      <c r="BC497" s="199"/>
      <c r="BD497" s="199"/>
      <c r="BE497" s="199"/>
      <c r="BF497" s="199"/>
      <c r="BG497" s="136"/>
      <c r="BH497" s="199"/>
      <c r="BI497" s="199"/>
      <c r="BJ497" s="199"/>
    </row>
    <row r="498" spans="1:62" x14ac:dyDescent="0.25">
      <c r="A498" s="199"/>
      <c r="B498" s="136"/>
      <c r="C498" s="199"/>
      <c r="D498" s="199"/>
      <c r="E498" s="199"/>
      <c r="F498" s="199"/>
      <c r="G498" s="199"/>
      <c r="H498" s="199"/>
      <c r="I498" s="136"/>
      <c r="J498" s="199"/>
      <c r="K498" s="199"/>
      <c r="L498" s="199"/>
      <c r="M498" s="199"/>
      <c r="N498" s="136"/>
      <c r="O498" s="199"/>
      <c r="P498" s="199"/>
      <c r="Q498" s="199"/>
      <c r="R498" s="199"/>
      <c r="S498" s="136"/>
      <c r="T498" s="199"/>
      <c r="U498" s="199"/>
      <c r="V498" s="199"/>
      <c r="W498" s="199"/>
      <c r="X498" s="136"/>
      <c r="Y498" s="199"/>
      <c r="Z498" s="199"/>
      <c r="AA498" s="199"/>
      <c r="AB498" s="199"/>
      <c r="AC498" s="136"/>
      <c r="AD498" s="199"/>
      <c r="AE498" s="199"/>
      <c r="AF498" s="199"/>
      <c r="AG498" s="199"/>
      <c r="AH498" s="136"/>
      <c r="AI498" s="199"/>
      <c r="AJ498" s="199"/>
      <c r="AK498" s="199"/>
      <c r="AL498" s="199"/>
      <c r="AM498" s="136"/>
      <c r="AN498" s="199"/>
      <c r="AO498" s="199"/>
      <c r="AP498" s="199"/>
      <c r="AQ498" s="199"/>
      <c r="AR498" s="136"/>
      <c r="AS498" s="199"/>
      <c r="AT498" s="199"/>
      <c r="AU498" s="199"/>
      <c r="AV498" s="199"/>
      <c r="AW498" s="136"/>
      <c r="AX498" s="199"/>
      <c r="AY498" s="199"/>
      <c r="AZ498" s="199"/>
      <c r="BA498" s="199"/>
      <c r="BB498" s="136"/>
      <c r="BC498" s="199"/>
      <c r="BD498" s="199"/>
      <c r="BE498" s="199"/>
      <c r="BF498" s="199"/>
      <c r="BG498" s="136"/>
      <c r="BH498" s="199"/>
      <c r="BI498" s="199"/>
      <c r="BJ498" s="199"/>
    </row>
    <row r="499" spans="1:62" x14ac:dyDescent="0.25">
      <c r="A499" s="199"/>
      <c r="B499" s="136"/>
      <c r="C499" s="199"/>
      <c r="D499" s="199"/>
      <c r="E499" s="199"/>
      <c r="F499" s="199"/>
      <c r="G499" s="199"/>
      <c r="H499" s="199"/>
      <c r="I499" s="136"/>
      <c r="J499" s="199"/>
      <c r="K499" s="199"/>
      <c r="L499" s="199"/>
      <c r="M499" s="199"/>
      <c r="N499" s="136"/>
      <c r="O499" s="199"/>
      <c r="P499" s="199"/>
      <c r="Q499" s="199"/>
      <c r="R499" s="199"/>
      <c r="S499" s="136"/>
      <c r="T499" s="199"/>
      <c r="U499" s="199"/>
      <c r="V499" s="199"/>
      <c r="W499" s="199"/>
      <c r="X499" s="136"/>
      <c r="Y499" s="199"/>
      <c r="Z499" s="199"/>
      <c r="AA499" s="199"/>
      <c r="AB499" s="199"/>
      <c r="AC499" s="136"/>
      <c r="AD499" s="199"/>
      <c r="AE499" s="199"/>
      <c r="AF499" s="199"/>
      <c r="AG499" s="199"/>
      <c r="AH499" s="136"/>
      <c r="AI499" s="199"/>
      <c r="AJ499" s="199"/>
      <c r="AK499" s="199"/>
      <c r="AL499" s="199"/>
      <c r="AM499" s="136"/>
      <c r="AN499" s="199"/>
      <c r="AO499" s="199"/>
      <c r="AP499" s="199"/>
      <c r="AQ499" s="199"/>
      <c r="AR499" s="136"/>
      <c r="AS499" s="199"/>
      <c r="AT499" s="199"/>
      <c r="AU499" s="199"/>
      <c r="AV499" s="199"/>
      <c r="AW499" s="136"/>
      <c r="AX499" s="199"/>
      <c r="AY499" s="199"/>
      <c r="AZ499" s="199"/>
      <c r="BA499" s="199"/>
      <c r="BB499" s="136"/>
      <c r="BC499" s="199"/>
      <c r="BD499" s="199"/>
      <c r="BE499" s="199"/>
      <c r="BF499" s="199"/>
      <c r="BG499" s="136"/>
      <c r="BH499" s="199"/>
      <c r="BI499" s="199"/>
      <c r="BJ499" s="199"/>
    </row>
    <row r="503" spans="1:62" ht="36" x14ac:dyDescent="0.25">
      <c r="A503" s="169"/>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row>
    <row r="504" spans="1:62" x14ac:dyDescent="0.25">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row>
    <row r="505" spans="1:62" x14ac:dyDescent="0.25">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row>
    <row r="506" spans="1:62" ht="36" x14ac:dyDescent="0.25">
      <c r="A506" s="169"/>
      <c r="B506" s="169"/>
      <c r="C506" s="169"/>
      <c r="D506" s="169"/>
      <c r="E506" s="169"/>
      <c r="F506" s="169"/>
      <c r="G506" s="169"/>
      <c r="H506" s="169"/>
      <c r="I506" s="169"/>
      <c r="J506" s="169"/>
      <c r="K506" s="169"/>
      <c r="L506" s="169"/>
      <c r="M506" s="169"/>
      <c r="N506" s="169"/>
      <c r="O506" s="169"/>
      <c r="P506" s="169"/>
      <c r="Q506" s="169"/>
      <c r="R506" s="169"/>
      <c r="S506" s="169"/>
      <c r="T506" s="169"/>
      <c r="U506" s="169"/>
      <c r="V506" s="169"/>
      <c r="W506" s="169"/>
      <c r="X506" s="169"/>
      <c r="Y506" s="169"/>
      <c r="Z506" s="169"/>
      <c r="AA506" s="169"/>
      <c r="AB506" s="169"/>
      <c r="AC506" s="169"/>
      <c r="AD506" s="169"/>
      <c r="AE506" s="169"/>
      <c r="AF506" s="169"/>
      <c r="AG506" s="169"/>
      <c r="AH506" s="169"/>
      <c r="AI506" s="169"/>
      <c r="AJ506" s="169"/>
      <c r="AK506" s="169"/>
      <c r="AL506" s="169"/>
      <c r="AM506" s="169"/>
      <c r="AN506" s="169"/>
      <c r="AO506" s="169"/>
      <c r="AP506" s="169"/>
      <c r="AQ506" s="169"/>
      <c r="AR506" s="169"/>
      <c r="AS506" s="169"/>
      <c r="AT506" s="169"/>
      <c r="AU506" s="169"/>
      <c r="AV506" s="169"/>
      <c r="AW506" s="169"/>
      <c r="AX506" s="169"/>
      <c r="AY506" s="169"/>
      <c r="AZ506" s="169"/>
      <c r="BA506" s="169"/>
      <c r="BB506" s="169"/>
      <c r="BC506" s="169"/>
      <c r="BD506" s="169"/>
      <c r="BE506" s="169"/>
      <c r="BF506" s="169"/>
      <c r="BG506" s="169"/>
      <c r="BH506" s="169"/>
      <c r="BI506" s="169"/>
      <c r="BJ506" s="169"/>
    </row>
    <row r="507" spans="1:62" ht="36" x14ac:dyDescent="0.25">
      <c r="A507" s="169"/>
      <c r="B507" s="169"/>
      <c r="C507" s="169"/>
      <c r="D507" s="169"/>
      <c r="E507" s="169"/>
      <c r="F507" s="169"/>
      <c r="G507" s="169"/>
      <c r="H507" s="169"/>
      <c r="I507" s="169"/>
      <c r="J507" s="169"/>
      <c r="K507" s="169"/>
      <c r="L507" s="169"/>
      <c r="M507" s="169"/>
      <c r="N507" s="169"/>
      <c r="O507" s="169"/>
      <c r="P507" s="169"/>
      <c r="Q507" s="169"/>
      <c r="R507" s="169"/>
      <c r="S507" s="169"/>
      <c r="T507" s="169"/>
      <c r="U507" s="169"/>
      <c r="V507" s="169"/>
      <c r="W507" s="169"/>
      <c r="X507" s="169"/>
      <c r="Y507" s="169"/>
      <c r="Z507" s="169"/>
      <c r="AA507" s="169"/>
      <c r="AB507" s="169"/>
      <c r="AC507" s="169"/>
      <c r="AD507" s="169"/>
      <c r="AE507" s="169"/>
      <c r="AF507" s="169"/>
      <c r="AG507" s="169"/>
      <c r="AH507" s="169"/>
      <c r="AI507" s="169"/>
      <c r="AJ507" s="169"/>
      <c r="AK507" s="169"/>
      <c r="AL507" s="169"/>
      <c r="AM507" s="169"/>
      <c r="AN507" s="169"/>
      <c r="AO507" s="169"/>
      <c r="AP507" s="169"/>
      <c r="AQ507" s="169"/>
      <c r="AR507" s="169"/>
      <c r="AS507" s="169"/>
      <c r="AT507" s="169"/>
      <c r="AU507" s="169"/>
      <c r="AV507" s="169"/>
      <c r="AW507" s="169"/>
      <c r="AX507" s="169"/>
      <c r="AY507" s="169"/>
      <c r="AZ507" s="169"/>
      <c r="BA507" s="169"/>
      <c r="BB507" s="169"/>
      <c r="BC507" s="169"/>
      <c r="BD507" s="169"/>
      <c r="BE507" s="169"/>
      <c r="BF507" s="169"/>
      <c r="BG507" s="169"/>
      <c r="BH507" s="169"/>
      <c r="BI507" s="169"/>
      <c r="BJ507" s="169"/>
    </row>
    <row r="508" spans="1:62" ht="36" x14ac:dyDescent="0.25">
      <c r="A508" s="169"/>
      <c r="B508" s="169"/>
      <c r="C508" s="169"/>
      <c r="D508" s="169"/>
      <c r="E508" s="169"/>
      <c r="F508" s="169"/>
      <c r="G508" s="169"/>
      <c r="H508" s="169"/>
      <c r="I508" s="169"/>
      <c r="J508" s="169"/>
      <c r="K508" s="169"/>
      <c r="L508" s="169"/>
      <c r="M508" s="169"/>
      <c r="N508" s="169"/>
      <c r="O508" s="169"/>
      <c r="P508" s="169"/>
      <c r="Q508" s="169"/>
      <c r="R508" s="169"/>
      <c r="S508" s="169"/>
      <c r="T508" s="169"/>
      <c r="U508" s="169"/>
      <c r="V508" s="169"/>
      <c r="W508" s="169"/>
      <c r="X508" s="169"/>
      <c r="Y508" s="169"/>
      <c r="Z508" s="169"/>
      <c r="AA508" s="169"/>
      <c r="AB508" s="169"/>
      <c r="AC508" s="169"/>
      <c r="AD508" s="169"/>
      <c r="AE508" s="169"/>
      <c r="AF508" s="169"/>
      <c r="AG508" s="169"/>
      <c r="AH508" s="169"/>
      <c r="AI508" s="169"/>
      <c r="AJ508" s="169"/>
      <c r="AK508" s="169"/>
      <c r="AL508" s="169"/>
      <c r="AM508" s="169"/>
      <c r="AN508" s="169"/>
      <c r="AO508" s="169"/>
      <c r="AP508" s="169"/>
      <c r="AQ508" s="169"/>
      <c r="AR508" s="169"/>
      <c r="AS508" s="169"/>
      <c r="AT508" s="169"/>
      <c r="AU508" s="169"/>
      <c r="AV508" s="169"/>
      <c r="AW508" s="169"/>
      <c r="AX508" s="169"/>
      <c r="AY508" s="169"/>
      <c r="AZ508" s="169"/>
      <c r="BA508" s="169"/>
      <c r="BB508" s="169"/>
      <c r="BC508" s="169"/>
      <c r="BD508" s="169"/>
      <c r="BE508" s="169"/>
      <c r="BF508" s="169"/>
      <c r="BG508" s="169"/>
      <c r="BH508" s="169"/>
      <c r="BI508" s="169"/>
      <c r="BJ508" s="169"/>
    </row>
    <row r="509" spans="1:62" x14ac:dyDescent="0.25">
      <c r="F509" s="194"/>
      <c r="G509" s="194"/>
    </row>
    <row r="511" spans="1:62" x14ac:dyDescent="0.25">
      <c r="A511" s="199"/>
      <c r="B511" s="136"/>
      <c r="C511" s="199"/>
      <c r="D511" s="199"/>
      <c r="E511" s="199"/>
      <c r="F511" s="199"/>
      <c r="G511" s="199"/>
      <c r="H511" s="199"/>
      <c r="I511" s="136"/>
      <c r="J511" s="199"/>
      <c r="K511" s="199"/>
      <c r="L511" s="199"/>
      <c r="M511" s="199"/>
      <c r="N511" s="136"/>
      <c r="O511" s="199"/>
      <c r="P511" s="199"/>
      <c r="Q511" s="199"/>
      <c r="R511" s="199"/>
      <c r="S511" s="136"/>
      <c r="T511" s="199"/>
      <c r="U511" s="199"/>
      <c r="V511" s="199"/>
      <c r="W511" s="199"/>
      <c r="X511" s="136"/>
      <c r="Y511" s="199"/>
      <c r="Z511" s="199"/>
      <c r="AA511" s="199"/>
      <c r="AB511" s="199"/>
      <c r="AC511" s="136"/>
      <c r="AD511" s="199"/>
      <c r="AE511" s="199"/>
      <c r="AF511" s="199"/>
      <c r="AG511" s="199"/>
      <c r="AH511" s="136"/>
      <c r="AI511" s="199"/>
      <c r="AJ511" s="199"/>
      <c r="AK511" s="199"/>
      <c r="AL511" s="199"/>
      <c r="AM511" s="136"/>
      <c r="AN511" s="199"/>
      <c r="AO511" s="199"/>
      <c r="AP511" s="199"/>
      <c r="AQ511" s="199"/>
      <c r="AR511" s="136"/>
      <c r="AS511" s="199"/>
      <c r="AT511" s="199"/>
      <c r="AU511" s="199"/>
      <c r="AV511" s="199"/>
      <c r="AW511" s="136"/>
      <c r="AX511" s="199"/>
      <c r="AY511" s="199"/>
      <c r="AZ511" s="199"/>
      <c r="BA511" s="199"/>
      <c r="BB511" s="136"/>
      <c r="BC511" s="199"/>
      <c r="BD511" s="199"/>
      <c r="BE511" s="199"/>
      <c r="BF511" s="199"/>
      <c r="BG511" s="136"/>
      <c r="BH511" s="199"/>
      <c r="BI511" s="199"/>
      <c r="BJ511" s="199"/>
    </row>
    <row r="512" spans="1:62" x14ac:dyDescent="0.25">
      <c r="A512" s="199"/>
      <c r="B512" s="136"/>
      <c r="C512" s="199"/>
      <c r="D512" s="199"/>
      <c r="E512" s="199"/>
      <c r="F512" s="199"/>
      <c r="G512" s="199"/>
      <c r="H512" s="199"/>
      <c r="I512" s="136"/>
      <c r="J512" s="199"/>
      <c r="K512" s="199"/>
      <c r="L512" s="199"/>
      <c r="M512" s="199"/>
      <c r="N512" s="136"/>
      <c r="O512" s="199"/>
      <c r="P512" s="199"/>
      <c r="Q512" s="199"/>
      <c r="R512" s="199"/>
      <c r="S512" s="136"/>
      <c r="T512" s="199"/>
      <c r="U512" s="199"/>
      <c r="V512" s="199"/>
      <c r="W512" s="199"/>
      <c r="X512" s="136"/>
      <c r="Y512" s="199"/>
      <c r="Z512" s="199"/>
      <c r="AA512" s="199"/>
      <c r="AB512" s="199"/>
      <c r="AC512" s="136"/>
      <c r="AD512" s="199"/>
      <c r="AE512" s="199"/>
      <c r="AF512" s="199"/>
      <c r="AG512" s="199"/>
      <c r="AH512" s="136"/>
      <c r="AI512" s="199"/>
      <c r="AJ512" s="199"/>
      <c r="AK512" s="199"/>
      <c r="AL512" s="199"/>
      <c r="AM512" s="136"/>
      <c r="AN512" s="199"/>
      <c r="AO512" s="199"/>
      <c r="AP512" s="199"/>
      <c r="AQ512" s="199"/>
      <c r="AR512" s="136"/>
      <c r="AS512" s="199"/>
      <c r="AT512" s="199"/>
      <c r="AU512" s="199"/>
      <c r="AV512" s="199"/>
      <c r="AW512" s="136"/>
      <c r="AX512" s="199"/>
      <c r="AY512" s="199"/>
      <c r="AZ512" s="199"/>
      <c r="BA512" s="199"/>
      <c r="BB512" s="136"/>
      <c r="BC512" s="199"/>
      <c r="BD512" s="199"/>
      <c r="BE512" s="199"/>
      <c r="BF512" s="199"/>
      <c r="BG512" s="136"/>
      <c r="BH512" s="199"/>
      <c r="BI512" s="199"/>
      <c r="BJ512" s="199"/>
    </row>
    <row r="513" spans="1:62" x14ac:dyDescent="0.25">
      <c r="A513" s="199"/>
      <c r="B513" s="136"/>
      <c r="C513" s="199"/>
      <c r="D513" s="199"/>
      <c r="E513" s="199"/>
      <c r="F513" s="199"/>
      <c r="G513" s="199"/>
      <c r="H513" s="199"/>
      <c r="I513" s="136"/>
      <c r="J513" s="199"/>
      <c r="K513" s="199"/>
      <c r="L513" s="199"/>
      <c r="M513" s="199"/>
      <c r="N513" s="136"/>
      <c r="O513" s="199"/>
      <c r="P513" s="199"/>
      <c r="Q513" s="199"/>
      <c r="R513" s="199"/>
      <c r="S513" s="136"/>
      <c r="T513" s="199"/>
      <c r="U513" s="199"/>
      <c r="V513" s="199"/>
      <c r="W513" s="199"/>
      <c r="X513" s="136"/>
      <c r="Y513" s="199"/>
      <c r="Z513" s="199"/>
      <c r="AA513" s="199"/>
      <c r="AB513" s="199"/>
      <c r="AC513" s="136"/>
      <c r="AD513" s="199"/>
      <c r="AE513" s="199"/>
      <c r="AF513" s="199"/>
      <c r="AG513" s="199"/>
      <c r="AH513" s="136"/>
      <c r="AI513" s="199"/>
      <c r="AJ513" s="199"/>
      <c r="AK513" s="199"/>
      <c r="AL513" s="199"/>
      <c r="AM513" s="136"/>
      <c r="AN513" s="199"/>
      <c r="AO513" s="199"/>
      <c r="AP513" s="199"/>
      <c r="AQ513" s="199"/>
      <c r="AR513" s="136"/>
      <c r="AS513" s="199"/>
      <c r="AT513" s="199"/>
      <c r="AU513" s="199"/>
      <c r="AV513" s="199"/>
      <c r="AW513" s="136"/>
      <c r="AX513" s="199"/>
      <c r="AY513" s="199"/>
      <c r="AZ513" s="199"/>
      <c r="BA513" s="199"/>
      <c r="BB513" s="136"/>
      <c r="BC513" s="199"/>
      <c r="BD513" s="199"/>
      <c r="BE513" s="199"/>
      <c r="BF513" s="199"/>
      <c r="BG513" s="136"/>
      <c r="BH513" s="199"/>
      <c r="BI513" s="199"/>
      <c r="BJ513" s="199"/>
    </row>
    <row r="514" spans="1:62" x14ac:dyDescent="0.25">
      <c r="A514" s="199"/>
      <c r="B514" s="136"/>
      <c r="C514" s="199"/>
      <c r="D514" s="199"/>
      <c r="E514" s="199"/>
      <c r="F514" s="199"/>
      <c r="G514" s="199"/>
      <c r="H514" s="199"/>
      <c r="I514" s="136"/>
      <c r="J514" s="199"/>
      <c r="K514" s="199"/>
      <c r="L514" s="199"/>
      <c r="M514" s="199"/>
      <c r="N514" s="136"/>
      <c r="O514" s="199"/>
      <c r="P514" s="199"/>
      <c r="Q514" s="199"/>
      <c r="R514" s="199"/>
      <c r="S514" s="136"/>
      <c r="T514" s="199"/>
      <c r="U514" s="199"/>
      <c r="V514" s="199"/>
      <c r="W514" s="199"/>
      <c r="X514" s="136"/>
      <c r="Y514" s="199"/>
      <c r="Z514" s="199"/>
      <c r="AA514" s="199"/>
      <c r="AB514" s="199"/>
      <c r="AC514" s="136"/>
      <c r="AD514" s="199"/>
      <c r="AE514" s="199"/>
      <c r="AF514" s="199"/>
      <c r="AG514" s="199"/>
      <c r="AH514" s="136"/>
      <c r="AI514" s="199"/>
      <c r="AJ514" s="199"/>
      <c r="AK514" s="199"/>
      <c r="AL514" s="199"/>
      <c r="AM514" s="136"/>
      <c r="AN514" s="199"/>
      <c r="AO514" s="199"/>
      <c r="AP514" s="199"/>
      <c r="AQ514" s="199"/>
      <c r="AR514" s="136"/>
      <c r="AS514" s="199"/>
      <c r="AT514" s="199"/>
      <c r="AU514" s="199"/>
      <c r="AV514" s="199"/>
      <c r="AW514" s="136"/>
      <c r="AX514" s="199"/>
      <c r="AY514" s="199"/>
      <c r="AZ514" s="199"/>
      <c r="BA514" s="199"/>
      <c r="BB514" s="136"/>
      <c r="BC514" s="199"/>
      <c r="BD514" s="199"/>
      <c r="BE514" s="199"/>
      <c r="BF514" s="199"/>
      <c r="BG514" s="136"/>
      <c r="BH514" s="199"/>
      <c r="BI514" s="199"/>
      <c r="BJ514" s="199"/>
    </row>
    <row r="515" spans="1:62" x14ac:dyDescent="0.25">
      <c r="A515" s="199"/>
      <c r="B515" s="136"/>
      <c r="C515" s="199"/>
      <c r="D515" s="199"/>
      <c r="E515" s="199"/>
      <c r="F515" s="199"/>
      <c r="G515" s="199"/>
      <c r="H515" s="199"/>
      <c r="I515" s="136"/>
      <c r="J515" s="199"/>
      <c r="K515" s="199"/>
      <c r="L515" s="199"/>
      <c r="M515" s="199"/>
      <c r="N515" s="136"/>
      <c r="O515" s="199"/>
      <c r="P515" s="199"/>
      <c r="Q515" s="199"/>
      <c r="R515" s="199"/>
      <c r="S515" s="136"/>
      <c r="T515" s="199"/>
      <c r="U515" s="199"/>
      <c r="V515" s="199"/>
      <c r="W515" s="199"/>
      <c r="X515" s="136"/>
      <c r="Y515" s="199"/>
      <c r="Z515" s="199"/>
      <c r="AA515" s="199"/>
      <c r="AB515" s="199"/>
      <c r="AC515" s="136"/>
      <c r="AD515" s="199"/>
      <c r="AE515" s="199"/>
      <c r="AF515" s="199"/>
      <c r="AG515" s="199"/>
      <c r="AH515" s="136"/>
      <c r="AI515" s="199"/>
      <c r="AJ515" s="199"/>
      <c r="AK515" s="199"/>
      <c r="AL515" s="199"/>
      <c r="AM515" s="136"/>
      <c r="AN515" s="199"/>
      <c r="AO515" s="199"/>
      <c r="AP515" s="199"/>
      <c r="AQ515" s="199"/>
      <c r="AR515" s="136"/>
      <c r="AS515" s="199"/>
      <c r="AT515" s="199"/>
      <c r="AU515" s="199"/>
      <c r="AV515" s="199"/>
      <c r="AW515" s="136"/>
      <c r="AX515" s="199"/>
      <c r="AY515" s="199"/>
      <c r="AZ515" s="199"/>
      <c r="BA515" s="199"/>
      <c r="BB515" s="136"/>
      <c r="BC515" s="199"/>
      <c r="BD515" s="199"/>
      <c r="BE515" s="199"/>
      <c r="BF515" s="199"/>
      <c r="BG515" s="136"/>
      <c r="BH515" s="199"/>
      <c r="BI515" s="199"/>
      <c r="BJ515" s="199"/>
    </row>
    <row r="516" spans="1:62" x14ac:dyDescent="0.25">
      <c r="A516" s="199"/>
      <c r="B516" s="136"/>
      <c r="C516" s="199"/>
      <c r="D516" s="199"/>
      <c r="E516" s="199"/>
      <c r="F516" s="199"/>
      <c r="G516" s="199"/>
      <c r="H516" s="199"/>
      <c r="I516" s="136"/>
      <c r="J516" s="199"/>
      <c r="K516" s="199"/>
      <c r="L516" s="199"/>
      <c r="M516" s="199"/>
      <c r="N516" s="136"/>
      <c r="O516" s="199"/>
      <c r="P516" s="199"/>
      <c r="Q516" s="199"/>
      <c r="R516" s="199"/>
      <c r="S516" s="136"/>
      <c r="T516" s="199"/>
      <c r="U516" s="199"/>
      <c r="V516" s="199"/>
      <c r="W516" s="199"/>
      <c r="X516" s="136"/>
      <c r="Y516" s="199"/>
      <c r="Z516" s="199"/>
      <c r="AA516" s="199"/>
      <c r="AB516" s="199"/>
      <c r="AC516" s="136"/>
      <c r="AD516" s="199"/>
      <c r="AE516" s="199"/>
      <c r="AF516" s="199"/>
      <c r="AG516" s="199"/>
      <c r="AH516" s="136"/>
      <c r="AI516" s="199"/>
      <c r="AJ516" s="199"/>
      <c r="AK516" s="199"/>
      <c r="AL516" s="199"/>
      <c r="AM516" s="136"/>
      <c r="AN516" s="199"/>
      <c r="AO516" s="199"/>
      <c r="AP516" s="199"/>
      <c r="AQ516" s="199"/>
      <c r="AR516" s="136"/>
      <c r="AS516" s="199"/>
      <c r="AT516" s="199"/>
      <c r="AU516" s="199"/>
      <c r="AV516" s="199"/>
      <c r="AW516" s="136"/>
      <c r="AX516" s="199"/>
      <c r="AY516" s="199"/>
      <c r="AZ516" s="199"/>
      <c r="BA516" s="199"/>
      <c r="BB516" s="136"/>
      <c r="BC516" s="199"/>
      <c r="BD516" s="199"/>
      <c r="BE516" s="199"/>
      <c r="BF516" s="199"/>
      <c r="BG516" s="136"/>
      <c r="BH516" s="199"/>
      <c r="BI516" s="199"/>
      <c r="BJ516" s="199"/>
    </row>
    <row r="517" spans="1:62" x14ac:dyDescent="0.25">
      <c r="A517" s="199"/>
      <c r="B517" s="136"/>
      <c r="C517" s="199"/>
      <c r="D517" s="199"/>
      <c r="E517" s="199"/>
      <c r="F517" s="199"/>
      <c r="G517" s="199"/>
      <c r="H517" s="199"/>
      <c r="I517" s="136"/>
      <c r="J517" s="199"/>
      <c r="K517" s="199"/>
      <c r="L517" s="199"/>
      <c r="M517" s="199"/>
      <c r="N517" s="136"/>
      <c r="O517" s="199"/>
      <c r="P517" s="199"/>
      <c r="Q517" s="199"/>
      <c r="R517" s="199"/>
      <c r="S517" s="136"/>
      <c r="T517" s="199"/>
      <c r="U517" s="199"/>
      <c r="V517" s="199"/>
      <c r="W517" s="199"/>
      <c r="X517" s="136"/>
      <c r="Y517" s="199"/>
      <c r="Z517" s="199"/>
      <c r="AA517" s="199"/>
      <c r="AB517" s="199"/>
      <c r="AC517" s="136"/>
      <c r="AD517" s="199"/>
      <c r="AE517" s="199"/>
      <c r="AF517" s="199"/>
      <c r="AG517" s="199"/>
      <c r="AH517" s="136"/>
      <c r="AI517" s="199"/>
      <c r="AJ517" s="199"/>
      <c r="AK517" s="199"/>
      <c r="AL517" s="199"/>
      <c r="AM517" s="136"/>
      <c r="AN517" s="199"/>
      <c r="AO517" s="199"/>
      <c r="AP517" s="199"/>
      <c r="AQ517" s="199"/>
      <c r="AR517" s="136"/>
      <c r="AS517" s="199"/>
      <c r="AT517" s="199"/>
      <c r="AU517" s="199"/>
      <c r="AV517" s="199"/>
      <c r="AW517" s="136"/>
      <c r="AX517" s="199"/>
      <c r="AY517" s="199"/>
      <c r="AZ517" s="199"/>
      <c r="BA517" s="199"/>
      <c r="BB517" s="136"/>
      <c r="BC517" s="199"/>
      <c r="BD517" s="199"/>
      <c r="BE517" s="199"/>
      <c r="BF517" s="199"/>
      <c r="BG517" s="136"/>
      <c r="BH517" s="199"/>
      <c r="BI517" s="199"/>
      <c r="BJ517" s="199"/>
    </row>
    <row r="518" spans="1:62" x14ac:dyDescent="0.25">
      <c r="A518" s="199"/>
      <c r="B518" s="136"/>
      <c r="C518" s="199"/>
      <c r="D518" s="199"/>
      <c r="E518" s="199"/>
      <c r="F518" s="199"/>
      <c r="G518" s="199"/>
      <c r="H518" s="199"/>
      <c r="I518" s="136"/>
      <c r="J518" s="199"/>
      <c r="K518" s="199"/>
      <c r="L518" s="199"/>
      <c r="M518" s="199"/>
      <c r="N518" s="136"/>
      <c r="O518" s="199"/>
      <c r="P518" s="199"/>
      <c r="Q518" s="199"/>
      <c r="R518" s="199"/>
      <c r="S518" s="136"/>
      <c r="T518" s="199"/>
      <c r="U518" s="199"/>
      <c r="V518" s="199"/>
      <c r="W518" s="199"/>
      <c r="X518" s="136"/>
      <c r="Y518" s="199"/>
      <c r="Z518" s="199"/>
      <c r="AA518" s="199"/>
      <c r="AB518" s="199"/>
      <c r="AC518" s="136"/>
      <c r="AD518" s="199"/>
      <c r="AE518" s="199"/>
      <c r="AF518" s="199"/>
      <c r="AG518" s="199"/>
      <c r="AH518" s="136"/>
      <c r="AI518" s="199"/>
      <c r="AJ518" s="199"/>
      <c r="AK518" s="199"/>
      <c r="AL518" s="199"/>
      <c r="AM518" s="136"/>
      <c r="AN518" s="199"/>
      <c r="AO518" s="199"/>
      <c r="AP518" s="199"/>
      <c r="AQ518" s="199"/>
      <c r="AR518" s="136"/>
      <c r="AS518" s="199"/>
      <c r="AT518" s="199"/>
      <c r="AU518" s="199"/>
      <c r="AV518" s="199"/>
      <c r="AW518" s="136"/>
      <c r="AX518" s="199"/>
      <c r="AY518" s="199"/>
      <c r="AZ518" s="199"/>
      <c r="BA518" s="199"/>
      <c r="BB518" s="136"/>
      <c r="BC518" s="199"/>
      <c r="BD518" s="199"/>
      <c r="BE518" s="199"/>
      <c r="BF518" s="199"/>
      <c r="BG518" s="136"/>
      <c r="BH518" s="199"/>
      <c r="BI518" s="199"/>
      <c r="BJ518" s="199"/>
    </row>
    <row r="522" spans="1:62" ht="36" x14ac:dyDescent="0.25">
      <c r="A522" s="169"/>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row>
    <row r="523" spans="1:62" x14ac:dyDescent="0.25">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row>
    <row r="524" spans="1:62" x14ac:dyDescent="0.25">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row>
    <row r="525" spans="1:62" ht="36" x14ac:dyDescent="0.25">
      <c r="A525" s="169"/>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row>
    <row r="526" spans="1:62" ht="36" x14ac:dyDescent="0.25">
      <c r="A526" s="169"/>
      <c r="B526" s="169"/>
      <c r="C526" s="169"/>
      <c r="D526" s="169"/>
      <c r="E526" s="169"/>
      <c r="F526" s="169"/>
      <c r="G526" s="169"/>
      <c r="H526" s="169"/>
      <c r="I526" s="169"/>
      <c r="J526" s="169"/>
      <c r="K526" s="169"/>
      <c r="L526" s="169"/>
      <c r="M526" s="169"/>
      <c r="N526" s="169"/>
      <c r="O526" s="169"/>
      <c r="P526" s="169"/>
      <c r="Q526" s="169"/>
      <c r="R526" s="169"/>
      <c r="S526" s="169"/>
      <c r="T526" s="169"/>
      <c r="U526" s="169"/>
      <c r="V526" s="169"/>
      <c r="W526" s="169"/>
      <c r="X526" s="169"/>
      <c r="Y526" s="169"/>
      <c r="Z526" s="169"/>
      <c r="AA526" s="169"/>
      <c r="AB526" s="169"/>
      <c r="AC526" s="169"/>
      <c r="AD526" s="169"/>
      <c r="AE526" s="169"/>
      <c r="AF526" s="169"/>
      <c r="AG526" s="169"/>
      <c r="AH526" s="169"/>
      <c r="AI526" s="169"/>
      <c r="AJ526" s="169"/>
      <c r="AK526" s="169"/>
      <c r="AL526" s="169"/>
      <c r="AM526" s="169"/>
      <c r="AN526" s="169"/>
      <c r="AO526" s="169"/>
      <c r="AP526" s="169"/>
      <c r="AQ526" s="169"/>
      <c r="AR526" s="169"/>
      <c r="AS526" s="169"/>
      <c r="AT526" s="169"/>
      <c r="AU526" s="169"/>
      <c r="AV526" s="169"/>
      <c r="AW526" s="169"/>
      <c r="AX526" s="169"/>
      <c r="AY526" s="169"/>
      <c r="AZ526" s="169"/>
      <c r="BA526" s="169"/>
      <c r="BB526" s="169"/>
      <c r="BC526" s="169"/>
      <c r="BD526" s="169"/>
      <c r="BE526" s="169"/>
      <c r="BF526" s="169"/>
      <c r="BG526" s="169"/>
      <c r="BH526" s="169"/>
      <c r="BI526" s="169"/>
      <c r="BJ526" s="169"/>
    </row>
    <row r="527" spans="1:62" ht="36" x14ac:dyDescent="0.25">
      <c r="A527" s="169"/>
      <c r="B527" s="169"/>
      <c r="C527" s="169"/>
      <c r="D527" s="169"/>
      <c r="E527" s="169"/>
      <c r="F527" s="169"/>
      <c r="G527" s="169"/>
      <c r="H527" s="169"/>
      <c r="I527" s="169"/>
      <c r="J527" s="169"/>
      <c r="K527" s="169"/>
      <c r="L527" s="169"/>
      <c r="M527" s="169"/>
      <c r="N527" s="169"/>
      <c r="O527" s="169"/>
      <c r="P527" s="169"/>
      <c r="Q527" s="169"/>
      <c r="R527" s="169"/>
      <c r="S527" s="169"/>
      <c r="T527" s="169"/>
      <c r="U527" s="169"/>
      <c r="V527" s="169"/>
      <c r="W527" s="169"/>
      <c r="X527" s="169"/>
      <c r="Y527" s="169"/>
      <c r="Z527" s="169"/>
      <c r="AA527" s="169"/>
      <c r="AB527" s="169"/>
      <c r="AC527" s="169"/>
      <c r="AD527" s="169"/>
      <c r="AE527" s="169"/>
      <c r="AF527" s="169"/>
      <c r="AG527" s="169"/>
      <c r="AH527" s="169"/>
      <c r="AI527" s="169"/>
      <c r="AJ527" s="169"/>
      <c r="AK527" s="169"/>
      <c r="AL527" s="169"/>
      <c r="AM527" s="169"/>
      <c r="AN527" s="169"/>
      <c r="AO527" s="169"/>
      <c r="AP527" s="169"/>
      <c r="AQ527" s="169"/>
      <c r="AR527" s="169"/>
      <c r="AS527" s="169"/>
      <c r="AT527" s="169"/>
      <c r="AU527" s="169"/>
      <c r="AV527" s="169"/>
      <c r="AW527" s="169"/>
      <c r="AX527" s="169"/>
      <c r="AY527" s="169"/>
      <c r="AZ527" s="169"/>
      <c r="BA527" s="169"/>
      <c r="BB527" s="169"/>
      <c r="BC527" s="169"/>
      <c r="BD527" s="169"/>
      <c r="BE527" s="169"/>
      <c r="BF527" s="169"/>
      <c r="BG527" s="169"/>
      <c r="BH527" s="169"/>
      <c r="BI527" s="169"/>
      <c r="BJ527" s="169"/>
    </row>
    <row r="528" spans="1:62" x14ac:dyDescent="0.25">
      <c r="F528" s="194"/>
      <c r="G528" s="194"/>
    </row>
    <row r="530" spans="1:62" x14ac:dyDescent="0.25">
      <c r="A530" s="199"/>
      <c r="B530" s="136"/>
      <c r="C530" s="199"/>
      <c r="D530" s="199"/>
      <c r="E530" s="199"/>
      <c r="F530" s="199"/>
      <c r="G530" s="199"/>
      <c r="H530" s="199"/>
      <c r="I530" s="136"/>
      <c r="J530" s="199"/>
      <c r="K530" s="199"/>
      <c r="L530" s="199"/>
      <c r="M530" s="199"/>
      <c r="N530" s="136"/>
      <c r="O530" s="199"/>
      <c r="P530" s="199"/>
      <c r="Q530" s="199"/>
      <c r="R530" s="199"/>
      <c r="S530" s="136"/>
      <c r="T530" s="199"/>
      <c r="U530" s="199"/>
      <c r="V530" s="199"/>
      <c r="W530" s="199"/>
      <c r="X530" s="136"/>
      <c r="Y530" s="199"/>
      <c r="Z530" s="199"/>
      <c r="AA530" s="199"/>
      <c r="AB530" s="199"/>
      <c r="AC530" s="136"/>
      <c r="AD530" s="199"/>
      <c r="AE530" s="199"/>
      <c r="AF530" s="199"/>
      <c r="AG530" s="199"/>
      <c r="AH530" s="136"/>
      <c r="AI530" s="199"/>
      <c r="AJ530" s="199"/>
      <c r="AK530" s="199"/>
      <c r="AL530" s="199"/>
      <c r="AM530" s="136"/>
      <c r="AN530" s="199"/>
      <c r="AO530" s="199"/>
      <c r="AP530" s="199"/>
      <c r="AQ530" s="199"/>
      <c r="AR530" s="136"/>
      <c r="AS530" s="199"/>
      <c r="AT530" s="199"/>
      <c r="AU530" s="199"/>
      <c r="AV530" s="199"/>
      <c r="AW530" s="136"/>
      <c r="AX530" s="199"/>
      <c r="AY530" s="199"/>
      <c r="AZ530" s="199"/>
      <c r="BA530" s="199"/>
      <c r="BB530" s="136"/>
      <c r="BC530" s="199"/>
      <c r="BD530" s="199"/>
      <c r="BE530" s="199"/>
      <c r="BF530" s="199"/>
      <c r="BG530" s="136"/>
      <c r="BH530" s="199"/>
      <c r="BI530" s="199"/>
      <c r="BJ530" s="199"/>
    </row>
    <row r="531" spans="1:62" x14ac:dyDescent="0.25">
      <c r="A531" s="199"/>
      <c r="B531" s="136"/>
      <c r="C531" s="199"/>
      <c r="D531" s="199"/>
      <c r="E531" s="199"/>
      <c r="F531" s="199"/>
      <c r="G531" s="199"/>
      <c r="H531" s="199"/>
      <c r="I531" s="136"/>
      <c r="J531" s="199"/>
      <c r="K531" s="199"/>
      <c r="L531" s="199"/>
      <c r="M531" s="199"/>
      <c r="N531" s="136"/>
      <c r="O531" s="199"/>
      <c r="P531" s="199"/>
      <c r="Q531" s="199"/>
      <c r="R531" s="199"/>
      <c r="S531" s="136"/>
      <c r="T531" s="199"/>
      <c r="U531" s="199"/>
      <c r="V531" s="199"/>
      <c r="W531" s="199"/>
      <c r="X531" s="136"/>
      <c r="Y531" s="199"/>
      <c r="Z531" s="199"/>
      <c r="AA531" s="199"/>
      <c r="AB531" s="199"/>
      <c r="AC531" s="136"/>
      <c r="AD531" s="199"/>
      <c r="AE531" s="199"/>
      <c r="AF531" s="199"/>
      <c r="AG531" s="199"/>
      <c r="AH531" s="136"/>
      <c r="AI531" s="199"/>
      <c r="AJ531" s="199"/>
      <c r="AK531" s="199"/>
      <c r="AL531" s="199"/>
      <c r="AM531" s="136"/>
      <c r="AN531" s="199"/>
      <c r="AO531" s="199"/>
      <c r="AP531" s="199"/>
      <c r="AQ531" s="199"/>
      <c r="AR531" s="136"/>
      <c r="AS531" s="199"/>
      <c r="AT531" s="199"/>
      <c r="AU531" s="199"/>
      <c r="AV531" s="199"/>
      <c r="AW531" s="136"/>
      <c r="AX531" s="199"/>
      <c r="AY531" s="199"/>
      <c r="AZ531" s="199"/>
      <c r="BA531" s="199"/>
      <c r="BB531" s="136"/>
      <c r="BC531" s="199"/>
      <c r="BD531" s="199"/>
      <c r="BE531" s="199"/>
      <c r="BF531" s="199"/>
      <c r="BG531" s="136"/>
      <c r="BH531" s="199"/>
      <c r="BI531" s="199"/>
      <c r="BJ531" s="199"/>
    </row>
    <row r="532" spans="1:62" x14ac:dyDescent="0.25">
      <c r="A532" s="199"/>
      <c r="B532" s="136"/>
      <c r="C532" s="199"/>
      <c r="D532" s="199"/>
      <c r="E532" s="199"/>
      <c r="F532" s="199"/>
      <c r="G532" s="199"/>
      <c r="H532" s="199"/>
      <c r="I532" s="136"/>
      <c r="J532" s="199"/>
      <c r="K532" s="199"/>
      <c r="L532" s="199"/>
      <c r="M532" s="199"/>
      <c r="N532" s="136"/>
      <c r="O532" s="199"/>
      <c r="P532" s="199"/>
      <c r="Q532" s="199"/>
      <c r="R532" s="199"/>
      <c r="S532" s="136"/>
      <c r="T532" s="199"/>
      <c r="U532" s="199"/>
      <c r="V532" s="199"/>
      <c r="W532" s="199"/>
      <c r="X532" s="136"/>
      <c r="Y532" s="199"/>
      <c r="Z532" s="199"/>
      <c r="AA532" s="199"/>
      <c r="AB532" s="199"/>
      <c r="AC532" s="136"/>
      <c r="AD532" s="199"/>
      <c r="AE532" s="199"/>
      <c r="AF532" s="199"/>
      <c r="AG532" s="199"/>
      <c r="AH532" s="136"/>
      <c r="AI532" s="199"/>
      <c r="AJ532" s="199"/>
      <c r="AK532" s="199"/>
      <c r="AL532" s="199"/>
      <c r="AM532" s="136"/>
      <c r="AN532" s="199"/>
      <c r="AO532" s="199"/>
      <c r="AP532" s="199"/>
      <c r="AQ532" s="199"/>
      <c r="AR532" s="136"/>
      <c r="AS532" s="199"/>
      <c r="AT532" s="199"/>
      <c r="AU532" s="199"/>
      <c r="AV532" s="199"/>
      <c r="AW532" s="136"/>
      <c r="AX532" s="199"/>
      <c r="AY532" s="199"/>
      <c r="AZ532" s="199"/>
      <c r="BA532" s="199"/>
      <c r="BB532" s="136"/>
      <c r="BC532" s="199"/>
      <c r="BD532" s="199"/>
      <c r="BE532" s="199"/>
      <c r="BF532" s="199"/>
      <c r="BG532" s="136"/>
      <c r="BH532" s="199"/>
      <c r="BI532" s="199"/>
      <c r="BJ532" s="199"/>
    </row>
    <row r="533" spans="1:62" x14ac:dyDescent="0.25">
      <c r="A533" s="199"/>
      <c r="B533" s="136"/>
      <c r="C533" s="199"/>
      <c r="D533" s="199"/>
      <c r="E533" s="199"/>
      <c r="F533" s="199"/>
      <c r="G533" s="199"/>
      <c r="H533" s="199"/>
      <c r="I533" s="136"/>
      <c r="J533" s="199"/>
      <c r="K533" s="199"/>
      <c r="L533" s="199"/>
      <c r="M533" s="199"/>
      <c r="N533" s="136"/>
      <c r="O533" s="199"/>
      <c r="P533" s="199"/>
      <c r="Q533" s="199"/>
      <c r="R533" s="199"/>
      <c r="S533" s="136"/>
      <c r="T533" s="199"/>
      <c r="U533" s="199"/>
      <c r="V533" s="199"/>
      <c r="W533" s="199"/>
      <c r="X533" s="136"/>
      <c r="Y533" s="199"/>
      <c r="Z533" s="199"/>
      <c r="AA533" s="199"/>
      <c r="AB533" s="199"/>
      <c r="AC533" s="136"/>
      <c r="AD533" s="199"/>
      <c r="AE533" s="199"/>
      <c r="AF533" s="199"/>
      <c r="AG533" s="199"/>
      <c r="AH533" s="136"/>
      <c r="AI533" s="199"/>
      <c r="AJ533" s="199"/>
      <c r="AK533" s="199"/>
      <c r="AL533" s="199"/>
      <c r="AM533" s="136"/>
      <c r="AN533" s="199"/>
      <c r="AO533" s="199"/>
      <c r="AP533" s="199"/>
      <c r="AQ533" s="199"/>
      <c r="AR533" s="136"/>
      <c r="AS533" s="199"/>
      <c r="AT533" s="199"/>
      <c r="AU533" s="199"/>
      <c r="AV533" s="199"/>
      <c r="AW533" s="136"/>
      <c r="AX533" s="199"/>
      <c r="AY533" s="199"/>
      <c r="AZ533" s="199"/>
      <c r="BA533" s="199"/>
      <c r="BB533" s="136"/>
      <c r="BC533" s="199"/>
      <c r="BD533" s="199"/>
      <c r="BE533" s="199"/>
      <c r="BF533" s="199"/>
      <c r="BG533" s="136"/>
      <c r="BH533" s="199"/>
      <c r="BI533" s="199"/>
      <c r="BJ533" s="199"/>
    </row>
    <row r="534" spans="1:62" x14ac:dyDescent="0.25">
      <c r="A534" s="199"/>
      <c r="B534" s="136"/>
      <c r="C534" s="199"/>
      <c r="D534" s="199"/>
      <c r="E534" s="199"/>
      <c r="F534" s="199"/>
      <c r="G534" s="199"/>
      <c r="H534" s="199"/>
      <c r="I534" s="136"/>
      <c r="J534" s="199"/>
      <c r="K534" s="199"/>
      <c r="L534" s="199"/>
      <c r="M534" s="199"/>
      <c r="N534" s="136"/>
      <c r="O534" s="199"/>
      <c r="P534" s="199"/>
      <c r="Q534" s="199"/>
      <c r="R534" s="199"/>
      <c r="S534" s="136"/>
      <c r="T534" s="199"/>
      <c r="U534" s="199"/>
      <c r="V534" s="199"/>
      <c r="W534" s="199"/>
      <c r="X534" s="136"/>
      <c r="Y534" s="199"/>
      <c r="Z534" s="199"/>
      <c r="AA534" s="199"/>
      <c r="AB534" s="199"/>
      <c r="AC534" s="136"/>
      <c r="AD534" s="199"/>
      <c r="AE534" s="199"/>
      <c r="AF534" s="199"/>
      <c r="AG534" s="199"/>
      <c r="AH534" s="136"/>
      <c r="AI534" s="199"/>
      <c r="AJ534" s="199"/>
      <c r="AK534" s="199"/>
      <c r="AL534" s="199"/>
      <c r="AM534" s="136"/>
      <c r="AN534" s="199"/>
      <c r="AO534" s="199"/>
      <c r="AP534" s="199"/>
      <c r="AQ534" s="199"/>
      <c r="AR534" s="136"/>
      <c r="AS534" s="199"/>
      <c r="AT534" s="199"/>
      <c r="AU534" s="199"/>
      <c r="AV534" s="199"/>
      <c r="AW534" s="136"/>
      <c r="AX534" s="199"/>
      <c r="AY534" s="199"/>
      <c r="AZ534" s="199"/>
      <c r="BA534" s="199"/>
      <c r="BB534" s="136"/>
      <c r="BC534" s="199"/>
      <c r="BD534" s="199"/>
      <c r="BE534" s="199"/>
      <c r="BF534" s="199"/>
      <c r="BG534" s="136"/>
      <c r="BH534" s="199"/>
      <c r="BI534" s="199"/>
      <c r="BJ534" s="199"/>
    </row>
    <row r="535" spans="1:62" x14ac:dyDescent="0.25">
      <c r="A535" s="199"/>
      <c r="B535" s="136"/>
      <c r="C535" s="199"/>
      <c r="D535" s="199"/>
      <c r="E535" s="199"/>
      <c r="F535" s="199"/>
      <c r="G535" s="199"/>
      <c r="H535" s="199"/>
      <c r="I535" s="136"/>
      <c r="J535" s="199"/>
      <c r="K535" s="199"/>
      <c r="L535" s="199"/>
      <c r="M535" s="199"/>
      <c r="N535" s="136"/>
      <c r="O535" s="199"/>
      <c r="P535" s="199"/>
      <c r="Q535" s="199"/>
      <c r="R535" s="199"/>
      <c r="S535" s="136"/>
      <c r="T535" s="199"/>
      <c r="U535" s="199"/>
      <c r="V535" s="199"/>
      <c r="W535" s="199"/>
      <c r="X535" s="136"/>
      <c r="Y535" s="199"/>
      <c r="Z535" s="199"/>
      <c r="AA535" s="199"/>
      <c r="AB535" s="199"/>
      <c r="AC535" s="136"/>
      <c r="AD535" s="199"/>
      <c r="AE535" s="199"/>
      <c r="AF535" s="199"/>
      <c r="AG535" s="199"/>
      <c r="AH535" s="136"/>
      <c r="AI535" s="199"/>
      <c r="AJ535" s="199"/>
      <c r="AK535" s="199"/>
      <c r="AL535" s="199"/>
      <c r="AM535" s="136"/>
      <c r="AN535" s="199"/>
      <c r="AO535" s="199"/>
      <c r="AP535" s="199"/>
      <c r="AQ535" s="199"/>
      <c r="AR535" s="136"/>
      <c r="AS535" s="199"/>
      <c r="AT535" s="199"/>
      <c r="AU535" s="199"/>
      <c r="AV535" s="199"/>
      <c r="AW535" s="136"/>
      <c r="AX535" s="199"/>
      <c r="AY535" s="199"/>
      <c r="AZ535" s="199"/>
      <c r="BA535" s="199"/>
      <c r="BB535" s="136"/>
      <c r="BC535" s="199"/>
      <c r="BD535" s="199"/>
      <c r="BE535" s="199"/>
      <c r="BF535" s="199"/>
      <c r="BG535" s="136"/>
      <c r="BH535" s="199"/>
      <c r="BI535" s="199"/>
      <c r="BJ535" s="199"/>
    </row>
    <row r="536" spans="1:62" x14ac:dyDescent="0.25">
      <c r="A536" s="199"/>
      <c r="B536" s="136"/>
      <c r="C536" s="199"/>
      <c r="D536" s="199"/>
      <c r="E536" s="199"/>
      <c r="F536" s="199"/>
      <c r="G536" s="199"/>
      <c r="H536" s="199"/>
      <c r="I536" s="136"/>
      <c r="J536" s="199"/>
      <c r="K536" s="199"/>
      <c r="L536" s="199"/>
      <c r="M536" s="199"/>
      <c r="N536" s="136"/>
      <c r="O536" s="199"/>
      <c r="P536" s="199"/>
      <c r="Q536" s="199"/>
      <c r="R536" s="199"/>
      <c r="S536" s="136"/>
      <c r="T536" s="199"/>
      <c r="U536" s="199"/>
      <c r="V536" s="199"/>
      <c r="W536" s="199"/>
      <c r="X536" s="136"/>
      <c r="Y536" s="199"/>
      <c r="Z536" s="199"/>
      <c r="AA536" s="199"/>
      <c r="AB536" s="199"/>
      <c r="AC536" s="136"/>
      <c r="AD536" s="199"/>
      <c r="AE536" s="199"/>
      <c r="AF536" s="199"/>
      <c r="AG536" s="199"/>
      <c r="AH536" s="136"/>
      <c r="AI536" s="199"/>
      <c r="AJ536" s="199"/>
      <c r="AK536" s="199"/>
      <c r="AL536" s="199"/>
      <c r="AM536" s="136"/>
      <c r="AN536" s="199"/>
      <c r="AO536" s="199"/>
      <c r="AP536" s="199"/>
      <c r="AQ536" s="199"/>
      <c r="AR536" s="136"/>
      <c r="AS536" s="199"/>
      <c r="AT536" s="199"/>
      <c r="AU536" s="199"/>
      <c r="AV536" s="199"/>
      <c r="AW536" s="136"/>
      <c r="AX536" s="199"/>
      <c r="AY536" s="199"/>
      <c r="AZ536" s="199"/>
      <c r="BA536" s="199"/>
      <c r="BB536" s="136"/>
      <c r="BC536" s="199"/>
      <c r="BD536" s="199"/>
      <c r="BE536" s="199"/>
      <c r="BF536" s="199"/>
      <c r="BG536" s="136"/>
      <c r="BH536" s="199"/>
      <c r="BI536" s="199"/>
      <c r="BJ536" s="199"/>
    </row>
    <row r="537" spans="1:62" x14ac:dyDescent="0.25">
      <c r="A537" s="199"/>
      <c r="B537" s="136"/>
      <c r="C537" s="199"/>
      <c r="D537" s="199"/>
      <c r="E537" s="199"/>
      <c r="F537" s="199"/>
      <c r="G537" s="199"/>
      <c r="H537" s="199"/>
      <c r="I537" s="136"/>
      <c r="J537" s="199"/>
      <c r="K537" s="199"/>
      <c r="L537" s="199"/>
      <c r="M537" s="199"/>
      <c r="N537" s="136"/>
      <c r="O537" s="199"/>
      <c r="P537" s="199"/>
      <c r="Q537" s="199"/>
      <c r="R537" s="199"/>
      <c r="S537" s="136"/>
      <c r="T537" s="199"/>
      <c r="U537" s="199"/>
      <c r="V537" s="199"/>
      <c r="W537" s="199"/>
      <c r="X537" s="136"/>
      <c r="Y537" s="199"/>
      <c r="Z537" s="199"/>
      <c r="AA537" s="199"/>
      <c r="AB537" s="199"/>
      <c r="AC537" s="136"/>
      <c r="AD537" s="199"/>
      <c r="AE537" s="199"/>
      <c r="AF537" s="199"/>
      <c r="AG537" s="199"/>
      <c r="AH537" s="136"/>
      <c r="AI537" s="199"/>
      <c r="AJ537" s="199"/>
      <c r="AK537" s="199"/>
      <c r="AL537" s="199"/>
      <c r="AM537" s="136"/>
      <c r="AN537" s="199"/>
      <c r="AO537" s="199"/>
      <c r="AP537" s="199"/>
      <c r="AQ537" s="199"/>
      <c r="AR537" s="136"/>
      <c r="AS537" s="199"/>
      <c r="AT537" s="199"/>
      <c r="AU537" s="199"/>
      <c r="AV537" s="199"/>
      <c r="AW537" s="136"/>
      <c r="AX537" s="199"/>
      <c r="AY537" s="199"/>
      <c r="AZ537" s="199"/>
      <c r="BA537" s="199"/>
      <c r="BB537" s="136"/>
      <c r="BC537" s="199"/>
      <c r="BD537" s="199"/>
      <c r="BE537" s="199"/>
      <c r="BF537" s="199"/>
      <c r="BG537" s="136"/>
      <c r="BH537" s="199"/>
      <c r="BI537" s="199"/>
      <c r="BJ537" s="199"/>
    </row>
    <row r="541" spans="1:62" ht="36" x14ac:dyDescent="0.25">
      <c r="A541" s="169"/>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row>
    <row r="542" spans="1:62" x14ac:dyDescent="0.25">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row>
    <row r="543" spans="1:62" x14ac:dyDescent="0.25">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row>
    <row r="544" spans="1:62" ht="36" x14ac:dyDescent="0.25">
      <c r="A544" s="169"/>
      <c r="B544" s="169"/>
      <c r="C544" s="169"/>
      <c r="D544" s="169"/>
      <c r="E544" s="169"/>
      <c r="F544" s="169"/>
      <c r="G544" s="169"/>
      <c r="H544" s="169"/>
      <c r="I544" s="169"/>
      <c r="J544" s="169"/>
      <c r="K544" s="169"/>
      <c r="L544" s="169"/>
      <c r="M544" s="169"/>
      <c r="N544" s="169"/>
      <c r="O544" s="169"/>
      <c r="P544" s="169"/>
      <c r="Q544" s="169"/>
      <c r="R544" s="169"/>
      <c r="S544" s="169"/>
      <c r="T544" s="169"/>
      <c r="U544" s="169"/>
      <c r="V544" s="169"/>
      <c r="W544" s="169"/>
      <c r="X544" s="169"/>
      <c r="Y544" s="169"/>
      <c r="Z544" s="169"/>
      <c r="AA544" s="169"/>
      <c r="AB544" s="169"/>
      <c r="AC544" s="169"/>
      <c r="AD544" s="169"/>
      <c r="AE544" s="169"/>
      <c r="AF544" s="169"/>
      <c r="AG544" s="169"/>
      <c r="AH544" s="169"/>
      <c r="AI544" s="169"/>
      <c r="AJ544" s="169"/>
      <c r="AK544" s="169"/>
      <c r="AL544" s="169"/>
      <c r="AM544" s="169"/>
      <c r="AN544" s="169"/>
      <c r="AO544" s="169"/>
      <c r="AP544" s="169"/>
      <c r="AQ544" s="169"/>
      <c r="AR544" s="169"/>
      <c r="AS544" s="169"/>
      <c r="AT544" s="169"/>
      <c r="AU544" s="169"/>
      <c r="AV544" s="169"/>
      <c r="AW544" s="169"/>
      <c r="AX544" s="169"/>
      <c r="AY544" s="169"/>
      <c r="AZ544" s="169"/>
      <c r="BA544" s="169"/>
      <c r="BB544" s="169"/>
      <c r="BC544" s="169"/>
      <c r="BD544" s="169"/>
      <c r="BE544" s="169"/>
      <c r="BF544" s="169"/>
      <c r="BG544" s="169"/>
      <c r="BH544" s="169"/>
      <c r="BI544" s="169"/>
      <c r="BJ544" s="169"/>
    </row>
    <row r="545" spans="1:62" ht="36" x14ac:dyDescent="0.25">
      <c r="A545" s="169"/>
      <c r="B545" s="169"/>
      <c r="C545" s="169"/>
      <c r="D545" s="169"/>
      <c r="E545" s="169"/>
      <c r="F545" s="169"/>
      <c r="G545" s="169"/>
      <c r="H545" s="169"/>
      <c r="I545" s="169"/>
      <c r="J545" s="169"/>
      <c r="K545" s="169"/>
      <c r="L545" s="169"/>
      <c r="M545" s="169"/>
      <c r="N545" s="169"/>
      <c r="O545" s="169"/>
      <c r="P545" s="169"/>
      <c r="Q545" s="169"/>
      <c r="R545" s="169"/>
      <c r="S545" s="169"/>
      <c r="T545" s="169"/>
      <c r="U545" s="169"/>
      <c r="V545" s="169"/>
      <c r="W545" s="169"/>
      <c r="X545" s="169"/>
      <c r="Y545" s="169"/>
      <c r="Z545" s="169"/>
      <c r="AA545" s="169"/>
      <c r="AB545" s="169"/>
      <c r="AC545" s="169"/>
      <c r="AD545" s="169"/>
      <c r="AE545" s="169"/>
      <c r="AF545" s="169"/>
      <c r="AG545" s="169"/>
      <c r="AH545" s="169"/>
      <c r="AI545" s="169"/>
      <c r="AJ545" s="169"/>
      <c r="AK545" s="169"/>
      <c r="AL545" s="169"/>
      <c r="AM545" s="169"/>
      <c r="AN545" s="169"/>
      <c r="AO545" s="169"/>
      <c r="AP545" s="169"/>
      <c r="AQ545" s="169"/>
      <c r="AR545" s="169"/>
      <c r="AS545" s="169"/>
      <c r="AT545" s="169"/>
      <c r="AU545" s="169"/>
      <c r="AV545" s="169"/>
      <c r="AW545" s="169"/>
      <c r="AX545" s="169"/>
      <c r="AY545" s="169"/>
      <c r="AZ545" s="169"/>
      <c r="BA545" s="169"/>
      <c r="BB545" s="169"/>
      <c r="BC545" s="169"/>
      <c r="BD545" s="169"/>
      <c r="BE545" s="169"/>
      <c r="BF545" s="169"/>
      <c r="BG545" s="169"/>
      <c r="BH545" s="169"/>
      <c r="BI545" s="169"/>
      <c r="BJ545" s="169"/>
    </row>
    <row r="546" spans="1:62" ht="36" x14ac:dyDescent="0.25">
      <c r="A546" s="169"/>
      <c r="B546" s="169"/>
      <c r="C546" s="169"/>
      <c r="D546" s="169"/>
      <c r="E546" s="169"/>
      <c r="F546" s="169"/>
      <c r="G546" s="169"/>
      <c r="H546" s="169"/>
      <c r="I546" s="169"/>
      <c r="J546" s="169"/>
      <c r="K546" s="169"/>
      <c r="L546" s="169"/>
      <c r="M546" s="169"/>
      <c r="N546" s="169"/>
      <c r="O546" s="169"/>
      <c r="P546" s="169"/>
      <c r="Q546" s="169"/>
      <c r="R546" s="169"/>
      <c r="S546" s="169"/>
      <c r="T546" s="169"/>
      <c r="U546" s="169"/>
      <c r="V546" s="169"/>
      <c r="W546" s="169"/>
      <c r="X546" s="169"/>
      <c r="Y546" s="169"/>
      <c r="Z546" s="169"/>
      <c r="AA546" s="169"/>
      <c r="AB546" s="169"/>
      <c r="AC546" s="169"/>
      <c r="AD546" s="169"/>
      <c r="AE546" s="169"/>
      <c r="AF546" s="169"/>
      <c r="AG546" s="169"/>
      <c r="AH546" s="169"/>
      <c r="AI546" s="169"/>
      <c r="AJ546" s="169"/>
      <c r="AK546" s="169"/>
      <c r="AL546" s="169"/>
      <c r="AM546" s="169"/>
      <c r="AN546" s="169"/>
      <c r="AO546" s="169"/>
      <c r="AP546" s="169"/>
      <c r="AQ546" s="169"/>
      <c r="AR546" s="169"/>
      <c r="AS546" s="169"/>
      <c r="AT546" s="169"/>
      <c r="AU546" s="169"/>
      <c r="AV546" s="169"/>
      <c r="AW546" s="169"/>
      <c r="AX546" s="169"/>
      <c r="AY546" s="169"/>
      <c r="AZ546" s="169"/>
      <c r="BA546" s="169"/>
      <c r="BB546" s="169"/>
      <c r="BC546" s="169"/>
      <c r="BD546" s="169"/>
      <c r="BE546" s="169"/>
      <c r="BF546" s="169"/>
      <c r="BG546" s="169"/>
      <c r="BH546" s="169"/>
      <c r="BI546" s="169"/>
      <c r="BJ546" s="169"/>
    </row>
    <row r="547" spans="1:62" x14ac:dyDescent="0.25">
      <c r="F547" s="194"/>
      <c r="G547" s="194"/>
    </row>
    <row r="549" spans="1:62" x14ac:dyDescent="0.25">
      <c r="A549" s="199"/>
      <c r="B549" s="136"/>
      <c r="C549" s="199"/>
      <c r="D549" s="199"/>
      <c r="E549" s="199"/>
      <c r="F549" s="199"/>
      <c r="G549" s="199"/>
      <c r="H549" s="199"/>
      <c r="I549" s="136"/>
      <c r="J549" s="199"/>
      <c r="K549" s="199"/>
      <c r="L549" s="199"/>
      <c r="M549" s="199"/>
      <c r="N549" s="136"/>
      <c r="O549" s="199"/>
      <c r="P549" s="199"/>
      <c r="Q549" s="199"/>
      <c r="R549" s="199"/>
      <c r="S549" s="136"/>
      <c r="T549" s="199"/>
      <c r="U549" s="199"/>
      <c r="V549" s="199"/>
      <c r="W549" s="199"/>
      <c r="X549" s="136"/>
      <c r="Y549" s="199"/>
      <c r="Z549" s="199"/>
      <c r="AA549" s="199"/>
      <c r="AB549" s="199"/>
      <c r="AC549" s="136"/>
      <c r="AD549" s="199"/>
      <c r="AE549" s="199"/>
      <c r="AF549" s="199"/>
      <c r="AG549" s="199"/>
      <c r="AH549" s="136"/>
      <c r="AI549" s="199"/>
      <c r="AJ549" s="199"/>
      <c r="AK549" s="199"/>
      <c r="AL549" s="199"/>
      <c r="AM549" s="136"/>
      <c r="AN549" s="199"/>
      <c r="AO549" s="199"/>
      <c r="AP549" s="199"/>
      <c r="AQ549" s="199"/>
      <c r="AR549" s="136"/>
      <c r="AS549" s="199"/>
      <c r="AT549" s="199"/>
      <c r="AU549" s="199"/>
      <c r="AV549" s="199"/>
      <c r="AW549" s="136"/>
      <c r="AX549" s="199"/>
      <c r="AY549" s="199"/>
      <c r="AZ549" s="199"/>
      <c r="BA549" s="199"/>
      <c r="BB549" s="136"/>
      <c r="BC549" s="199"/>
      <c r="BD549" s="199"/>
      <c r="BE549" s="199"/>
      <c r="BF549" s="199"/>
      <c r="BG549" s="136"/>
      <c r="BH549" s="199"/>
      <c r="BI549" s="199"/>
      <c r="BJ549" s="199"/>
    </row>
    <row r="550" spans="1:62" x14ac:dyDescent="0.25">
      <c r="A550" s="199"/>
      <c r="B550" s="136"/>
      <c r="C550" s="199"/>
      <c r="D550" s="199"/>
      <c r="E550" s="199"/>
      <c r="F550" s="199"/>
      <c r="G550" s="199"/>
      <c r="H550" s="199"/>
      <c r="I550" s="136"/>
      <c r="J550" s="199"/>
      <c r="K550" s="199"/>
      <c r="L550" s="199"/>
      <c r="M550" s="199"/>
      <c r="N550" s="136"/>
      <c r="O550" s="199"/>
      <c r="P550" s="199"/>
      <c r="Q550" s="199"/>
      <c r="R550" s="199"/>
      <c r="S550" s="136"/>
      <c r="T550" s="199"/>
      <c r="U550" s="199"/>
      <c r="V550" s="199"/>
      <c r="W550" s="199"/>
      <c r="X550" s="136"/>
      <c r="Y550" s="199"/>
      <c r="Z550" s="199"/>
      <c r="AA550" s="199"/>
      <c r="AB550" s="199"/>
      <c r="AC550" s="136"/>
      <c r="AD550" s="199"/>
      <c r="AE550" s="199"/>
      <c r="AF550" s="199"/>
      <c r="AG550" s="199"/>
      <c r="AH550" s="136"/>
      <c r="AI550" s="199"/>
      <c r="AJ550" s="199"/>
      <c r="AK550" s="199"/>
      <c r="AL550" s="199"/>
      <c r="AM550" s="136"/>
      <c r="AN550" s="199"/>
      <c r="AO550" s="199"/>
      <c r="AP550" s="199"/>
      <c r="AQ550" s="199"/>
      <c r="AR550" s="136"/>
      <c r="AS550" s="199"/>
      <c r="AT550" s="199"/>
      <c r="AU550" s="199"/>
      <c r="AV550" s="199"/>
      <c r="AW550" s="136"/>
      <c r="AX550" s="199"/>
      <c r="AY550" s="199"/>
      <c r="AZ550" s="199"/>
      <c r="BA550" s="199"/>
      <c r="BB550" s="136"/>
      <c r="BC550" s="199"/>
      <c r="BD550" s="199"/>
      <c r="BE550" s="199"/>
      <c r="BF550" s="199"/>
      <c r="BG550" s="136"/>
      <c r="BH550" s="199"/>
      <c r="BI550" s="199"/>
      <c r="BJ550" s="199"/>
    </row>
    <row r="551" spans="1:62" x14ac:dyDescent="0.25">
      <c r="A551" s="199"/>
      <c r="B551" s="136"/>
      <c r="C551" s="199"/>
      <c r="D551" s="199"/>
      <c r="E551" s="199"/>
      <c r="F551" s="199"/>
      <c r="G551" s="199"/>
      <c r="H551" s="199"/>
      <c r="I551" s="136"/>
      <c r="J551" s="199"/>
      <c r="K551" s="199"/>
      <c r="L551" s="199"/>
      <c r="M551" s="199"/>
      <c r="N551" s="136"/>
      <c r="O551" s="199"/>
      <c r="P551" s="199"/>
      <c r="Q551" s="199"/>
      <c r="R551" s="199"/>
      <c r="S551" s="136"/>
      <c r="T551" s="199"/>
      <c r="U551" s="199"/>
      <c r="V551" s="199"/>
      <c r="W551" s="199"/>
      <c r="X551" s="136"/>
      <c r="Y551" s="199"/>
      <c r="Z551" s="199"/>
      <c r="AA551" s="199"/>
      <c r="AB551" s="199"/>
      <c r="AC551" s="136"/>
      <c r="AD551" s="199"/>
      <c r="AE551" s="199"/>
      <c r="AF551" s="199"/>
      <c r="AG551" s="199"/>
      <c r="AH551" s="136"/>
      <c r="AI551" s="199"/>
      <c r="AJ551" s="199"/>
      <c r="AK551" s="199"/>
      <c r="AL551" s="199"/>
      <c r="AM551" s="136"/>
      <c r="AN551" s="199"/>
      <c r="AO551" s="199"/>
      <c r="AP551" s="199"/>
      <c r="AQ551" s="199"/>
      <c r="AR551" s="136"/>
      <c r="AS551" s="199"/>
      <c r="AT551" s="199"/>
      <c r="AU551" s="199"/>
      <c r="AV551" s="199"/>
      <c r="AW551" s="136"/>
      <c r="AX551" s="199"/>
      <c r="AY551" s="199"/>
      <c r="AZ551" s="199"/>
      <c r="BA551" s="199"/>
      <c r="BB551" s="136"/>
      <c r="BC551" s="199"/>
      <c r="BD551" s="199"/>
      <c r="BE551" s="199"/>
      <c r="BF551" s="199"/>
      <c r="BG551" s="136"/>
      <c r="BH551" s="199"/>
      <c r="BI551" s="199"/>
      <c r="BJ551" s="199"/>
    </row>
    <row r="552" spans="1:62" x14ac:dyDescent="0.25">
      <c r="A552" s="199"/>
      <c r="B552" s="136"/>
      <c r="C552" s="199"/>
      <c r="D552" s="199"/>
      <c r="E552" s="199"/>
      <c r="F552" s="199"/>
      <c r="G552" s="199"/>
      <c r="H552" s="199"/>
      <c r="I552" s="136"/>
      <c r="J552" s="199"/>
      <c r="K552" s="199"/>
      <c r="L552" s="199"/>
      <c r="M552" s="199"/>
      <c r="N552" s="136"/>
      <c r="O552" s="199"/>
      <c r="P552" s="199"/>
      <c r="Q552" s="199"/>
      <c r="R552" s="199"/>
      <c r="S552" s="136"/>
      <c r="T552" s="199"/>
      <c r="U552" s="199"/>
      <c r="V552" s="199"/>
      <c r="W552" s="199"/>
      <c r="X552" s="136"/>
      <c r="Y552" s="199"/>
      <c r="Z552" s="199"/>
      <c r="AA552" s="199"/>
      <c r="AB552" s="199"/>
      <c r="AC552" s="136"/>
      <c r="AD552" s="199"/>
      <c r="AE552" s="199"/>
      <c r="AF552" s="199"/>
      <c r="AG552" s="199"/>
      <c r="AH552" s="136"/>
      <c r="AI552" s="199"/>
      <c r="AJ552" s="199"/>
      <c r="AK552" s="199"/>
      <c r="AL552" s="199"/>
      <c r="AM552" s="136"/>
      <c r="AN552" s="199"/>
      <c r="AO552" s="199"/>
      <c r="AP552" s="199"/>
      <c r="AQ552" s="199"/>
      <c r="AR552" s="136"/>
      <c r="AS552" s="199"/>
      <c r="AT552" s="199"/>
      <c r="AU552" s="199"/>
      <c r="AV552" s="199"/>
      <c r="AW552" s="136"/>
      <c r="AX552" s="199"/>
      <c r="AY552" s="199"/>
      <c r="AZ552" s="199"/>
      <c r="BA552" s="199"/>
      <c r="BB552" s="136"/>
      <c r="BC552" s="199"/>
      <c r="BD552" s="199"/>
      <c r="BE552" s="199"/>
      <c r="BF552" s="199"/>
      <c r="BG552" s="136"/>
      <c r="BH552" s="199"/>
      <c r="BI552" s="199"/>
      <c r="BJ552" s="199"/>
    </row>
    <row r="553" spans="1:62" x14ac:dyDescent="0.25">
      <c r="A553" s="199"/>
      <c r="B553" s="136"/>
      <c r="C553" s="199"/>
      <c r="D553" s="199"/>
      <c r="E553" s="199"/>
      <c r="F553" s="199"/>
      <c r="G553" s="199"/>
      <c r="H553" s="199"/>
      <c r="I553" s="136"/>
      <c r="J553" s="199"/>
      <c r="K553" s="199"/>
      <c r="L553" s="199"/>
      <c r="M553" s="199"/>
      <c r="N553" s="136"/>
      <c r="O553" s="199"/>
      <c r="P553" s="199"/>
      <c r="Q553" s="199"/>
      <c r="R553" s="199"/>
      <c r="S553" s="136"/>
      <c r="T553" s="199"/>
      <c r="U553" s="199"/>
      <c r="V553" s="199"/>
      <c r="W553" s="199"/>
      <c r="X553" s="136"/>
      <c r="Y553" s="199"/>
      <c r="Z553" s="199"/>
      <c r="AA553" s="199"/>
      <c r="AB553" s="199"/>
      <c r="AC553" s="136"/>
      <c r="AD553" s="199"/>
      <c r="AE553" s="199"/>
      <c r="AF553" s="199"/>
      <c r="AG553" s="199"/>
      <c r="AH553" s="136"/>
      <c r="AI553" s="199"/>
      <c r="AJ553" s="199"/>
      <c r="AK553" s="199"/>
      <c r="AL553" s="199"/>
      <c r="AM553" s="136"/>
      <c r="AN553" s="199"/>
      <c r="AO553" s="199"/>
      <c r="AP553" s="199"/>
      <c r="AQ553" s="199"/>
      <c r="AR553" s="136"/>
      <c r="AS553" s="199"/>
      <c r="AT553" s="199"/>
      <c r="AU553" s="199"/>
      <c r="AV553" s="199"/>
      <c r="AW553" s="136"/>
      <c r="AX553" s="199"/>
      <c r="AY553" s="199"/>
      <c r="AZ553" s="199"/>
      <c r="BA553" s="199"/>
      <c r="BB553" s="136"/>
      <c r="BC553" s="199"/>
      <c r="BD553" s="199"/>
      <c r="BE553" s="199"/>
      <c r="BF553" s="199"/>
      <c r="BG553" s="136"/>
      <c r="BH553" s="199"/>
      <c r="BI553" s="199"/>
      <c r="BJ553" s="199"/>
    </row>
    <row r="554" spans="1:62" x14ac:dyDescent="0.25">
      <c r="A554" s="199"/>
      <c r="B554" s="136"/>
      <c r="C554" s="199"/>
      <c r="D554" s="199"/>
      <c r="E554" s="199"/>
      <c r="F554" s="199"/>
      <c r="G554" s="199"/>
      <c r="H554" s="199"/>
      <c r="I554" s="136"/>
      <c r="J554" s="199"/>
      <c r="K554" s="199"/>
      <c r="L554" s="199"/>
      <c r="M554" s="199"/>
      <c r="N554" s="136"/>
      <c r="O554" s="199"/>
      <c r="P554" s="199"/>
      <c r="Q554" s="199"/>
      <c r="R554" s="199"/>
      <c r="S554" s="136"/>
      <c r="T554" s="199"/>
      <c r="U554" s="199"/>
      <c r="V554" s="199"/>
      <c r="W554" s="199"/>
      <c r="X554" s="136"/>
      <c r="Y554" s="199"/>
      <c r="Z554" s="199"/>
      <c r="AA554" s="199"/>
      <c r="AB554" s="199"/>
      <c r="AC554" s="136"/>
      <c r="AD554" s="199"/>
      <c r="AE554" s="199"/>
      <c r="AF554" s="199"/>
      <c r="AG554" s="199"/>
      <c r="AH554" s="136"/>
      <c r="AI554" s="199"/>
      <c r="AJ554" s="199"/>
      <c r="AK554" s="199"/>
      <c r="AL554" s="199"/>
      <c r="AM554" s="136"/>
      <c r="AN554" s="199"/>
      <c r="AO554" s="199"/>
      <c r="AP554" s="199"/>
      <c r="AQ554" s="199"/>
      <c r="AR554" s="136"/>
      <c r="AS554" s="199"/>
      <c r="AT554" s="199"/>
      <c r="AU554" s="199"/>
      <c r="AV554" s="199"/>
      <c r="AW554" s="136"/>
      <c r="AX554" s="199"/>
      <c r="AY554" s="199"/>
      <c r="AZ554" s="199"/>
      <c r="BA554" s="199"/>
      <c r="BB554" s="136"/>
      <c r="BC554" s="199"/>
      <c r="BD554" s="199"/>
      <c r="BE554" s="199"/>
      <c r="BF554" s="199"/>
      <c r="BG554" s="136"/>
      <c r="BH554" s="199"/>
      <c r="BI554" s="199"/>
      <c r="BJ554" s="199"/>
    </row>
    <row r="555" spans="1:62" x14ac:dyDescent="0.25">
      <c r="A555" s="199"/>
      <c r="B555" s="136"/>
      <c r="C555" s="199"/>
      <c r="D555" s="199"/>
      <c r="E555" s="199"/>
      <c r="F555" s="199"/>
      <c r="G555" s="199"/>
      <c r="H555" s="199"/>
      <c r="I555" s="136"/>
      <c r="J555" s="199"/>
      <c r="K555" s="199"/>
      <c r="L555" s="199"/>
      <c r="M555" s="199"/>
      <c r="N555" s="136"/>
      <c r="O555" s="199"/>
      <c r="P555" s="199"/>
      <c r="Q555" s="199"/>
      <c r="R555" s="199"/>
      <c r="S555" s="136"/>
      <c r="T555" s="199"/>
      <c r="U555" s="199"/>
      <c r="V555" s="199"/>
      <c r="W555" s="199"/>
      <c r="X555" s="136"/>
      <c r="Y555" s="199"/>
      <c r="Z555" s="199"/>
      <c r="AA555" s="199"/>
      <c r="AB555" s="199"/>
      <c r="AC555" s="136"/>
      <c r="AD555" s="199"/>
      <c r="AE555" s="199"/>
      <c r="AF555" s="199"/>
      <c r="AG555" s="199"/>
      <c r="AH555" s="136"/>
      <c r="AI555" s="199"/>
      <c r="AJ555" s="199"/>
      <c r="AK555" s="199"/>
      <c r="AL555" s="199"/>
      <c r="AM555" s="136"/>
      <c r="AN555" s="199"/>
      <c r="AO555" s="199"/>
      <c r="AP555" s="199"/>
      <c r="AQ555" s="199"/>
      <c r="AR555" s="136"/>
      <c r="AS555" s="199"/>
      <c r="AT555" s="199"/>
      <c r="AU555" s="199"/>
      <c r="AV555" s="199"/>
      <c r="AW555" s="136"/>
      <c r="AX555" s="199"/>
      <c r="AY555" s="199"/>
      <c r="AZ555" s="199"/>
      <c r="BA555" s="199"/>
      <c r="BB555" s="136"/>
      <c r="BC555" s="199"/>
      <c r="BD555" s="199"/>
      <c r="BE555" s="199"/>
      <c r="BF555" s="199"/>
      <c r="BG555" s="136"/>
      <c r="BH555" s="199"/>
      <c r="BI555" s="199"/>
      <c r="BJ555" s="199"/>
    </row>
    <row r="556" spans="1:62" x14ac:dyDescent="0.25">
      <c r="A556" s="199"/>
      <c r="B556" s="136"/>
      <c r="C556" s="199"/>
      <c r="D556" s="199"/>
      <c r="E556" s="199"/>
      <c r="F556" s="199"/>
      <c r="G556" s="199"/>
      <c r="H556" s="199"/>
      <c r="I556" s="136"/>
      <c r="J556" s="199"/>
      <c r="K556" s="199"/>
      <c r="L556" s="199"/>
      <c r="M556" s="199"/>
      <c r="N556" s="136"/>
      <c r="O556" s="199"/>
      <c r="P556" s="199"/>
      <c r="Q556" s="199"/>
      <c r="R556" s="199"/>
      <c r="S556" s="136"/>
      <c r="T556" s="199"/>
      <c r="U556" s="199"/>
      <c r="V556" s="199"/>
      <c r="W556" s="199"/>
      <c r="X556" s="136"/>
      <c r="Y556" s="199"/>
      <c r="Z556" s="199"/>
      <c r="AA556" s="199"/>
      <c r="AB556" s="199"/>
      <c r="AC556" s="136"/>
      <c r="AD556" s="199"/>
      <c r="AE556" s="199"/>
      <c r="AF556" s="199"/>
      <c r="AG556" s="199"/>
      <c r="AH556" s="136"/>
      <c r="AI556" s="199"/>
      <c r="AJ556" s="199"/>
      <c r="AK556" s="199"/>
      <c r="AL556" s="199"/>
      <c r="AM556" s="136"/>
      <c r="AN556" s="199"/>
      <c r="AO556" s="199"/>
      <c r="AP556" s="199"/>
      <c r="AQ556" s="199"/>
      <c r="AR556" s="136"/>
      <c r="AS556" s="199"/>
      <c r="AT556" s="199"/>
      <c r="AU556" s="199"/>
      <c r="AV556" s="199"/>
      <c r="AW556" s="136"/>
      <c r="AX556" s="199"/>
      <c r="AY556" s="199"/>
      <c r="AZ556" s="199"/>
      <c r="BA556" s="199"/>
      <c r="BB556" s="136"/>
      <c r="BC556" s="199"/>
      <c r="BD556" s="199"/>
      <c r="BE556" s="199"/>
      <c r="BF556" s="199"/>
      <c r="BG556" s="136"/>
      <c r="BH556" s="199"/>
      <c r="BI556" s="199"/>
      <c r="BJ556" s="199"/>
    </row>
    <row r="560" spans="1:62" ht="36" x14ac:dyDescent="0.25">
      <c r="A560" s="169"/>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row>
    <row r="561" spans="1:62" x14ac:dyDescent="0.25">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row>
    <row r="562" spans="1:62" x14ac:dyDescent="0.25">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row>
    <row r="563" spans="1:62" ht="36" x14ac:dyDescent="0.25">
      <c r="A563" s="169"/>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c r="AA563" s="169"/>
      <c r="AB563" s="169"/>
      <c r="AC563" s="169"/>
      <c r="AD563" s="169"/>
      <c r="AE563" s="169"/>
      <c r="AF563" s="169"/>
      <c r="AG563" s="169"/>
      <c r="AH563" s="169"/>
      <c r="AI563" s="169"/>
      <c r="AJ563" s="169"/>
      <c r="AK563" s="169"/>
      <c r="AL563" s="169"/>
      <c r="AM563" s="169"/>
      <c r="AN563" s="169"/>
      <c r="AO563" s="169"/>
      <c r="AP563" s="169"/>
      <c r="AQ563" s="169"/>
      <c r="AR563" s="169"/>
      <c r="AS563" s="169"/>
      <c r="AT563" s="169"/>
      <c r="AU563" s="169"/>
      <c r="AV563" s="169"/>
      <c r="AW563" s="169"/>
      <c r="AX563" s="169"/>
      <c r="AY563" s="169"/>
      <c r="AZ563" s="169"/>
      <c r="BA563" s="169"/>
      <c r="BB563" s="169"/>
      <c r="BC563" s="169"/>
      <c r="BD563" s="169"/>
      <c r="BE563" s="169"/>
      <c r="BF563" s="169"/>
      <c r="BG563" s="169"/>
      <c r="BH563" s="169"/>
      <c r="BI563" s="169"/>
      <c r="BJ563" s="169"/>
    </row>
    <row r="564" spans="1:62" ht="36" x14ac:dyDescent="0.25">
      <c r="A564" s="169"/>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row>
    <row r="565" spans="1:62" ht="36" x14ac:dyDescent="0.25">
      <c r="A565" s="169"/>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row>
    <row r="566" spans="1:62" x14ac:dyDescent="0.25">
      <c r="F566" s="194"/>
      <c r="G566" s="194"/>
    </row>
    <row r="568" spans="1:62" x14ac:dyDescent="0.25">
      <c r="A568" s="199"/>
      <c r="B568" s="136"/>
      <c r="C568" s="199"/>
      <c r="D568" s="199"/>
      <c r="E568" s="199"/>
      <c r="F568" s="199"/>
      <c r="G568" s="199"/>
      <c r="H568" s="199"/>
      <c r="I568" s="136"/>
      <c r="J568" s="199"/>
      <c r="K568" s="199"/>
      <c r="L568" s="199"/>
      <c r="M568" s="199"/>
      <c r="N568" s="136"/>
      <c r="O568" s="199"/>
      <c r="P568" s="199"/>
      <c r="Q568" s="199"/>
      <c r="R568" s="199"/>
      <c r="S568" s="136"/>
      <c r="T568" s="199"/>
      <c r="U568" s="199"/>
      <c r="V568" s="199"/>
      <c r="W568" s="199"/>
      <c r="X568" s="136"/>
      <c r="Y568" s="199"/>
      <c r="Z568" s="199"/>
      <c r="AA568" s="199"/>
      <c r="AB568" s="199"/>
      <c r="AC568" s="136"/>
      <c r="AD568" s="199"/>
      <c r="AE568" s="199"/>
      <c r="AF568" s="199"/>
      <c r="AG568" s="199"/>
      <c r="AH568" s="136"/>
      <c r="AI568" s="199"/>
      <c r="AJ568" s="199"/>
      <c r="AK568" s="199"/>
      <c r="AL568" s="199"/>
      <c r="AM568" s="136"/>
      <c r="AN568" s="199"/>
      <c r="AO568" s="199"/>
      <c r="AP568" s="199"/>
      <c r="AQ568" s="199"/>
      <c r="AR568" s="136"/>
      <c r="AS568" s="199"/>
      <c r="AT568" s="199"/>
      <c r="AU568" s="199"/>
      <c r="AV568" s="199"/>
      <c r="AW568" s="136"/>
      <c r="AX568" s="199"/>
      <c r="AY568" s="199"/>
      <c r="AZ568" s="199"/>
      <c r="BA568" s="199"/>
      <c r="BB568" s="136"/>
      <c r="BC568" s="199"/>
      <c r="BD568" s="199"/>
      <c r="BE568" s="199"/>
      <c r="BF568" s="199"/>
      <c r="BG568" s="136"/>
      <c r="BH568" s="199"/>
      <c r="BI568" s="199"/>
      <c r="BJ568" s="199"/>
    </row>
    <row r="569" spans="1:62" x14ac:dyDescent="0.25">
      <c r="A569" s="199"/>
      <c r="B569" s="136"/>
      <c r="C569" s="199"/>
      <c r="D569" s="199"/>
      <c r="E569" s="199"/>
      <c r="F569" s="199"/>
      <c r="G569" s="199"/>
      <c r="H569" s="199"/>
      <c r="I569" s="136"/>
      <c r="J569" s="199"/>
      <c r="K569" s="199"/>
      <c r="L569" s="199"/>
      <c r="M569" s="199"/>
      <c r="N569" s="136"/>
      <c r="O569" s="199"/>
      <c r="P569" s="199"/>
      <c r="Q569" s="199"/>
      <c r="R569" s="199"/>
      <c r="S569" s="136"/>
      <c r="T569" s="199"/>
      <c r="U569" s="199"/>
      <c r="V569" s="199"/>
      <c r="W569" s="199"/>
      <c r="X569" s="136"/>
      <c r="Y569" s="199"/>
      <c r="Z569" s="199"/>
      <c r="AA569" s="199"/>
      <c r="AB569" s="199"/>
      <c r="AC569" s="136"/>
      <c r="AD569" s="199"/>
      <c r="AE569" s="199"/>
      <c r="AF569" s="199"/>
      <c r="AG569" s="199"/>
      <c r="AH569" s="136"/>
      <c r="AI569" s="199"/>
      <c r="AJ569" s="199"/>
      <c r="AK569" s="199"/>
      <c r="AL569" s="199"/>
      <c r="AM569" s="136"/>
      <c r="AN569" s="199"/>
      <c r="AO569" s="199"/>
      <c r="AP569" s="199"/>
      <c r="AQ569" s="199"/>
      <c r="AR569" s="136"/>
      <c r="AS569" s="199"/>
      <c r="AT569" s="199"/>
      <c r="AU569" s="199"/>
      <c r="AV569" s="199"/>
      <c r="AW569" s="136"/>
      <c r="AX569" s="199"/>
      <c r="AY569" s="199"/>
      <c r="AZ569" s="199"/>
      <c r="BA569" s="199"/>
      <c r="BB569" s="136"/>
      <c r="BC569" s="199"/>
      <c r="BD569" s="199"/>
      <c r="BE569" s="199"/>
      <c r="BF569" s="199"/>
      <c r="BG569" s="136"/>
      <c r="BH569" s="199"/>
      <c r="BI569" s="199"/>
      <c r="BJ569" s="199"/>
    </row>
    <row r="570" spans="1:62" x14ac:dyDescent="0.25">
      <c r="A570" s="199"/>
      <c r="B570" s="136"/>
      <c r="C570" s="199"/>
      <c r="D570" s="199"/>
      <c r="E570" s="199"/>
      <c r="F570" s="199"/>
      <c r="G570" s="199"/>
      <c r="H570" s="199"/>
      <c r="I570" s="136"/>
      <c r="J570" s="199"/>
      <c r="K570" s="199"/>
      <c r="L570" s="199"/>
      <c r="M570" s="199"/>
      <c r="N570" s="136"/>
      <c r="O570" s="199"/>
      <c r="P570" s="199"/>
      <c r="Q570" s="199"/>
      <c r="R570" s="199"/>
      <c r="S570" s="136"/>
      <c r="T570" s="199"/>
      <c r="U570" s="199"/>
      <c r="V570" s="199"/>
      <c r="W570" s="199"/>
      <c r="X570" s="136"/>
      <c r="Y570" s="199"/>
      <c r="Z570" s="199"/>
      <c r="AA570" s="199"/>
      <c r="AB570" s="199"/>
      <c r="AC570" s="136"/>
      <c r="AD570" s="199"/>
      <c r="AE570" s="199"/>
      <c r="AF570" s="199"/>
      <c r="AG570" s="199"/>
      <c r="AH570" s="136"/>
      <c r="AI570" s="199"/>
      <c r="AJ570" s="199"/>
      <c r="AK570" s="199"/>
      <c r="AL570" s="199"/>
      <c r="AM570" s="136"/>
      <c r="AN570" s="199"/>
      <c r="AO570" s="199"/>
      <c r="AP570" s="199"/>
      <c r="AQ570" s="199"/>
      <c r="AR570" s="136"/>
      <c r="AS570" s="199"/>
      <c r="AT570" s="199"/>
      <c r="AU570" s="199"/>
      <c r="AV570" s="199"/>
      <c r="AW570" s="136"/>
      <c r="AX570" s="199"/>
      <c r="AY570" s="199"/>
      <c r="AZ570" s="199"/>
      <c r="BA570" s="199"/>
      <c r="BB570" s="136"/>
      <c r="BC570" s="199"/>
      <c r="BD570" s="199"/>
      <c r="BE570" s="199"/>
      <c r="BF570" s="199"/>
      <c r="BG570" s="136"/>
      <c r="BH570" s="199"/>
      <c r="BI570" s="199"/>
      <c r="BJ570" s="199"/>
    </row>
    <row r="571" spans="1:62" x14ac:dyDescent="0.25">
      <c r="A571" s="199"/>
      <c r="B571" s="136"/>
      <c r="C571" s="199"/>
      <c r="D571" s="199"/>
      <c r="E571" s="199"/>
      <c r="F571" s="199"/>
      <c r="G571" s="199"/>
      <c r="H571" s="199"/>
      <c r="I571" s="136"/>
      <c r="J571" s="199"/>
      <c r="K571" s="199"/>
      <c r="L571" s="199"/>
      <c r="M571" s="199"/>
      <c r="N571" s="136"/>
      <c r="O571" s="199"/>
      <c r="P571" s="199"/>
      <c r="Q571" s="199"/>
      <c r="R571" s="199"/>
      <c r="S571" s="136"/>
      <c r="T571" s="199"/>
      <c r="U571" s="199"/>
      <c r="V571" s="199"/>
      <c r="W571" s="199"/>
      <c r="X571" s="136"/>
      <c r="Y571" s="199"/>
      <c r="Z571" s="199"/>
      <c r="AA571" s="199"/>
      <c r="AB571" s="199"/>
      <c r="AC571" s="136"/>
      <c r="AD571" s="199"/>
      <c r="AE571" s="199"/>
      <c r="AF571" s="199"/>
      <c r="AG571" s="199"/>
      <c r="AH571" s="136"/>
      <c r="AI571" s="199"/>
      <c r="AJ571" s="199"/>
      <c r="AK571" s="199"/>
      <c r="AL571" s="199"/>
      <c r="AM571" s="136"/>
      <c r="AN571" s="199"/>
      <c r="AO571" s="199"/>
      <c r="AP571" s="199"/>
      <c r="AQ571" s="199"/>
      <c r="AR571" s="136"/>
      <c r="AS571" s="199"/>
      <c r="AT571" s="199"/>
      <c r="AU571" s="199"/>
      <c r="AV571" s="199"/>
      <c r="AW571" s="136"/>
      <c r="AX571" s="199"/>
      <c r="AY571" s="199"/>
      <c r="AZ571" s="199"/>
      <c r="BA571" s="199"/>
      <c r="BB571" s="136"/>
      <c r="BC571" s="199"/>
      <c r="BD571" s="199"/>
      <c r="BE571" s="199"/>
      <c r="BF571" s="199"/>
      <c r="BG571" s="136"/>
      <c r="BH571" s="199"/>
      <c r="BI571" s="199"/>
      <c r="BJ571" s="199"/>
    </row>
    <row r="572" spans="1:62" x14ac:dyDescent="0.25">
      <c r="A572" s="199"/>
      <c r="B572" s="136"/>
      <c r="C572" s="199"/>
      <c r="D572" s="199"/>
      <c r="E572" s="199"/>
      <c r="F572" s="199"/>
      <c r="G572" s="199"/>
      <c r="H572" s="199"/>
      <c r="I572" s="136"/>
      <c r="J572" s="199"/>
      <c r="K572" s="199"/>
      <c r="L572" s="199"/>
      <c r="M572" s="199"/>
      <c r="N572" s="136"/>
      <c r="O572" s="199"/>
      <c r="P572" s="199"/>
      <c r="Q572" s="199"/>
      <c r="R572" s="199"/>
      <c r="S572" s="136"/>
      <c r="T572" s="199"/>
      <c r="U572" s="199"/>
      <c r="V572" s="199"/>
      <c r="W572" s="199"/>
      <c r="X572" s="136"/>
      <c r="Y572" s="199"/>
      <c r="Z572" s="199"/>
      <c r="AA572" s="199"/>
      <c r="AB572" s="199"/>
      <c r="AC572" s="136"/>
      <c r="AD572" s="199"/>
      <c r="AE572" s="199"/>
      <c r="AF572" s="199"/>
      <c r="AG572" s="199"/>
      <c r="AH572" s="136"/>
      <c r="AI572" s="199"/>
      <c r="AJ572" s="199"/>
      <c r="AK572" s="199"/>
      <c r="AL572" s="199"/>
      <c r="AM572" s="136"/>
      <c r="AN572" s="199"/>
      <c r="AO572" s="199"/>
      <c r="AP572" s="199"/>
      <c r="AQ572" s="199"/>
      <c r="AR572" s="136"/>
      <c r="AS572" s="199"/>
      <c r="AT572" s="199"/>
      <c r="AU572" s="199"/>
      <c r="AV572" s="199"/>
      <c r="AW572" s="136"/>
      <c r="AX572" s="199"/>
      <c r="AY572" s="199"/>
      <c r="AZ572" s="199"/>
      <c r="BA572" s="199"/>
      <c r="BB572" s="136"/>
      <c r="BC572" s="199"/>
      <c r="BD572" s="199"/>
      <c r="BE572" s="199"/>
      <c r="BF572" s="199"/>
      <c r="BG572" s="136"/>
      <c r="BH572" s="199"/>
      <c r="BI572" s="199"/>
      <c r="BJ572" s="199"/>
    </row>
    <row r="573" spans="1:62" x14ac:dyDescent="0.25">
      <c r="A573" s="199"/>
      <c r="B573" s="136"/>
      <c r="C573" s="199"/>
      <c r="D573" s="199"/>
      <c r="E573" s="199"/>
      <c r="F573" s="199"/>
      <c r="G573" s="199"/>
      <c r="H573" s="199"/>
      <c r="I573" s="136"/>
      <c r="J573" s="199"/>
      <c r="K573" s="199"/>
      <c r="L573" s="199"/>
      <c r="M573" s="199"/>
      <c r="N573" s="136"/>
      <c r="O573" s="199"/>
      <c r="P573" s="199"/>
      <c r="Q573" s="199"/>
      <c r="R573" s="199"/>
      <c r="S573" s="136"/>
      <c r="T573" s="199"/>
      <c r="U573" s="199"/>
      <c r="V573" s="199"/>
      <c r="W573" s="199"/>
      <c r="X573" s="136"/>
      <c r="Y573" s="199"/>
      <c r="Z573" s="199"/>
      <c r="AA573" s="199"/>
      <c r="AB573" s="199"/>
      <c r="AC573" s="136"/>
      <c r="AD573" s="199"/>
      <c r="AE573" s="199"/>
      <c r="AF573" s="199"/>
      <c r="AG573" s="199"/>
      <c r="AH573" s="136"/>
      <c r="AI573" s="199"/>
      <c r="AJ573" s="199"/>
      <c r="AK573" s="199"/>
      <c r="AL573" s="199"/>
      <c r="AM573" s="136"/>
      <c r="AN573" s="199"/>
      <c r="AO573" s="199"/>
      <c r="AP573" s="199"/>
      <c r="AQ573" s="199"/>
      <c r="AR573" s="136"/>
      <c r="AS573" s="199"/>
      <c r="AT573" s="199"/>
      <c r="AU573" s="199"/>
      <c r="AV573" s="199"/>
      <c r="AW573" s="136"/>
      <c r="AX573" s="199"/>
      <c r="AY573" s="199"/>
      <c r="AZ573" s="199"/>
      <c r="BA573" s="199"/>
      <c r="BB573" s="136"/>
      <c r="BC573" s="199"/>
      <c r="BD573" s="199"/>
      <c r="BE573" s="199"/>
      <c r="BF573" s="199"/>
      <c r="BG573" s="136"/>
      <c r="BH573" s="199"/>
      <c r="BI573" s="199"/>
      <c r="BJ573" s="199"/>
    </row>
    <row r="574" spans="1:62" x14ac:dyDescent="0.25">
      <c r="A574" s="199"/>
      <c r="B574" s="136"/>
      <c r="C574" s="199"/>
      <c r="D574" s="199"/>
      <c r="E574" s="199"/>
      <c r="F574" s="199"/>
      <c r="G574" s="199"/>
      <c r="H574" s="199"/>
      <c r="I574" s="136"/>
      <c r="J574" s="199"/>
      <c r="K574" s="199"/>
      <c r="L574" s="199"/>
      <c r="M574" s="199"/>
      <c r="N574" s="136"/>
      <c r="O574" s="199"/>
      <c r="P574" s="199"/>
      <c r="Q574" s="199"/>
      <c r="R574" s="199"/>
      <c r="S574" s="136"/>
      <c r="T574" s="199"/>
      <c r="U574" s="199"/>
      <c r="V574" s="199"/>
      <c r="W574" s="199"/>
      <c r="X574" s="136"/>
      <c r="Y574" s="199"/>
      <c r="Z574" s="199"/>
      <c r="AA574" s="199"/>
      <c r="AB574" s="199"/>
      <c r="AC574" s="136"/>
      <c r="AD574" s="199"/>
      <c r="AE574" s="199"/>
      <c r="AF574" s="199"/>
      <c r="AG574" s="199"/>
      <c r="AH574" s="136"/>
      <c r="AI574" s="199"/>
      <c r="AJ574" s="199"/>
      <c r="AK574" s="199"/>
      <c r="AL574" s="199"/>
      <c r="AM574" s="136"/>
      <c r="AN574" s="199"/>
      <c r="AO574" s="199"/>
      <c r="AP574" s="199"/>
      <c r="AQ574" s="199"/>
      <c r="AR574" s="136"/>
      <c r="AS574" s="199"/>
      <c r="AT574" s="199"/>
      <c r="AU574" s="199"/>
      <c r="AV574" s="199"/>
      <c r="AW574" s="136"/>
      <c r="AX574" s="199"/>
      <c r="AY574" s="199"/>
      <c r="AZ574" s="199"/>
      <c r="BA574" s="199"/>
      <c r="BB574" s="136"/>
      <c r="BC574" s="199"/>
      <c r="BD574" s="199"/>
      <c r="BE574" s="199"/>
      <c r="BF574" s="199"/>
      <c r="BG574" s="136"/>
      <c r="BH574" s="199"/>
      <c r="BI574" s="199"/>
      <c r="BJ574" s="199"/>
    </row>
    <row r="575" spans="1:62" x14ac:dyDescent="0.25">
      <c r="A575" s="199"/>
      <c r="B575" s="136"/>
      <c r="C575" s="199"/>
      <c r="D575" s="199"/>
      <c r="E575" s="199"/>
      <c r="F575" s="199"/>
      <c r="G575" s="199"/>
      <c r="H575" s="199"/>
      <c r="I575" s="136"/>
      <c r="J575" s="199"/>
      <c r="K575" s="199"/>
      <c r="L575" s="199"/>
      <c r="M575" s="199"/>
      <c r="N575" s="136"/>
      <c r="O575" s="199"/>
      <c r="P575" s="199"/>
      <c r="Q575" s="199"/>
      <c r="R575" s="199"/>
      <c r="S575" s="136"/>
      <c r="T575" s="199"/>
      <c r="U575" s="199"/>
      <c r="V575" s="199"/>
      <c r="W575" s="199"/>
      <c r="X575" s="136"/>
      <c r="Y575" s="199"/>
      <c r="Z575" s="199"/>
      <c r="AA575" s="199"/>
      <c r="AB575" s="199"/>
      <c r="AC575" s="136"/>
      <c r="AD575" s="199"/>
      <c r="AE575" s="199"/>
      <c r="AF575" s="199"/>
      <c r="AG575" s="199"/>
      <c r="AH575" s="136"/>
      <c r="AI575" s="199"/>
      <c r="AJ575" s="199"/>
      <c r="AK575" s="199"/>
      <c r="AL575" s="199"/>
      <c r="AM575" s="136"/>
      <c r="AN575" s="199"/>
      <c r="AO575" s="199"/>
      <c r="AP575" s="199"/>
      <c r="AQ575" s="199"/>
      <c r="AR575" s="136"/>
      <c r="AS575" s="199"/>
      <c r="AT575" s="199"/>
      <c r="AU575" s="199"/>
      <c r="AV575" s="199"/>
      <c r="AW575" s="136"/>
      <c r="AX575" s="199"/>
      <c r="AY575" s="199"/>
      <c r="AZ575" s="199"/>
      <c r="BA575" s="199"/>
      <c r="BB575" s="136"/>
      <c r="BC575" s="199"/>
      <c r="BD575" s="199"/>
      <c r="BE575" s="199"/>
      <c r="BF575" s="199"/>
      <c r="BG575" s="136"/>
      <c r="BH575" s="199"/>
      <c r="BI575" s="199"/>
      <c r="BJ575" s="199"/>
    </row>
    <row r="579" spans="1:62" ht="36" x14ac:dyDescent="0.25">
      <c r="A579" s="169"/>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row>
    <row r="580" spans="1:62" x14ac:dyDescent="0.25">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row>
    <row r="581" spans="1:62" x14ac:dyDescent="0.25">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c r="AA581" s="107"/>
      <c r="AB581" s="107"/>
      <c r="AC581" s="107"/>
      <c r="AD581" s="107"/>
      <c r="AE581" s="107"/>
      <c r="AF581" s="107"/>
      <c r="AG581" s="107"/>
      <c r="AH581" s="107"/>
      <c r="AI581" s="107"/>
      <c r="AJ581" s="107"/>
      <c r="AK581" s="107"/>
      <c r="AL581" s="107"/>
      <c r="AM581" s="107"/>
      <c r="AN581" s="107"/>
      <c r="AO581" s="107"/>
      <c r="AP581" s="107"/>
      <c r="AQ581" s="107"/>
      <c r="AR581" s="107"/>
      <c r="AS581" s="107"/>
      <c r="AT581" s="107"/>
      <c r="AU581" s="107"/>
      <c r="AV581" s="107"/>
      <c r="AW581" s="107"/>
      <c r="AX581" s="107"/>
      <c r="AY581" s="107"/>
      <c r="AZ581" s="107"/>
      <c r="BA581" s="107"/>
      <c r="BB581" s="107"/>
      <c r="BC581" s="107"/>
      <c r="BD581" s="107"/>
      <c r="BE581" s="107"/>
      <c r="BF581" s="107"/>
      <c r="BG581" s="107"/>
      <c r="BH581" s="107"/>
      <c r="BI581" s="107"/>
      <c r="BJ581" s="107"/>
    </row>
    <row r="582" spans="1:62" ht="36" x14ac:dyDescent="0.25">
      <c r="A582" s="169"/>
      <c r="B582" s="169"/>
      <c r="C582" s="169"/>
      <c r="D582" s="169"/>
      <c r="E582" s="169"/>
      <c r="F582" s="169"/>
      <c r="G582" s="169"/>
      <c r="H582" s="169"/>
      <c r="I582" s="169"/>
      <c r="J582" s="169"/>
      <c r="K582" s="169"/>
      <c r="L582" s="169"/>
      <c r="M582" s="169"/>
      <c r="N582" s="169"/>
      <c r="O582" s="169"/>
      <c r="P582" s="169"/>
      <c r="Q582" s="169"/>
      <c r="R582" s="169"/>
      <c r="S582" s="169"/>
      <c r="T582" s="169"/>
      <c r="U582" s="169"/>
      <c r="V582" s="169"/>
      <c r="W582" s="169"/>
      <c r="X582" s="169"/>
      <c r="Y582" s="169"/>
      <c r="Z582" s="169"/>
      <c r="AA582" s="169"/>
      <c r="AB582" s="169"/>
      <c r="AC582" s="169"/>
      <c r="AD582" s="169"/>
      <c r="AE582" s="169"/>
      <c r="AF582" s="169"/>
      <c r="AG582" s="169"/>
      <c r="AH582" s="169"/>
      <c r="AI582" s="169"/>
      <c r="AJ582" s="169"/>
      <c r="AK582" s="169"/>
      <c r="AL582" s="169"/>
      <c r="AM582" s="169"/>
      <c r="AN582" s="169"/>
      <c r="AO582" s="169"/>
      <c r="AP582" s="169"/>
      <c r="AQ582" s="169"/>
      <c r="AR582" s="169"/>
      <c r="AS582" s="169"/>
      <c r="AT582" s="169"/>
      <c r="AU582" s="169"/>
      <c r="AV582" s="169"/>
      <c r="AW582" s="169"/>
      <c r="AX582" s="169"/>
      <c r="AY582" s="169"/>
      <c r="AZ582" s="169"/>
      <c r="BA582" s="169"/>
      <c r="BB582" s="169"/>
      <c r="BC582" s="169"/>
      <c r="BD582" s="169"/>
      <c r="BE582" s="169"/>
      <c r="BF582" s="169"/>
      <c r="BG582" s="169"/>
      <c r="BH582" s="169"/>
      <c r="BI582" s="169"/>
      <c r="BJ582" s="169"/>
    </row>
    <row r="583" spans="1:62" ht="36" x14ac:dyDescent="0.25">
      <c r="A583" s="169"/>
      <c r="B583" s="169"/>
      <c r="C583" s="169"/>
      <c r="D583" s="169"/>
      <c r="E583" s="169"/>
      <c r="F583" s="169"/>
      <c r="G583" s="169"/>
      <c r="H583" s="169"/>
      <c r="I583" s="169"/>
      <c r="J583" s="169"/>
      <c r="K583" s="169"/>
      <c r="L583" s="169"/>
      <c r="M583" s="169"/>
      <c r="N583" s="169"/>
      <c r="O583" s="169"/>
      <c r="P583" s="169"/>
      <c r="Q583" s="169"/>
      <c r="R583" s="169"/>
      <c r="S583" s="169"/>
      <c r="T583" s="169"/>
      <c r="U583" s="169"/>
      <c r="V583" s="169"/>
      <c r="W583" s="169"/>
      <c r="X583" s="169"/>
      <c r="Y583" s="169"/>
      <c r="Z583" s="169"/>
      <c r="AA583" s="169"/>
      <c r="AB583" s="169"/>
      <c r="AC583" s="169"/>
      <c r="AD583" s="169"/>
      <c r="AE583" s="169"/>
      <c r="AF583" s="169"/>
      <c r="AG583" s="169"/>
      <c r="AH583" s="169"/>
      <c r="AI583" s="169"/>
      <c r="AJ583" s="169"/>
      <c r="AK583" s="169"/>
      <c r="AL583" s="169"/>
      <c r="AM583" s="169"/>
      <c r="AN583" s="169"/>
      <c r="AO583" s="169"/>
      <c r="AP583" s="169"/>
      <c r="AQ583" s="169"/>
      <c r="AR583" s="169"/>
      <c r="AS583" s="169"/>
      <c r="AT583" s="169"/>
      <c r="AU583" s="169"/>
      <c r="AV583" s="169"/>
      <c r="AW583" s="169"/>
      <c r="AX583" s="169"/>
      <c r="AY583" s="169"/>
      <c r="AZ583" s="169"/>
      <c r="BA583" s="169"/>
      <c r="BB583" s="169"/>
      <c r="BC583" s="169"/>
      <c r="BD583" s="169"/>
      <c r="BE583" s="169"/>
      <c r="BF583" s="169"/>
      <c r="BG583" s="169"/>
      <c r="BH583" s="169"/>
      <c r="BI583" s="169"/>
      <c r="BJ583" s="169"/>
    </row>
    <row r="584" spans="1:62" ht="36" x14ac:dyDescent="0.25">
      <c r="A584" s="169"/>
      <c r="B584" s="169"/>
      <c r="C584" s="169"/>
      <c r="D584" s="169"/>
      <c r="E584" s="169"/>
      <c r="F584" s="169"/>
      <c r="G584" s="169"/>
      <c r="H584" s="169"/>
      <c r="I584" s="169"/>
      <c r="J584" s="169"/>
      <c r="K584" s="169"/>
      <c r="L584" s="169"/>
      <c r="M584" s="169"/>
      <c r="N584" s="169"/>
      <c r="O584" s="169"/>
      <c r="P584" s="169"/>
      <c r="Q584" s="169"/>
      <c r="R584" s="169"/>
      <c r="S584" s="169"/>
      <c r="T584" s="169"/>
      <c r="U584" s="169"/>
      <c r="V584" s="169"/>
      <c r="W584" s="169"/>
      <c r="X584" s="169"/>
      <c r="Y584" s="169"/>
      <c r="Z584" s="169"/>
      <c r="AA584" s="169"/>
      <c r="AB584" s="169"/>
      <c r="AC584" s="169"/>
      <c r="AD584" s="169"/>
      <c r="AE584" s="169"/>
      <c r="AF584" s="169"/>
      <c r="AG584" s="169"/>
      <c r="AH584" s="169"/>
      <c r="AI584" s="169"/>
      <c r="AJ584" s="169"/>
      <c r="AK584" s="169"/>
      <c r="AL584" s="169"/>
      <c r="AM584" s="169"/>
      <c r="AN584" s="169"/>
      <c r="AO584" s="169"/>
      <c r="AP584" s="169"/>
      <c r="AQ584" s="169"/>
      <c r="AR584" s="169"/>
      <c r="AS584" s="169"/>
      <c r="AT584" s="169"/>
      <c r="AU584" s="169"/>
      <c r="AV584" s="169"/>
      <c r="AW584" s="169"/>
      <c r="AX584" s="169"/>
      <c r="AY584" s="169"/>
      <c r="AZ584" s="169"/>
      <c r="BA584" s="169"/>
      <c r="BB584" s="169"/>
      <c r="BC584" s="169"/>
      <c r="BD584" s="169"/>
      <c r="BE584" s="169"/>
      <c r="BF584" s="169"/>
      <c r="BG584" s="169"/>
      <c r="BH584" s="169"/>
      <c r="BI584" s="169"/>
      <c r="BJ584" s="169"/>
    </row>
    <row r="585" spans="1:62" x14ac:dyDescent="0.25">
      <c r="F585" s="194"/>
      <c r="G585" s="194"/>
    </row>
    <row r="587" spans="1:62" x14ac:dyDescent="0.25">
      <c r="A587" s="199"/>
      <c r="B587" s="136"/>
      <c r="C587" s="199"/>
      <c r="D587" s="199"/>
      <c r="E587" s="199"/>
      <c r="F587" s="199"/>
      <c r="G587" s="199"/>
      <c r="H587" s="199"/>
      <c r="I587" s="136"/>
      <c r="J587" s="199"/>
      <c r="K587" s="199"/>
      <c r="L587" s="199"/>
      <c r="M587" s="199"/>
      <c r="N587" s="136"/>
      <c r="O587" s="199"/>
      <c r="P587" s="199"/>
      <c r="Q587" s="199"/>
      <c r="R587" s="199"/>
      <c r="S587" s="136"/>
      <c r="T587" s="199"/>
      <c r="U587" s="199"/>
      <c r="V587" s="199"/>
      <c r="W587" s="199"/>
      <c r="X587" s="136"/>
      <c r="Y587" s="199"/>
      <c r="Z587" s="199"/>
      <c r="AA587" s="199"/>
      <c r="AB587" s="199"/>
      <c r="AC587" s="136"/>
      <c r="AD587" s="199"/>
      <c r="AE587" s="199"/>
      <c r="AF587" s="199"/>
      <c r="AG587" s="199"/>
      <c r="AH587" s="136"/>
      <c r="AI587" s="199"/>
      <c r="AJ587" s="199"/>
      <c r="AK587" s="199"/>
      <c r="AL587" s="199"/>
      <c r="AM587" s="136"/>
      <c r="AN587" s="199"/>
      <c r="AO587" s="199"/>
      <c r="AP587" s="199"/>
      <c r="AQ587" s="199"/>
      <c r="AR587" s="136"/>
      <c r="AS587" s="199"/>
      <c r="AT587" s="199"/>
      <c r="AU587" s="199"/>
      <c r="AV587" s="199"/>
      <c r="AW587" s="136"/>
      <c r="AX587" s="199"/>
      <c r="AY587" s="199"/>
      <c r="AZ587" s="199"/>
      <c r="BA587" s="199"/>
      <c r="BB587" s="136"/>
      <c r="BC587" s="199"/>
      <c r="BD587" s="199"/>
      <c r="BE587" s="199"/>
      <c r="BF587" s="199"/>
      <c r="BG587" s="136"/>
      <c r="BH587" s="199"/>
      <c r="BI587" s="199"/>
      <c r="BJ587" s="199"/>
    </row>
    <row r="588" spans="1:62" x14ac:dyDescent="0.25">
      <c r="A588" s="199"/>
      <c r="B588" s="136"/>
      <c r="C588" s="199"/>
      <c r="D588" s="199"/>
      <c r="E588" s="199"/>
      <c r="F588" s="199"/>
      <c r="G588" s="199"/>
      <c r="H588" s="199"/>
      <c r="I588" s="136"/>
      <c r="J588" s="199"/>
      <c r="K588" s="199"/>
      <c r="L588" s="199"/>
      <c r="M588" s="199"/>
      <c r="N588" s="136"/>
      <c r="O588" s="199"/>
      <c r="P588" s="199"/>
      <c r="Q588" s="199"/>
      <c r="R588" s="199"/>
      <c r="S588" s="136"/>
      <c r="T588" s="199"/>
      <c r="U588" s="199"/>
      <c r="V588" s="199"/>
      <c r="W588" s="199"/>
      <c r="X588" s="136"/>
      <c r="Y588" s="199"/>
      <c r="Z588" s="199"/>
      <c r="AA588" s="199"/>
      <c r="AB588" s="199"/>
      <c r="AC588" s="136"/>
      <c r="AD588" s="199"/>
      <c r="AE588" s="199"/>
      <c r="AF588" s="199"/>
      <c r="AG588" s="199"/>
      <c r="AH588" s="136"/>
      <c r="AI588" s="199"/>
      <c r="AJ588" s="199"/>
      <c r="AK588" s="199"/>
      <c r="AL588" s="199"/>
      <c r="AM588" s="136"/>
      <c r="AN588" s="199"/>
      <c r="AO588" s="199"/>
      <c r="AP588" s="199"/>
      <c r="AQ588" s="199"/>
      <c r="AR588" s="136"/>
      <c r="AS588" s="199"/>
      <c r="AT588" s="199"/>
      <c r="AU588" s="199"/>
      <c r="AV588" s="199"/>
      <c r="AW588" s="136"/>
      <c r="AX588" s="199"/>
      <c r="AY588" s="199"/>
      <c r="AZ588" s="199"/>
      <c r="BA588" s="199"/>
      <c r="BB588" s="136"/>
      <c r="BC588" s="199"/>
      <c r="BD588" s="199"/>
      <c r="BE588" s="199"/>
      <c r="BF588" s="199"/>
      <c r="BG588" s="136"/>
      <c r="BH588" s="199"/>
      <c r="BI588" s="199"/>
      <c r="BJ588" s="199"/>
    </row>
    <row r="589" spans="1:62" x14ac:dyDescent="0.25">
      <c r="A589" s="199"/>
      <c r="B589" s="136"/>
      <c r="C589" s="199"/>
      <c r="D589" s="199"/>
      <c r="E589" s="199"/>
      <c r="F589" s="199"/>
      <c r="G589" s="199"/>
      <c r="H589" s="199"/>
      <c r="I589" s="136"/>
      <c r="J589" s="199"/>
      <c r="K589" s="199"/>
      <c r="L589" s="199"/>
      <c r="M589" s="199"/>
      <c r="N589" s="136"/>
      <c r="O589" s="199"/>
      <c r="P589" s="199"/>
      <c r="Q589" s="199"/>
      <c r="R589" s="199"/>
      <c r="S589" s="136"/>
      <c r="T589" s="199"/>
      <c r="U589" s="199"/>
      <c r="V589" s="199"/>
      <c r="W589" s="199"/>
      <c r="X589" s="136"/>
      <c r="Y589" s="199"/>
      <c r="Z589" s="199"/>
      <c r="AA589" s="199"/>
      <c r="AB589" s="199"/>
      <c r="AC589" s="136"/>
      <c r="AD589" s="199"/>
      <c r="AE589" s="199"/>
      <c r="AF589" s="199"/>
      <c r="AG589" s="199"/>
      <c r="AH589" s="136"/>
      <c r="AI589" s="199"/>
      <c r="AJ589" s="199"/>
      <c r="AK589" s="199"/>
      <c r="AL589" s="199"/>
      <c r="AM589" s="136"/>
      <c r="AN589" s="199"/>
      <c r="AO589" s="199"/>
      <c r="AP589" s="199"/>
      <c r="AQ589" s="199"/>
      <c r="AR589" s="136"/>
      <c r="AS589" s="199"/>
      <c r="AT589" s="199"/>
      <c r="AU589" s="199"/>
      <c r="AV589" s="199"/>
      <c r="AW589" s="136"/>
      <c r="AX589" s="199"/>
      <c r="AY589" s="199"/>
      <c r="AZ589" s="199"/>
      <c r="BA589" s="199"/>
      <c r="BB589" s="136"/>
      <c r="BC589" s="199"/>
      <c r="BD589" s="199"/>
      <c r="BE589" s="199"/>
      <c r="BF589" s="199"/>
      <c r="BG589" s="136"/>
      <c r="BH589" s="199"/>
      <c r="BI589" s="199"/>
      <c r="BJ589" s="199"/>
    </row>
    <row r="590" spans="1:62" x14ac:dyDescent="0.25">
      <c r="A590" s="199"/>
      <c r="B590" s="136"/>
      <c r="C590" s="199"/>
      <c r="D590" s="199"/>
      <c r="E590" s="199"/>
      <c r="F590" s="199"/>
      <c r="G590" s="199"/>
      <c r="H590" s="199"/>
      <c r="I590" s="136"/>
      <c r="J590" s="199"/>
      <c r="K590" s="199"/>
      <c r="L590" s="199"/>
      <c r="M590" s="199"/>
      <c r="N590" s="136"/>
      <c r="O590" s="199"/>
      <c r="P590" s="199"/>
      <c r="Q590" s="199"/>
      <c r="R590" s="199"/>
      <c r="S590" s="136"/>
      <c r="T590" s="199"/>
      <c r="U590" s="199"/>
      <c r="V590" s="199"/>
      <c r="W590" s="199"/>
      <c r="X590" s="136"/>
      <c r="Y590" s="199"/>
      <c r="Z590" s="199"/>
      <c r="AA590" s="199"/>
      <c r="AB590" s="199"/>
      <c r="AC590" s="136"/>
      <c r="AD590" s="199"/>
      <c r="AE590" s="199"/>
      <c r="AF590" s="199"/>
      <c r="AG590" s="199"/>
      <c r="AH590" s="136"/>
      <c r="AI590" s="199"/>
      <c r="AJ590" s="199"/>
      <c r="AK590" s="199"/>
      <c r="AL590" s="199"/>
      <c r="AM590" s="136"/>
      <c r="AN590" s="199"/>
      <c r="AO590" s="199"/>
      <c r="AP590" s="199"/>
      <c r="AQ590" s="199"/>
      <c r="AR590" s="136"/>
      <c r="AS590" s="199"/>
      <c r="AT590" s="199"/>
      <c r="AU590" s="199"/>
      <c r="AV590" s="199"/>
      <c r="AW590" s="136"/>
      <c r="AX590" s="199"/>
      <c r="AY590" s="199"/>
      <c r="AZ590" s="199"/>
      <c r="BA590" s="199"/>
      <c r="BB590" s="136"/>
      <c r="BC590" s="199"/>
      <c r="BD590" s="199"/>
      <c r="BE590" s="199"/>
      <c r="BF590" s="199"/>
      <c r="BG590" s="136"/>
      <c r="BH590" s="199"/>
      <c r="BI590" s="199"/>
      <c r="BJ590" s="199"/>
    </row>
    <row r="591" spans="1:62" x14ac:dyDescent="0.25">
      <c r="A591" s="199"/>
      <c r="B591" s="136"/>
      <c r="C591" s="199"/>
      <c r="D591" s="199"/>
      <c r="E591" s="199"/>
      <c r="F591" s="199"/>
      <c r="G591" s="199"/>
      <c r="H591" s="199"/>
      <c r="I591" s="136"/>
      <c r="J591" s="199"/>
      <c r="K591" s="199"/>
      <c r="L591" s="199"/>
      <c r="M591" s="199"/>
      <c r="N591" s="136"/>
      <c r="O591" s="199"/>
      <c r="P591" s="199"/>
      <c r="Q591" s="199"/>
      <c r="R591" s="199"/>
      <c r="S591" s="136"/>
      <c r="T591" s="199"/>
      <c r="U591" s="199"/>
      <c r="V591" s="199"/>
      <c r="W591" s="199"/>
      <c r="X591" s="136"/>
      <c r="Y591" s="199"/>
      <c r="Z591" s="199"/>
      <c r="AA591" s="199"/>
      <c r="AB591" s="199"/>
      <c r="AC591" s="136"/>
      <c r="AD591" s="199"/>
      <c r="AE591" s="199"/>
      <c r="AF591" s="199"/>
      <c r="AG591" s="199"/>
      <c r="AH591" s="136"/>
      <c r="AI591" s="199"/>
      <c r="AJ591" s="199"/>
      <c r="AK591" s="199"/>
      <c r="AL591" s="199"/>
      <c r="AM591" s="136"/>
      <c r="AN591" s="199"/>
      <c r="AO591" s="199"/>
      <c r="AP591" s="199"/>
      <c r="AQ591" s="199"/>
      <c r="AR591" s="136"/>
      <c r="AS591" s="199"/>
      <c r="AT591" s="199"/>
      <c r="AU591" s="199"/>
      <c r="AV591" s="199"/>
      <c r="AW591" s="136"/>
      <c r="AX591" s="199"/>
      <c r="AY591" s="199"/>
      <c r="AZ591" s="199"/>
      <c r="BA591" s="199"/>
      <c r="BB591" s="136"/>
      <c r="BC591" s="199"/>
      <c r="BD591" s="199"/>
      <c r="BE591" s="199"/>
      <c r="BF591" s="199"/>
      <c r="BG591" s="136"/>
      <c r="BH591" s="199"/>
      <c r="BI591" s="199"/>
      <c r="BJ591" s="199"/>
    </row>
    <row r="592" spans="1:62" x14ac:dyDescent="0.25">
      <c r="A592" s="199"/>
      <c r="B592" s="136"/>
      <c r="C592" s="199"/>
      <c r="D592" s="199"/>
      <c r="E592" s="199"/>
      <c r="F592" s="199"/>
      <c r="G592" s="199"/>
      <c r="H592" s="199"/>
      <c r="I592" s="136"/>
      <c r="J592" s="199"/>
      <c r="K592" s="199"/>
      <c r="L592" s="199"/>
      <c r="M592" s="199"/>
      <c r="N592" s="136"/>
      <c r="O592" s="199"/>
      <c r="P592" s="199"/>
      <c r="Q592" s="199"/>
      <c r="R592" s="199"/>
      <c r="S592" s="136"/>
      <c r="T592" s="199"/>
      <c r="U592" s="199"/>
      <c r="V592" s="199"/>
      <c r="W592" s="199"/>
      <c r="X592" s="136"/>
      <c r="Y592" s="199"/>
      <c r="Z592" s="199"/>
      <c r="AA592" s="199"/>
      <c r="AB592" s="199"/>
      <c r="AC592" s="136"/>
      <c r="AD592" s="199"/>
      <c r="AE592" s="199"/>
      <c r="AF592" s="199"/>
      <c r="AG592" s="199"/>
      <c r="AH592" s="136"/>
      <c r="AI592" s="199"/>
      <c r="AJ592" s="199"/>
      <c r="AK592" s="199"/>
      <c r="AL592" s="199"/>
      <c r="AM592" s="136"/>
      <c r="AN592" s="199"/>
      <c r="AO592" s="199"/>
      <c r="AP592" s="199"/>
      <c r="AQ592" s="199"/>
      <c r="AR592" s="136"/>
      <c r="AS592" s="199"/>
      <c r="AT592" s="199"/>
      <c r="AU592" s="199"/>
      <c r="AV592" s="199"/>
      <c r="AW592" s="136"/>
      <c r="AX592" s="199"/>
      <c r="AY592" s="199"/>
      <c r="AZ592" s="199"/>
      <c r="BA592" s="199"/>
      <c r="BB592" s="136"/>
      <c r="BC592" s="199"/>
      <c r="BD592" s="199"/>
      <c r="BE592" s="199"/>
      <c r="BF592" s="199"/>
      <c r="BG592" s="136"/>
      <c r="BH592" s="199"/>
      <c r="BI592" s="199"/>
      <c r="BJ592" s="199"/>
    </row>
    <row r="593" spans="1:62" x14ac:dyDescent="0.25">
      <c r="A593" s="199"/>
      <c r="B593" s="136"/>
      <c r="C593" s="199"/>
      <c r="D593" s="199"/>
      <c r="E593" s="199"/>
      <c r="F593" s="199"/>
      <c r="G593" s="199"/>
      <c r="H593" s="199"/>
      <c r="I593" s="136"/>
      <c r="J593" s="199"/>
      <c r="K593" s="199"/>
      <c r="L593" s="199"/>
      <c r="M593" s="199"/>
      <c r="N593" s="136"/>
      <c r="O593" s="199"/>
      <c r="P593" s="199"/>
      <c r="Q593" s="199"/>
      <c r="R593" s="199"/>
      <c r="S593" s="136"/>
      <c r="T593" s="199"/>
      <c r="U593" s="199"/>
      <c r="V593" s="199"/>
      <c r="W593" s="199"/>
      <c r="X593" s="136"/>
      <c r="Y593" s="199"/>
      <c r="Z593" s="199"/>
      <c r="AA593" s="199"/>
      <c r="AB593" s="199"/>
      <c r="AC593" s="136"/>
      <c r="AD593" s="199"/>
      <c r="AE593" s="199"/>
      <c r="AF593" s="199"/>
      <c r="AG593" s="199"/>
      <c r="AH593" s="136"/>
      <c r="AI593" s="199"/>
      <c r="AJ593" s="199"/>
      <c r="AK593" s="199"/>
      <c r="AL593" s="199"/>
      <c r="AM593" s="136"/>
      <c r="AN593" s="199"/>
      <c r="AO593" s="199"/>
      <c r="AP593" s="199"/>
      <c r="AQ593" s="199"/>
      <c r="AR593" s="136"/>
      <c r="AS593" s="199"/>
      <c r="AT593" s="199"/>
      <c r="AU593" s="199"/>
      <c r="AV593" s="199"/>
      <c r="AW593" s="136"/>
      <c r="AX593" s="199"/>
      <c r="AY593" s="199"/>
      <c r="AZ593" s="199"/>
      <c r="BA593" s="199"/>
      <c r="BB593" s="136"/>
      <c r="BC593" s="199"/>
      <c r="BD593" s="199"/>
      <c r="BE593" s="199"/>
      <c r="BF593" s="199"/>
      <c r="BG593" s="136"/>
      <c r="BH593" s="199"/>
      <c r="BI593" s="199"/>
      <c r="BJ593" s="199"/>
    </row>
    <row r="594" spans="1:62" x14ac:dyDescent="0.25">
      <c r="A594" s="199"/>
      <c r="B594" s="136"/>
      <c r="C594" s="199"/>
      <c r="D594" s="199"/>
      <c r="E594" s="199"/>
      <c r="F594" s="199"/>
      <c r="G594" s="199"/>
      <c r="H594" s="199"/>
      <c r="I594" s="136"/>
      <c r="J594" s="199"/>
      <c r="K594" s="199"/>
      <c r="L594" s="199"/>
      <c r="M594" s="199"/>
      <c r="N594" s="136"/>
      <c r="O594" s="199"/>
      <c r="P594" s="199"/>
      <c r="Q594" s="199"/>
      <c r="R594" s="199"/>
      <c r="S594" s="136"/>
      <c r="T594" s="199"/>
      <c r="U594" s="199"/>
      <c r="V594" s="199"/>
      <c r="W594" s="199"/>
      <c r="X594" s="136"/>
      <c r="Y594" s="199"/>
      <c r="Z594" s="199"/>
      <c r="AA594" s="199"/>
      <c r="AB594" s="199"/>
      <c r="AC594" s="136"/>
      <c r="AD594" s="199"/>
      <c r="AE594" s="199"/>
      <c r="AF594" s="199"/>
      <c r="AG594" s="199"/>
      <c r="AH594" s="136"/>
      <c r="AI594" s="199"/>
      <c r="AJ594" s="199"/>
      <c r="AK594" s="199"/>
      <c r="AL594" s="199"/>
      <c r="AM594" s="136"/>
      <c r="AN594" s="199"/>
      <c r="AO594" s="199"/>
      <c r="AP594" s="199"/>
      <c r="AQ594" s="199"/>
      <c r="AR594" s="136"/>
      <c r="AS594" s="199"/>
      <c r="AT594" s="199"/>
      <c r="AU594" s="199"/>
      <c r="AV594" s="199"/>
      <c r="AW594" s="136"/>
      <c r="AX594" s="199"/>
      <c r="AY594" s="199"/>
      <c r="AZ594" s="199"/>
      <c r="BA594" s="199"/>
      <c r="BB594" s="136"/>
      <c r="BC594" s="199"/>
      <c r="BD594" s="199"/>
      <c r="BE594" s="199"/>
      <c r="BF594" s="199"/>
      <c r="BG594" s="136"/>
      <c r="BH594" s="199"/>
      <c r="BI594" s="199"/>
      <c r="BJ594" s="199"/>
    </row>
    <row r="598" spans="1:62" ht="36" x14ac:dyDescent="0.25">
      <c r="A598" s="169"/>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c r="AA598" s="107"/>
      <c r="AB598" s="107"/>
      <c r="AC598" s="107"/>
      <c r="AD598" s="107"/>
      <c r="AE598" s="107"/>
      <c r="AF598" s="107"/>
      <c r="AG598" s="107"/>
      <c r="AH598" s="107"/>
      <c r="AI598" s="107"/>
      <c r="AJ598" s="107"/>
      <c r="AK598" s="107"/>
      <c r="AL598" s="107"/>
      <c r="AM598" s="107"/>
      <c r="AN598" s="107"/>
      <c r="AO598" s="107"/>
      <c r="AP598" s="107"/>
      <c r="AQ598" s="107"/>
      <c r="AR598" s="107"/>
      <c r="AS598" s="107"/>
      <c r="AT598" s="107"/>
      <c r="AU598" s="107"/>
      <c r="AV598" s="107"/>
      <c r="AW598" s="107"/>
      <c r="AX598" s="107"/>
      <c r="AY598" s="107"/>
      <c r="AZ598" s="107"/>
      <c r="BA598" s="107"/>
      <c r="BB598" s="107"/>
      <c r="BC598" s="107"/>
      <c r="BD598" s="107"/>
      <c r="BE598" s="107"/>
      <c r="BF598" s="107"/>
      <c r="BG598" s="107"/>
      <c r="BH598" s="107"/>
      <c r="BI598" s="107"/>
      <c r="BJ598" s="107"/>
    </row>
    <row r="599" spans="1:62" x14ac:dyDescent="0.25">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row>
    <row r="600" spans="1:62" x14ac:dyDescent="0.25">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row>
    <row r="601" spans="1:62" ht="36" x14ac:dyDescent="0.25">
      <c r="A601" s="169"/>
      <c r="B601" s="169"/>
      <c r="C601" s="169"/>
      <c r="D601" s="169"/>
      <c r="E601" s="169"/>
      <c r="F601" s="169"/>
      <c r="G601" s="169"/>
      <c r="H601" s="169"/>
      <c r="I601" s="169"/>
      <c r="J601" s="169"/>
      <c r="K601" s="169"/>
      <c r="L601" s="169"/>
      <c r="M601" s="169"/>
      <c r="N601" s="169"/>
      <c r="O601" s="169"/>
      <c r="P601" s="169"/>
      <c r="Q601" s="169"/>
      <c r="R601" s="169"/>
      <c r="S601" s="169"/>
      <c r="T601" s="169"/>
      <c r="U601" s="169"/>
      <c r="V601" s="169"/>
      <c r="W601" s="169"/>
      <c r="X601" s="169"/>
      <c r="Y601" s="169"/>
      <c r="Z601" s="169"/>
      <c r="AA601" s="169"/>
      <c r="AB601" s="169"/>
      <c r="AC601" s="169"/>
      <c r="AD601" s="169"/>
      <c r="AE601" s="169"/>
      <c r="AF601" s="169"/>
      <c r="AG601" s="169"/>
      <c r="AH601" s="169"/>
      <c r="AI601" s="169"/>
      <c r="AJ601" s="169"/>
      <c r="AK601" s="169"/>
      <c r="AL601" s="169"/>
      <c r="AM601" s="169"/>
      <c r="AN601" s="169"/>
      <c r="AO601" s="169"/>
      <c r="AP601" s="169"/>
      <c r="AQ601" s="169"/>
      <c r="AR601" s="169"/>
      <c r="AS601" s="169"/>
      <c r="AT601" s="169"/>
      <c r="AU601" s="169"/>
      <c r="AV601" s="169"/>
      <c r="AW601" s="169"/>
      <c r="AX601" s="169"/>
      <c r="AY601" s="169"/>
      <c r="AZ601" s="169"/>
      <c r="BA601" s="169"/>
      <c r="BB601" s="169"/>
      <c r="BC601" s="169"/>
      <c r="BD601" s="169"/>
      <c r="BE601" s="169"/>
      <c r="BF601" s="169"/>
      <c r="BG601" s="169"/>
      <c r="BH601" s="169"/>
      <c r="BI601" s="169"/>
      <c r="BJ601" s="169"/>
    </row>
    <row r="602" spans="1:62" ht="36" x14ac:dyDescent="0.25">
      <c r="A602" s="169"/>
      <c r="B602" s="169"/>
      <c r="C602" s="169"/>
      <c r="D602" s="169"/>
      <c r="E602" s="169"/>
      <c r="F602" s="169"/>
      <c r="G602" s="169"/>
      <c r="H602" s="169"/>
      <c r="I602" s="169"/>
      <c r="J602" s="169"/>
      <c r="K602" s="169"/>
      <c r="L602" s="169"/>
      <c r="M602" s="169"/>
      <c r="N602" s="169"/>
      <c r="O602" s="169"/>
      <c r="P602" s="169"/>
      <c r="Q602" s="169"/>
      <c r="R602" s="169"/>
      <c r="S602" s="169"/>
      <c r="T602" s="169"/>
      <c r="U602" s="169"/>
      <c r="V602" s="169"/>
      <c r="W602" s="169"/>
      <c r="X602" s="169"/>
      <c r="Y602" s="169"/>
      <c r="Z602" s="169"/>
      <c r="AA602" s="169"/>
      <c r="AB602" s="169"/>
      <c r="AC602" s="169"/>
      <c r="AD602" s="169"/>
      <c r="AE602" s="169"/>
      <c r="AF602" s="169"/>
      <c r="AG602" s="169"/>
      <c r="AH602" s="169"/>
      <c r="AI602" s="169"/>
      <c r="AJ602" s="169"/>
      <c r="AK602" s="169"/>
      <c r="AL602" s="169"/>
      <c r="AM602" s="169"/>
      <c r="AN602" s="169"/>
      <c r="AO602" s="169"/>
      <c r="AP602" s="169"/>
      <c r="AQ602" s="169"/>
      <c r="AR602" s="169"/>
      <c r="AS602" s="169"/>
      <c r="AT602" s="169"/>
      <c r="AU602" s="169"/>
      <c r="AV602" s="169"/>
      <c r="AW602" s="169"/>
      <c r="AX602" s="169"/>
      <c r="AY602" s="169"/>
      <c r="AZ602" s="169"/>
      <c r="BA602" s="169"/>
      <c r="BB602" s="169"/>
      <c r="BC602" s="169"/>
      <c r="BD602" s="169"/>
      <c r="BE602" s="169"/>
      <c r="BF602" s="169"/>
      <c r="BG602" s="169"/>
      <c r="BH602" s="169"/>
      <c r="BI602" s="169"/>
      <c r="BJ602" s="169"/>
    </row>
    <row r="603" spans="1:62" ht="36" x14ac:dyDescent="0.25">
      <c r="A603" s="169"/>
      <c r="B603" s="169"/>
      <c r="C603" s="169"/>
      <c r="D603" s="169"/>
      <c r="E603" s="169"/>
      <c r="F603" s="169"/>
      <c r="G603" s="169"/>
      <c r="H603" s="169"/>
      <c r="I603" s="169"/>
      <c r="J603" s="169"/>
      <c r="K603" s="169"/>
      <c r="L603" s="169"/>
      <c r="M603" s="169"/>
      <c r="N603" s="169"/>
      <c r="O603" s="169"/>
      <c r="P603" s="169"/>
      <c r="Q603" s="169"/>
      <c r="R603" s="169"/>
      <c r="S603" s="169"/>
      <c r="T603" s="169"/>
      <c r="U603" s="169"/>
      <c r="V603" s="169"/>
      <c r="W603" s="169"/>
      <c r="X603" s="169"/>
      <c r="Y603" s="169"/>
      <c r="Z603" s="169"/>
      <c r="AA603" s="169"/>
      <c r="AB603" s="169"/>
      <c r="AC603" s="169"/>
      <c r="AD603" s="169"/>
      <c r="AE603" s="169"/>
      <c r="AF603" s="169"/>
      <c r="AG603" s="169"/>
      <c r="AH603" s="169"/>
      <c r="AI603" s="169"/>
      <c r="AJ603" s="169"/>
      <c r="AK603" s="169"/>
      <c r="AL603" s="169"/>
      <c r="AM603" s="169"/>
      <c r="AN603" s="169"/>
      <c r="AO603" s="169"/>
      <c r="AP603" s="169"/>
      <c r="AQ603" s="169"/>
      <c r="AR603" s="169"/>
      <c r="AS603" s="169"/>
      <c r="AT603" s="169"/>
      <c r="AU603" s="169"/>
      <c r="AV603" s="169"/>
      <c r="AW603" s="169"/>
      <c r="AX603" s="169"/>
      <c r="AY603" s="169"/>
      <c r="AZ603" s="169"/>
      <c r="BA603" s="169"/>
      <c r="BB603" s="169"/>
      <c r="BC603" s="169"/>
      <c r="BD603" s="169"/>
      <c r="BE603" s="169"/>
      <c r="BF603" s="169"/>
      <c r="BG603" s="169"/>
      <c r="BH603" s="169"/>
      <c r="BI603" s="169"/>
      <c r="BJ603" s="169"/>
    </row>
    <row r="604" spans="1:62" x14ac:dyDescent="0.25">
      <c r="F604" s="194"/>
      <c r="G604" s="194"/>
    </row>
    <row r="606" spans="1:62" x14ac:dyDescent="0.25">
      <c r="A606" s="199"/>
      <c r="B606" s="136"/>
      <c r="C606" s="199"/>
      <c r="D606" s="199"/>
      <c r="E606" s="199"/>
      <c r="F606" s="199"/>
      <c r="G606" s="199"/>
      <c r="H606" s="199"/>
      <c r="I606" s="136"/>
      <c r="J606" s="199"/>
      <c r="K606" s="199"/>
      <c r="L606" s="199"/>
      <c r="M606" s="199"/>
      <c r="N606" s="136"/>
      <c r="O606" s="199"/>
      <c r="P606" s="199"/>
      <c r="Q606" s="199"/>
      <c r="R606" s="199"/>
      <c r="S606" s="136"/>
      <c r="T606" s="199"/>
      <c r="U606" s="199"/>
      <c r="V606" s="199"/>
      <c r="W606" s="199"/>
      <c r="X606" s="136"/>
      <c r="Y606" s="199"/>
      <c r="Z606" s="199"/>
      <c r="AA606" s="199"/>
      <c r="AB606" s="199"/>
      <c r="AC606" s="136"/>
      <c r="AD606" s="199"/>
      <c r="AE606" s="199"/>
      <c r="AF606" s="199"/>
      <c r="AG606" s="199"/>
      <c r="AH606" s="136"/>
      <c r="AI606" s="199"/>
      <c r="AJ606" s="199"/>
      <c r="AK606" s="199"/>
      <c r="AL606" s="199"/>
      <c r="AM606" s="136"/>
      <c r="AN606" s="199"/>
      <c r="AO606" s="199"/>
      <c r="AP606" s="199"/>
      <c r="AQ606" s="199"/>
      <c r="AR606" s="136"/>
      <c r="AS606" s="199"/>
      <c r="AT606" s="199"/>
      <c r="AU606" s="199"/>
      <c r="AV606" s="199"/>
      <c r="AW606" s="136"/>
      <c r="AX606" s="199"/>
      <c r="AY606" s="199"/>
      <c r="AZ606" s="199"/>
      <c r="BA606" s="199"/>
      <c r="BB606" s="136"/>
      <c r="BC606" s="199"/>
      <c r="BD606" s="199"/>
      <c r="BE606" s="199"/>
      <c r="BF606" s="199"/>
      <c r="BG606" s="136"/>
      <c r="BH606" s="199"/>
      <c r="BI606" s="199"/>
      <c r="BJ606" s="199"/>
    </row>
    <row r="607" spans="1:62" x14ac:dyDescent="0.25">
      <c r="A607" s="199"/>
      <c r="B607" s="136"/>
      <c r="C607" s="199"/>
      <c r="D607" s="199"/>
      <c r="E607" s="199"/>
      <c r="F607" s="199"/>
      <c r="G607" s="199"/>
      <c r="H607" s="199"/>
      <c r="I607" s="136"/>
      <c r="J607" s="199"/>
      <c r="K607" s="199"/>
      <c r="L607" s="199"/>
      <c r="M607" s="199"/>
      <c r="N607" s="136"/>
      <c r="O607" s="199"/>
      <c r="P607" s="199"/>
      <c r="Q607" s="199"/>
      <c r="R607" s="199"/>
      <c r="S607" s="136"/>
      <c r="T607" s="199"/>
      <c r="U607" s="199"/>
      <c r="V607" s="199"/>
      <c r="W607" s="199"/>
      <c r="X607" s="136"/>
      <c r="Y607" s="199"/>
      <c r="Z607" s="199"/>
      <c r="AA607" s="199"/>
      <c r="AB607" s="199"/>
      <c r="AC607" s="136"/>
      <c r="AD607" s="199"/>
      <c r="AE607" s="199"/>
      <c r="AF607" s="199"/>
      <c r="AG607" s="199"/>
      <c r="AH607" s="136"/>
      <c r="AI607" s="199"/>
      <c r="AJ607" s="199"/>
      <c r="AK607" s="199"/>
      <c r="AL607" s="199"/>
      <c r="AM607" s="136"/>
      <c r="AN607" s="199"/>
      <c r="AO607" s="199"/>
      <c r="AP607" s="199"/>
      <c r="AQ607" s="199"/>
      <c r="AR607" s="136"/>
      <c r="AS607" s="199"/>
      <c r="AT607" s="199"/>
      <c r="AU607" s="199"/>
      <c r="AV607" s="199"/>
      <c r="AW607" s="136"/>
      <c r="AX607" s="199"/>
      <c r="AY607" s="199"/>
      <c r="AZ607" s="199"/>
      <c r="BA607" s="199"/>
      <c r="BB607" s="136"/>
      <c r="BC607" s="199"/>
      <c r="BD607" s="199"/>
      <c r="BE607" s="199"/>
      <c r="BF607" s="199"/>
      <c r="BG607" s="136"/>
      <c r="BH607" s="199"/>
      <c r="BI607" s="199"/>
      <c r="BJ607" s="199"/>
    </row>
    <row r="608" spans="1:62" x14ac:dyDescent="0.25">
      <c r="A608" s="199"/>
      <c r="B608" s="136"/>
      <c r="C608" s="199"/>
      <c r="D608" s="199"/>
      <c r="E608" s="199"/>
      <c r="F608" s="199"/>
      <c r="G608" s="199"/>
      <c r="H608" s="199"/>
      <c r="I608" s="136"/>
      <c r="J608" s="199"/>
      <c r="K608" s="199"/>
      <c r="L608" s="199"/>
      <c r="M608" s="199"/>
      <c r="N608" s="136"/>
      <c r="O608" s="199"/>
      <c r="P608" s="199"/>
      <c r="Q608" s="199"/>
      <c r="R608" s="199"/>
      <c r="S608" s="136"/>
      <c r="T608" s="199"/>
      <c r="U608" s="199"/>
      <c r="V608" s="199"/>
      <c r="W608" s="199"/>
      <c r="X608" s="136"/>
      <c r="Y608" s="199"/>
      <c r="Z608" s="199"/>
      <c r="AA608" s="199"/>
      <c r="AB608" s="199"/>
      <c r="AC608" s="136"/>
      <c r="AD608" s="199"/>
      <c r="AE608" s="199"/>
      <c r="AF608" s="199"/>
      <c r="AG608" s="199"/>
      <c r="AH608" s="136"/>
      <c r="AI608" s="199"/>
      <c r="AJ608" s="199"/>
      <c r="AK608" s="199"/>
      <c r="AL608" s="199"/>
      <c r="AM608" s="136"/>
      <c r="AN608" s="199"/>
      <c r="AO608" s="199"/>
      <c r="AP608" s="199"/>
      <c r="AQ608" s="199"/>
      <c r="AR608" s="136"/>
      <c r="AS608" s="199"/>
      <c r="AT608" s="199"/>
      <c r="AU608" s="199"/>
      <c r="AV608" s="199"/>
      <c r="AW608" s="136"/>
      <c r="AX608" s="199"/>
      <c r="AY608" s="199"/>
      <c r="AZ608" s="199"/>
      <c r="BA608" s="199"/>
      <c r="BB608" s="136"/>
      <c r="BC608" s="199"/>
      <c r="BD608" s="199"/>
      <c r="BE608" s="199"/>
      <c r="BF608" s="199"/>
      <c r="BG608" s="136"/>
      <c r="BH608" s="199"/>
      <c r="BI608" s="199"/>
      <c r="BJ608" s="199"/>
    </row>
    <row r="609" spans="1:62" x14ac:dyDescent="0.25">
      <c r="A609" s="199"/>
      <c r="B609" s="136"/>
      <c r="C609" s="199"/>
      <c r="D609" s="199"/>
      <c r="E609" s="199"/>
      <c r="F609" s="199"/>
      <c r="G609" s="199"/>
      <c r="H609" s="199"/>
      <c r="I609" s="136"/>
      <c r="J609" s="199"/>
      <c r="K609" s="199"/>
      <c r="L609" s="199"/>
      <c r="M609" s="199"/>
      <c r="N609" s="136"/>
      <c r="O609" s="199"/>
      <c r="P609" s="199"/>
      <c r="Q609" s="199"/>
      <c r="R609" s="199"/>
      <c r="S609" s="136"/>
      <c r="T609" s="199"/>
      <c r="U609" s="199"/>
      <c r="V609" s="199"/>
      <c r="W609" s="199"/>
      <c r="X609" s="136"/>
      <c r="Y609" s="199"/>
      <c r="Z609" s="199"/>
      <c r="AA609" s="199"/>
      <c r="AB609" s="199"/>
      <c r="AC609" s="136"/>
      <c r="AD609" s="199"/>
      <c r="AE609" s="199"/>
      <c r="AF609" s="199"/>
      <c r="AG609" s="199"/>
      <c r="AH609" s="136"/>
      <c r="AI609" s="199"/>
      <c r="AJ609" s="199"/>
      <c r="AK609" s="199"/>
      <c r="AL609" s="199"/>
      <c r="AM609" s="136"/>
      <c r="AN609" s="199"/>
      <c r="AO609" s="199"/>
      <c r="AP609" s="199"/>
      <c r="AQ609" s="199"/>
      <c r="AR609" s="136"/>
      <c r="AS609" s="199"/>
      <c r="AT609" s="199"/>
      <c r="AU609" s="199"/>
      <c r="AV609" s="199"/>
      <c r="AW609" s="136"/>
      <c r="AX609" s="199"/>
      <c r="AY609" s="199"/>
      <c r="AZ609" s="199"/>
      <c r="BA609" s="199"/>
      <c r="BB609" s="136"/>
      <c r="BC609" s="199"/>
      <c r="BD609" s="199"/>
      <c r="BE609" s="199"/>
      <c r="BF609" s="199"/>
      <c r="BG609" s="136"/>
      <c r="BH609" s="199"/>
      <c r="BI609" s="199"/>
      <c r="BJ609" s="199"/>
    </row>
    <row r="610" spans="1:62" x14ac:dyDescent="0.25">
      <c r="A610" s="199"/>
      <c r="B610" s="136"/>
      <c r="C610" s="199"/>
      <c r="D610" s="199"/>
      <c r="E610" s="199"/>
      <c r="F610" s="199"/>
      <c r="G610" s="199"/>
      <c r="H610" s="199"/>
      <c r="I610" s="136"/>
      <c r="J610" s="199"/>
      <c r="K610" s="199"/>
      <c r="L610" s="199"/>
      <c r="M610" s="199"/>
      <c r="N610" s="136"/>
      <c r="O610" s="199"/>
      <c r="P610" s="199"/>
      <c r="Q610" s="199"/>
      <c r="R610" s="199"/>
      <c r="S610" s="136"/>
      <c r="T610" s="199"/>
      <c r="U610" s="199"/>
      <c r="V610" s="199"/>
      <c r="W610" s="199"/>
      <c r="X610" s="136"/>
      <c r="Y610" s="199"/>
      <c r="Z610" s="199"/>
      <c r="AA610" s="199"/>
      <c r="AB610" s="199"/>
      <c r="AC610" s="136"/>
      <c r="AD610" s="199"/>
      <c r="AE610" s="199"/>
      <c r="AF610" s="199"/>
      <c r="AG610" s="199"/>
      <c r="AH610" s="136"/>
      <c r="AI610" s="199"/>
      <c r="AJ610" s="199"/>
      <c r="AK610" s="199"/>
      <c r="AL610" s="199"/>
      <c r="AM610" s="136"/>
      <c r="AN610" s="199"/>
      <c r="AO610" s="199"/>
      <c r="AP610" s="199"/>
      <c r="AQ610" s="199"/>
      <c r="AR610" s="136"/>
      <c r="AS610" s="199"/>
      <c r="AT610" s="199"/>
      <c r="AU610" s="199"/>
      <c r="AV610" s="199"/>
      <c r="AW610" s="136"/>
      <c r="AX610" s="199"/>
      <c r="AY610" s="199"/>
      <c r="AZ610" s="199"/>
      <c r="BA610" s="199"/>
      <c r="BB610" s="136"/>
      <c r="BC610" s="199"/>
      <c r="BD610" s="199"/>
      <c r="BE610" s="199"/>
      <c r="BF610" s="199"/>
      <c r="BG610" s="136"/>
      <c r="BH610" s="199"/>
      <c r="BI610" s="199"/>
      <c r="BJ610" s="199"/>
    </row>
    <row r="611" spans="1:62" x14ac:dyDescent="0.25">
      <c r="A611" s="199"/>
      <c r="B611" s="136"/>
      <c r="C611" s="199"/>
      <c r="D611" s="199"/>
      <c r="E611" s="199"/>
      <c r="F611" s="199"/>
      <c r="G611" s="199"/>
      <c r="H611" s="199"/>
      <c r="I611" s="136"/>
      <c r="J611" s="199"/>
      <c r="K611" s="199"/>
      <c r="L611" s="199"/>
      <c r="M611" s="199"/>
      <c r="N611" s="136"/>
      <c r="O611" s="199"/>
      <c r="P611" s="199"/>
      <c r="Q611" s="199"/>
      <c r="R611" s="199"/>
      <c r="S611" s="136"/>
      <c r="T611" s="199"/>
      <c r="U611" s="199"/>
      <c r="V611" s="199"/>
      <c r="W611" s="199"/>
      <c r="X611" s="136"/>
      <c r="Y611" s="199"/>
      <c r="Z611" s="199"/>
      <c r="AA611" s="199"/>
      <c r="AB611" s="199"/>
      <c r="AC611" s="136"/>
      <c r="AD611" s="199"/>
      <c r="AE611" s="199"/>
      <c r="AF611" s="199"/>
      <c r="AG611" s="199"/>
      <c r="AH611" s="136"/>
      <c r="AI611" s="199"/>
      <c r="AJ611" s="199"/>
      <c r="AK611" s="199"/>
      <c r="AL611" s="199"/>
      <c r="AM611" s="136"/>
      <c r="AN611" s="199"/>
      <c r="AO611" s="199"/>
      <c r="AP611" s="199"/>
      <c r="AQ611" s="199"/>
      <c r="AR611" s="136"/>
      <c r="AS611" s="199"/>
      <c r="AT611" s="199"/>
      <c r="AU611" s="199"/>
      <c r="AV611" s="199"/>
      <c r="AW611" s="136"/>
      <c r="AX611" s="199"/>
      <c r="AY611" s="199"/>
      <c r="AZ611" s="199"/>
      <c r="BA611" s="199"/>
      <c r="BB611" s="136"/>
      <c r="BC611" s="199"/>
      <c r="BD611" s="199"/>
      <c r="BE611" s="199"/>
      <c r="BF611" s="199"/>
      <c r="BG611" s="136"/>
      <c r="BH611" s="199"/>
      <c r="BI611" s="199"/>
      <c r="BJ611" s="199"/>
    </row>
    <row r="612" spans="1:62" x14ac:dyDescent="0.25">
      <c r="A612" s="199"/>
      <c r="B612" s="136"/>
      <c r="C612" s="199"/>
      <c r="D612" s="199"/>
      <c r="E612" s="199"/>
      <c r="F612" s="199"/>
      <c r="G612" s="199"/>
      <c r="H612" s="199"/>
      <c r="I612" s="136"/>
      <c r="J612" s="199"/>
      <c r="K612" s="199"/>
      <c r="L612" s="199"/>
      <c r="M612" s="199"/>
      <c r="N612" s="136"/>
      <c r="O612" s="199"/>
      <c r="P612" s="199"/>
      <c r="Q612" s="199"/>
      <c r="R612" s="199"/>
      <c r="S612" s="136"/>
      <c r="T612" s="199"/>
      <c r="U612" s="199"/>
      <c r="V612" s="199"/>
      <c r="W612" s="199"/>
      <c r="X612" s="136"/>
      <c r="Y612" s="199"/>
      <c r="Z612" s="199"/>
      <c r="AA612" s="199"/>
      <c r="AB612" s="199"/>
      <c r="AC612" s="136"/>
      <c r="AD612" s="199"/>
      <c r="AE612" s="199"/>
      <c r="AF612" s="199"/>
      <c r="AG612" s="199"/>
      <c r="AH612" s="136"/>
      <c r="AI612" s="199"/>
      <c r="AJ612" s="199"/>
      <c r="AK612" s="199"/>
      <c r="AL612" s="199"/>
      <c r="AM612" s="136"/>
      <c r="AN612" s="199"/>
      <c r="AO612" s="199"/>
      <c r="AP612" s="199"/>
      <c r="AQ612" s="199"/>
      <c r="AR612" s="136"/>
      <c r="AS612" s="199"/>
      <c r="AT612" s="199"/>
      <c r="AU612" s="199"/>
      <c r="AV612" s="199"/>
      <c r="AW612" s="136"/>
      <c r="AX612" s="199"/>
      <c r="AY612" s="199"/>
      <c r="AZ612" s="199"/>
      <c r="BA612" s="199"/>
      <c r="BB612" s="136"/>
      <c r="BC612" s="199"/>
      <c r="BD612" s="199"/>
      <c r="BE612" s="199"/>
      <c r="BF612" s="199"/>
      <c r="BG612" s="136"/>
      <c r="BH612" s="199"/>
      <c r="BI612" s="199"/>
      <c r="BJ612" s="199"/>
    </row>
    <row r="613" spans="1:62" x14ac:dyDescent="0.25">
      <c r="A613" s="199"/>
      <c r="B613" s="136"/>
      <c r="C613" s="199"/>
      <c r="D613" s="199"/>
      <c r="E613" s="199"/>
      <c r="F613" s="199"/>
      <c r="G613" s="199"/>
      <c r="H613" s="199"/>
      <c r="I613" s="136"/>
      <c r="J613" s="199"/>
      <c r="K613" s="199"/>
      <c r="L613" s="199"/>
      <c r="M613" s="199"/>
      <c r="N613" s="136"/>
      <c r="O613" s="199"/>
      <c r="P613" s="199"/>
      <c r="Q613" s="199"/>
      <c r="R613" s="199"/>
      <c r="S613" s="136"/>
      <c r="T613" s="199"/>
      <c r="U613" s="199"/>
      <c r="V613" s="199"/>
      <c r="W613" s="199"/>
      <c r="X613" s="136"/>
      <c r="Y613" s="199"/>
      <c r="Z613" s="199"/>
      <c r="AA613" s="199"/>
      <c r="AB613" s="199"/>
      <c r="AC613" s="136"/>
      <c r="AD613" s="199"/>
      <c r="AE613" s="199"/>
      <c r="AF613" s="199"/>
      <c r="AG613" s="199"/>
      <c r="AH613" s="136"/>
      <c r="AI613" s="199"/>
      <c r="AJ613" s="199"/>
      <c r="AK613" s="199"/>
      <c r="AL613" s="199"/>
      <c r="AM613" s="136"/>
      <c r="AN613" s="199"/>
      <c r="AO613" s="199"/>
      <c r="AP613" s="199"/>
      <c r="AQ613" s="199"/>
      <c r="AR613" s="136"/>
      <c r="AS613" s="199"/>
      <c r="AT613" s="199"/>
      <c r="AU613" s="199"/>
      <c r="AV613" s="199"/>
      <c r="AW613" s="136"/>
      <c r="AX613" s="199"/>
      <c r="AY613" s="199"/>
      <c r="AZ613" s="199"/>
      <c r="BA613" s="199"/>
      <c r="BB613" s="136"/>
      <c r="BC613" s="199"/>
      <c r="BD613" s="199"/>
      <c r="BE613" s="199"/>
      <c r="BF613" s="199"/>
      <c r="BG613" s="136"/>
      <c r="BH613" s="199"/>
      <c r="BI613" s="199"/>
      <c r="BJ613" s="199"/>
    </row>
    <row r="617" spans="1:62" ht="36" x14ac:dyDescent="0.25">
      <c r="A617" s="169"/>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row>
    <row r="618" spans="1:62" x14ac:dyDescent="0.25">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row>
    <row r="619" spans="1:62" x14ac:dyDescent="0.25">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row>
    <row r="620" spans="1:62" ht="36" x14ac:dyDescent="0.25">
      <c r="A620" s="169"/>
      <c r="B620" s="169"/>
      <c r="C620" s="169"/>
      <c r="D620" s="169"/>
      <c r="E620" s="169"/>
      <c r="F620" s="169"/>
      <c r="G620" s="169"/>
      <c r="H620" s="169"/>
      <c r="I620" s="169"/>
      <c r="J620" s="169"/>
      <c r="K620" s="169"/>
      <c r="L620" s="169"/>
      <c r="M620" s="169"/>
      <c r="N620" s="169"/>
      <c r="O620" s="169"/>
      <c r="P620" s="169"/>
      <c r="Q620" s="169"/>
      <c r="R620" s="169"/>
      <c r="S620" s="169"/>
      <c r="T620" s="169"/>
      <c r="U620" s="169"/>
      <c r="V620" s="169"/>
      <c r="W620" s="169"/>
      <c r="X620" s="169"/>
      <c r="Y620" s="169"/>
      <c r="Z620" s="169"/>
      <c r="AA620" s="169"/>
      <c r="AB620" s="169"/>
      <c r="AC620" s="169"/>
      <c r="AD620" s="169"/>
      <c r="AE620" s="169"/>
      <c r="AF620" s="169"/>
      <c r="AG620" s="169"/>
      <c r="AH620" s="169"/>
      <c r="AI620" s="169"/>
      <c r="AJ620" s="169"/>
      <c r="AK620" s="169"/>
      <c r="AL620" s="169"/>
      <c r="AM620" s="169"/>
      <c r="AN620" s="169"/>
      <c r="AO620" s="169"/>
      <c r="AP620" s="169"/>
      <c r="AQ620" s="169"/>
      <c r="AR620" s="169"/>
      <c r="AS620" s="169"/>
      <c r="AT620" s="169"/>
      <c r="AU620" s="169"/>
      <c r="AV620" s="169"/>
      <c r="AW620" s="169"/>
      <c r="AX620" s="169"/>
      <c r="AY620" s="169"/>
      <c r="AZ620" s="169"/>
      <c r="BA620" s="169"/>
      <c r="BB620" s="169"/>
      <c r="BC620" s="169"/>
      <c r="BD620" s="169"/>
      <c r="BE620" s="169"/>
      <c r="BF620" s="169"/>
      <c r="BG620" s="169"/>
      <c r="BH620" s="169"/>
      <c r="BI620" s="169"/>
      <c r="BJ620" s="169"/>
    </row>
    <row r="621" spans="1:62" ht="36" x14ac:dyDescent="0.25">
      <c r="A621" s="169"/>
      <c r="B621" s="169"/>
      <c r="C621" s="169"/>
      <c r="D621" s="169"/>
      <c r="E621" s="169"/>
      <c r="F621" s="169"/>
      <c r="G621" s="169"/>
      <c r="H621" s="169"/>
      <c r="I621" s="169"/>
      <c r="J621" s="169"/>
      <c r="K621" s="169"/>
      <c r="L621" s="169"/>
      <c r="M621" s="169"/>
      <c r="N621" s="169"/>
      <c r="O621" s="169"/>
      <c r="P621" s="169"/>
      <c r="Q621" s="169"/>
      <c r="R621" s="169"/>
      <c r="S621" s="169"/>
      <c r="T621" s="169"/>
      <c r="U621" s="169"/>
      <c r="V621" s="169"/>
      <c r="W621" s="169"/>
      <c r="X621" s="169"/>
      <c r="Y621" s="169"/>
      <c r="Z621" s="169"/>
      <c r="AA621" s="169"/>
      <c r="AB621" s="169"/>
      <c r="AC621" s="169"/>
      <c r="AD621" s="169"/>
      <c r="AE621" s="169"/>
      <c r="AF621" s="169"/>
      <c r="AG621" s="169"/>
      <c r="AH621" s="169"/>
      <c r="AI621" s="169"/>
      <c r="AJ621" s="169"/>
      <c r="AK621" s="169"/>
      <c r="AL621" s="169"/>
      <c r="AM621" s="169"/>
      <c r="AN621" s="169"/>
      <c r="AO621" s="169"/>
      <c r="AP621" s="169"/>
      <c r="AQ621" s="169"/>
      <c r="AR621" s="169"/>
      <c r="AS621" s="169"/>
      <c r="AT621" s="169"/>
      <c r="AU621" s="169"/>
      <c r="AV621" s="169"/>
      <c r="AW621" s="169"/>
      <c r="AX621" s="169"/>
      <c r="AY621" s="169"/>
      <c r="AZ621" s="169"/>
      <c r="BA621" s="169"/>
      <c r="BB621" s="169"/>
      <c r="BC621" s="169"/>
      <c r="BD621" s="169"/>
      <c r="BE621" s="169"/>
      <c r="BF621" s="169"/>
      <c r="BG621" s="169"/>
      <c r="BH621" s="169"/>
      <c r="BI621" s="169"/>
      <c r="BJ621" s="169"/>
    </row>
    <row r="622" spans="1:62" ht="36" x14ac:dyDescent="0.25">
      <c r="A622" s="169"/>
      <c r="B622" s="169"/>
      <c r="C622" s="169"/>
      <c r="D622" s="169"/>
      <c r="E622" s="169"/>
      <c r="F622" s="169"/>
      <c r="G622" s="169"/>
      <c r="H622" s="169"/>
      <c r="I622" s="169"/>
      <c r="J622" s="169"/>
      <c r="K622" s="169"/>
      <c r="L622" s="169"/>
      <c r="M622" s="169"/>
      <c r="N622" s="169"/>
      <c r="O622" s="169"/>
      <c r="P622" s="169"/>
      <c r="Q622" s="169"/>
      <c r="R622" s="169"/>
      <c r="S622" s="169"/>
      <c r="T622" s="169"/>
      <c r="U622" s="169"/>
      <c r="V622" s="169"/>
      <c r="W622" s="169"/>
      <c r="X622" s="169"/>
      <c r="Y622" s="169"/>
      <c r="Z622" s="169"/>
      <c r="AA622" s="169"/>
      <c r="AB622" s="169"/>
      <c r="AC622" s="169"/>
      <c r="AD622" s="169"/>
      <c r="AE622" s="169"/>
      <c r="AF622" s="169"/>
      <c r="AG622" s="169"/>
      <c r="AH622" s="169"/>
      <c r="AI622" s="169"/>
      <c r="AJ622" s="169"/>
      <c r="AK622" s="169"/>
      <c r="AL622" s="169"/>
      <c r="AM622" s="169"/>
      <c r="AN622" s="169"/>
      <c r="AO622" s="169"/>
      <c r="AP622" s="169"/>
      <c r="AQ622" s="169"/>
      <c r="AR622" s="169"/>
      <c r="AS622" s="169"/>
      <c r="AT622" s="169"/>
      <c r="AU622" s="169"/>
      <c r="AV622" s="169"/>
      <c r="AW622" s="169"/>
      <c r="AX622" s="169"/>
      <c r="AY622" s="169"/>
      <c r="AZ622" s="169"/>
      <c r="BA622" s="169"/>
      <c r="BB622" s="169"/>
      <c r="BC622" s="169"/>
      <c r="BD622" s="169"/>
      <c r="BE622" s="169"/>
      <c r="BF622" s="169"/>
      <c r="BG622" s="169"/>
      <c r="BH622" s="169"/>
      <c r="BI622" s="169"/>
      <c r="BJ622" s="169"/>
    </row>
    <row r="623" spans="1:62" x14ac:dyDescent="0.25">
      <c r="F623" s="194"/>
      <c r="G623" s="194"/>
    </row>
    <row r="625" spans="1:62" x14ac:dyDescent="0.25">
      <c r="A625" s="199"/>
      <c r="B625" s="136"/>
      <c r="C625" s="199"/>
      <c r="D625" s="199"/>
      <c r="E625" s="199"/>
      <c r="F625" s="199"/>
      <c r="G625" s="199"/>
      <c r="H625" s="199"/>
      <c r="I625" s="136"/>
      <c r="J625" s="199"/>
      <c r="K625" s="199"/>
      <c r="L625" s="199"/>
      <c r="M625" s="199"/>
      <c r="N625" s="136"/>
      <c r="O625" s="199"/>
      <c r="P625" s="199"/>
      <c r="Q625" s="199"/>
      <c r="R625" s="199"/>
      <c r="S625" s="136"/>
      <c r="T625" s="199"/>
      <c r="U625" s="199"/>
      <c r="V625" s="199"/>
      <c r="W625" s="199"/>
      <c r="X625" s="136"/>
      <c r="Y625" s="199"/>
      <c r="Z625" s="199"/>
      <c r="AA625" s="199"/>
      <c r="AB625" s="199"/>
      <c r="AC625" s="136"/>
      <c r="AD625" s="199"/>
      <c r="AE625" s="199"/>
      <c r="AF625" s="199"/>
      <c r="AG625" s="199"/>
      <c r="AH625" s="136"/>
      <c r="AI625" s="199"/>
      <c r="AJ625" s="199"/>
      <c r="AK625" s="199"/>
      <c r="AL625" s="199"/>
      <c r="AM625" s="136"/>
      <c r="AN625" s="199"/>
      <c r="AO625" s="199"/>
      <c r="AP625" s="199"/>
      <c r="AQ625" s="199"/>
      <c r="AR625" s="136"/>
      <c r="AS625" s="199"/>
      <c r="AT625" s="199"/>
      <c r="AU625" s="199"/>
      <c r="AV625" s="199"/>
      <c r="AW625" s="136"/>
      <c r="AX625" s="199"/>
      <c r="AY625" s="199"/>
      <c r="AZ625" s="199"/>
      <c r="BA625" s="199"/>
      <c r="BB625" s="136"/>
      <c r="BC625" s="199"/>
      <c r="BD625" s="199"/>
      <c r="BE625" s="199"/>
      <c r="BF625" s="199"/>
      <c r="BG625" s="136"/>
      <c r="BH625" s="199"/>
      <c r="BI625" s="199"/>
      <c r="BJ625" s="199"/>
    </row>
    <row r="626" spans="1:62" x14ac:dyDescent="0.25">
      <c r="A626" s="199"/>
      <c r="B626" s="136"/>
      <c r="C626" s="199"/>
      <c r="D626" s="199"/>
      <c r="E626" s="199"/>
      <c r="F626" s="199"/>
      <c r="G626" s="199"/>
      <c r="H626" s="199"/>
      <c r="I626" s="136"/>
      <c r="J626" s="199"/>
      <c r="K626" s="199"/>
      <c r="L626" s="199"/>
      <c r="M626" s="199"/>
      <c r="N626" s="136"/>
      <c r="O626" s="199"/>
      <c r="P626" s="199"/>
      <c r="Q626" s="199"/>
      <c r="R626" s="199"/>
      <c r="S626" s="136"/>
      <c r="T626" s="199"/>
      <c r="U626" s="199"/>
      <c r="V626" s="199"/>
      <c r="W626" s="199"/>
      <c r="X626" s="136"/>
      <c r="Y626" s="199"/>
      <c r="Z626" s="199"/>
      <c r="AA626" s="199"/>
      <c r="AB626" s="199"/>
      <c r="AC626" s="136"/>
      <c r="AD626" s="199"/>
      <c r="AE626" s="199"/>
      <c r="AF626" s="199"/>
      <c r="AG626" s="199"/>
      <c r="AH626" s="136"/>
      <c r="AI626" s="199"/>
      <c r="AJ626" s="199"/>
      <c r="AK626" s="199"/>
      <c r="AL626" s="199"/>
      <c r="AM626" s="136"/>
      <c r="AN626" s="199"/>
      <c r="AO626" s="199"/>
      <c r="AP626" s="199"/>
      <c r="AQ626" s="199"/>
      <c r="AR626" s="136"/>
      <c r="AS626" s="199"/>
      <c r="AT626" s="199"/>
      <c r="AU626" s="199"/>
      <c r="AV626" s="199"/>
      <c r="AW626" s="136"/>
      <c r="AX626" s="199"/>
      <c r="AY626" s="199"/>
      <c r="AZ626" s="199"/>
      <c r="BA626" s="199"/>
      <c r="BB626" s="136"/>
      <c r="BC626" s="199"/>
      <c r="BD626" s="199"/>
      <c r="BE626" s="199"/>
      <c r="BF626" s="199"/>
      <c r="BG626" s="136"/>
      <c r="BH626" s="199"/>
      <c r="BI626" s="199"/>
      <c r="BJ626" s="199"/>
    </row>
    <row r="627" spans="1:62" x14ac:dyDescent="0.25">
      <c r="A627" s="199"/>
      <c r="B627" s="136"/>
      <c r="C627" s="199"/>
      <c r="D627" s="199"/>
      <c r="E627" s="199"/>
      <c r="F627" s="199"/>
      <c r="G627" s="199"/>
      <c r="H627" s="199"/>
      <c r="I627" s="136"/>
      <c r="J627" s="199"/>
      <c r="K627" s="199"/>
      <c r="L627" s="199"/>
      <c r="M627" s="199"/>
      <c r="N627" s="136"/>
      <c r="O627" s="199"/>
      <c r="P627" s="199"/>
      <c r="Q627" s="199"/>
      <c r="R627" s="199"/>
      <c r="S627" s="136"/>
      <c r="T627" s="199"/>
      <c r="U627" s="199"/>
      <c r="V627" s="199"/>
      <c r="W627" s="199"/>
      <c r="X627" s="136"/>
      <c r="Y627" s="199"/>
      <c r="Z627" s="199"/>
      <c r="AA627" s="199"/>
      <c r="AB627" s="199"/>
      <c r="AC627" s="136"/>
      <c r="AD627" s="199"/>
      <c r="AE627" s="199"/>
      <c r="AF627" s="199"/>
      <c r="AG627" s="199"/>
      <c r="AH627" s="136"/>
      <c r="AI627" s="199"/>
      <c r="AJ627" s="199"/>
      <c r="AK627" s="199"/>
      <c r="AL627" s="199"/>
      <c r="AM627" s="136"/>
      <c r="AN627" s="199"/>
      <c r="AO627" s="199"/>
      <c r="AP627" s="199"/>
      <c r="AQ627" s="199"/>
      <c r="AR627" s="136"/>
      <c r="AS627" s="199"/>
      <c r="AT627" s="199"/>
      <c r="AU627" s="199"/>
      <c r="AV627" s="199"/>
      <c r="AW627" s="136"/>
      <c r="AX627" s="199"/>
      <c r="AY627" s="199"/>
      <c r="AZ627" s="199"/>
      <c r="BA627" s="199"/>
      <c r="BB627" s="136"/>
      <c r="BC627" s="199"/>
      <c r="BD627" s="199"/>
      <c r="BE627" s="199"/>
      <c r="BF627" s="199"/>
      <c r="BG627" s="136"/>
      <c r="BH627" s="199"/>
      <c r="BI627" s="199"/>
      <c r="BJ627" s="199"/>
    </row>
    <row r="628" spans="1:62" x14ac:dyDescent="0.25">
      <c r="A628" s="199"/>
      <c r="B628" s="136"/>
      <c r="C628" s="199"/>
      <c r="D628" s="199"/>
      <c r="E628" s="199"/>
      <c r="F628" s="199"/>
      <c r="G628" s="199"/>
      <c r="H628" s="199"/>
      <c r="I628" s="136"/>
      <c r="J628" s="199"/>
      <c r="K628" s="199"/>
      <c r="L628" s="199"/>
      <c r="M628" s="199"/>
      <c r="N628" s="136"/>
      <c r="O628" s="199"/>
      <c r="P628" s="199"/>
      <c r="Q628" s="199"/>
      <c r="R628" s="199"/>
      <c r="S628" s="136"/>
      <c r="T628" s="199"/>
      <c r="U628" s="199"/>
      <c r="V628" s="199"/>
      <c r="W628" s="199"/>
      <c r="X628" s="136"/>
      <c r="Y628" s="199"/>
      <c r="Z628" s="199"/>
      <c r="AA628" s="199"/>
      <c r="AB628" s="199"/>
      <c r="AC628" s="136"/>
      <c r="AD628" s="199"/>
      <c r="AE628" s="199"/>
      <c r="AF628" s="199"/>
      <c r="AG628" s="199"/>
      <c r="AH628" s="136"/>
      <c r="AI628" s="199"/>
      <c r="AJ628" s="199"/>
      <c r="AK628" s="199"/>
      <c r="AL628" s="199"/>
      <c r="AM628" s="136"/>
      <c r="AN628" s="199"/>
      <c r="AO628" s="199"/>
      <c r="AP628" s="199"/>
      <c r="AQ628" s="199"/>
      <c r="AR628" s="136"/>
      <c r="AS628" s="199"/>
      <c r="AT628" s="199"/>
      <c r="AU628" s="199"/>
      <c r="AV628" s="199"/>
      <c r="AW628" s="136"/>
      <c r="AX628" s="199"/>
      <c r="AY628" s="199"/>
      <c r="AZ628" s="199"/>
      <c r="BA628" s="199"/>
      <c r="BB628" s="136"/>
      <c r="BC628" s="199"/>
      <c r="BD628" s="199"/>
      <c r="BE628" s="199"/>
      <c r="BF628" s="199"/>
      <c r="BG628" s="136"/>
      <c r="BH628" s="199"/>
      <c r="BI628" s="199"/>
      <c r="BJ628" s="199"/>
    </row>
    <row r="629" spans="1:62" x14ac:dyDescent="0.25">
      <c r="A629" s="199"/>
      <c r="B629" s="136"/>
      <c r="C629" s="199"/>
      <c r="D629" s="199"/>
      <c r="E629" s="199"/>
      <c r="F629" s="199"/>
      <c r="G629" s="199"/>
      <c r="H629" s="199"/>
      <c r="I629" s="136"/>
      <c r="J629" s="199"/>
      <c r="K629" s="199"/>
      <c r="L629" s="199"/>
      <c r="M629" s="199"/>
      <c r="N629" s="136"/>
      <c r="O629" s="199"/>
      <c r="P629" s="199"/>
      <c r="Q629" s="199"/>
      <c r="R629" s="199"/>
      <c r="S629" s="136"/>
      <c r="T629" s="199"/>
      <c r="U629" s="199"/>
      <c r="V629" s="199"/>
      <c r="W629" s="199"/>
      <c r="X629" s="136"/>
      <c r="Y629" s="199"/>
      <c r="Z629" s="199"/>
      <c r="AA629" s="199"/>
      <c r="AB629" s="199"/>
      <c r="AC629" s="136"/>
      <c r="AD629" s="199"/>
      <c r="AE629" s="199"/>
      <c r="AF629" s="199"/>
      <c r="AG629" s="199"/>
      <c r="AH629" s="136"/>
      <c r="AI629" s="199"/>
      <c r="AJ629" s="199"/>
      <c r="AK629" s="199"/>
      <c r="AL629" s="199"/>
      <c r="AM629" s="136"/>
      <c r="AN629" s="199"/>
      <c r="AO629" s="199"/>
      <c r="AP629" s="199"/>
      <c r="AQ629" s="199"/>
      <c r="AR629" s="136"/>
      <c r="AS629" s="199"/>
      <c r="AT629" s="199"/>
      <c r="AU629" s="199"/>
      <c r="AV629" s="199"/>
      <c r="AW629" s="136"/>
      <c r="AX629" s="199"/>
      <c r="AY629" s="199"/>
      <c r="AZ629" s="199"/>
      <c r="BA629" s="199"/>
      <c r="BB629" s="136"/>
      <c r="BC629" s="199"/>
      <c r="BD629" s="199"/>
      <c r="BE629" s="199"/>
      <c r="BF629" s="199"/>
      <c r="BG629" s="136"/>
      <c r="BH629" s="199"/>
      <c r="BI629" s="199"/>
      <c r="BJ629" s="199"/>
    </row>
    <row r="630" spans="1:62" x14ac:dyDescent="0.25">
      <c r="A630" s="199"/>
      <c r="B630" s="136"/>
      <c r="C630" s="199"/>
      <c r="D630" s="199"/>
      <c r="E630" s="199"/>
      <c r="F630" s="199"/>
      <c r="G630" s="199"/>
      <c r="H630" s="199"/>
      <c r="I630" s="136"/>
      <c r="J630" s="199"/>
      <c r="K630" s="199"/>
      <c r="L630" s="199"/>
      <c r="M630" s="199"/>
      <c r="N630" s="136"/>
      <c r="O630" s="199"/>
      <c r="P630" s="199"/>
      <c r="Q630" s="199"/>
      <c r="R630" s="199"/>
      <c r="S630" s="136"/>
      <c r="T630" s="199"/>
      <c r="U630" s="199"/>
      <c r="V630" s="199"/>
      <c r="W630" s="199"/>
      <c r="X630" s="136"/>
      <c r="Y630" s="199"/>
      <c r="Z630" s="199"/>
      <c r="AA630" s="199"/>
      <c r="AB630" s="199"/>
      <c r="AC630" s="136"/>
      <c r="AD630" s="199"/>
      <c r="AE630" s="199"/>
      <c r="AF630" s="199"/>
      <c r="AG630" s="199"/>
      <c r="AH630" s="136"/>
      <c r="AI630" s="199"/>
      <c r="AJ630" s="199"/>
      <c r="AK630" s="199"/>
      <c r="AL630" s="199"/>
      <c r="AM630" s="136"/>
      <c r="AN630" s="199"/>
      <c r="AO630" s="199"/>
      <c r="AP630" s="199"/>
      <c r="AQ630" s="199"/>
      <c r="AR630" s="136"/>
      <c r="AS630" s="199"/>
      <c r="AT630" s="199"/>
      <c r="AU630" s="199"/>
      <c r="AV630" s="199"/>
      <c r="AW630" s="136"/>
      <c r="AX630" s="199"/>
      <c r="AY630" s="199"/>
      <c r="AZ630" s="199"/>
      <c r="BA630" s="199"/>
      <c r="BB630" s="136"/>
      <c r="BC630" s="199"/>
      <c r="BD630" s="199"/>
      <c r="BE630" s="199"/>
      <c r="BF630" s="199"/>
      <c r="BG630" s="136"/>
      <c r="BH630" s="199"/>
      <c r="BI630" s="199"/>
      <c r="BJ630" s="199"/>
    </row>
    <row r="631" spans="1:62" x14ac:dyDescent="0.25">
      <c r="A631" s="199"/>
      <c r="B631" s="136"/>
      <c r="C631" s="199"/>
      <c r="D631" s="199"/>
      <c r="E631" s="199"/>
      <c r="F631" s="199"/>
      <c r="G631" s="199"/>
      <c r="H631" s="199"/>
      <c r="I631" s="136"/>
      <c r="J631" s="199"/>
      <c r="K631" s="199"/>
      <c r="L631" s="199"/>
      <c r="M631" s="199"/>
      <c r="N631" s="136"/>
      <c r="O631" s="199"/>
      <c r="P631" s="199"/>
      <c r="Q631" s="199"/>
      <c r="R631" s="199"/>
      <c r="S631" s="136"/>
      <c r="T631" s="199"/>
      <c r="U631" s="199"/>
      <c r="V631" s="199"/>
      <c r="W631" s="199"/>
      <c r="X631" s="136"/>
      <c r="Y631" s="199"/>
      <c r="Z631" s="199"/>
      <c r="AA631" s="199"/>
      <c r="AB631" s="199"/>
      <c r="AC631" s="136"/>
      <c r="AD631" s="199"/>
      <c r="AE631" s="199"/>
      <c r="AF631" s="199"/>
      <c r="AG631" s="199"/>
      <c r="AH631" s="136"/>
      <c r="AI631" s="199"/>
      <c r="AJ631" s="199"/>
      <c r="AK631" s="199"/>
      <c r="AL631" s="199"/>
      <c r="AM631" s="136"/>
      <c r="AN631" s="199"/>
      <c r="AO631" s="199"/>
      <c r="AP631" s="199"/>
      <c r="AQ631" s="199"/>
      <c r="AR631" s="136"/>
      <c r="AS631" s="199"/>
      <c r="AT631" s="199"/>
      <c r="AU631" s="199"/>
      <c r="AV631" s="199"/>
      <c r="AW631" s="136"/>
      <c r="AX631" s="199"/>
      <c r="AY631" s="199"/>
      <c r="AZ631" s="199"/>
      <c r="BA631" s="199"/>
      <c r="BB631" s="136"/>
      <c r="BC631" s="199"/>
      <c r="BD631" s="199"/>
      <c r="BE631" s="199"/>
      <c r="BF631" s="199"/>
      <c r="BG631" s="136"/>
      <c r="BH631" s="199"/>
      <c r="BI631" s="199"/>
      <c r="BJ631" s="199"/>
    </row>
    <row r="632" spans="1:62" x14ac:dyDescent="0.25">
      <c r="A632" s="199"/>
      <c r="B632" s="136"/>
      <c r="C632" s="199"/>
      <c r="D632" s="199"/>
      <c r="E632" s="199"/>
      <c r="F632" s="199"/>
      <c r="G632" s="199"/>
      <c r="H632" s="199"/>
      <c r="I632" s="136"/>
      <c r="J632" s="199"/>
      <c r="K632" s="199"/>
      <c r="L632" s="199"/>
      <c r="M632" s="199"/>
      <c r="N632" s="136"/>
      <c r="O632" s="199"/>
      <c r="P632" s="199"/>
      <c r="Q632" s="199"/>
      <c r="R632" s="199"/>
      <c r="S632" s="136"/>
      <c r="T632" s="199"/>
      <c r="U632" s="199"/>
      <c r="V632" s="199"/>
      <c r="W632" s="199"/>
      <c r="X632" s="136"/>
      <c r="Y632" s="199"/>
      <c r="Z632" s="199"/>
      <c r="AA632" s="199"/>
      <c r="AB632" s="199"/>
      <c r="AC632" s="136"/>
      <c r="AD632" s="199"/>
      <c r="AE632" s="199"/>
      <c r="AF632" s="199"/>
      <c r="AG632" s="199"/>
      <c r="AH632" s="136"/>
      <c r="AI632" s="199"/>
      <c r="AJ632" s="199"/>
      <c r="AK632" s="199"/>
      <c r="AL632" s="199"/>
      <c r="AM632" s="136"/>
      <c r="AN632" s="199"/>
      <c r="AO632" s="199"/>
      <c r="AP632" s="199"/>
      <c r="AQ632" s="199"/>
      <c r="AR632" s="136"/>
      <c r="AS632" s="199"/>
      <c r="AT632" s="199"/>
      <c r="AU632" s="199"/>
      <c r="AV632" s="199"/>
      <c r="AW632" s="136"/>
      <c r="AX632" s="199"/>
      <c r="AY632" s="199"/>
      <c r="AZ632" s="199"/>
      <c r="BA632" s="199"/>
      <c r="BB632" s="136"/>
      <c r="BC632" s="199"/>
      <c r="BD632" s="199"/>
      <c r="BE632" s="199"/>
      <c r="BF632" s="199"/>
      <c r="BG632" s="136"/>
      <c r="BH632" s="199"/>
      <c r="BI632" s="199"/>
      <c r="BJ632" s="199"/>
    </row>
    <row r="636" spans="1:62" ht="36" x14ac:dyDescent="0.25">
      <c r="A636" s="169"/>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row>
    <row r="637" spans="1:62" x14ac:dyDescent="0.25">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row>
    <row r="638" spans="1:62" x14ac:dyDescent="0.25">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row>
    <row r="639" spans="1:62" ht="36" x14ac:dyDescent="0.25">
      <c r="A639" s="169"/>
      <c r="B639" s="169"/>
      <c r="C639" s="169"/>
      <c r="D639" s="169"/>
      <c r="E639" s="169"/>
      <c r="F639" s="169"/>
      <c r="G639" s="169"/>
      <c r="H639" s="169"/>
      <c r="I639" s="169"/>
      <c r="J639" s="169"/>
      <c r="K639" s="169"/>
      <c r="L639" s="169"/>
      <c r="M639" s="169"/>
      <c r="N639" s="169"/>
      <c r="O639" s="169"/>
      <c r="P639" s="169"/>
      <c r="Q639" s="169"/>
      <c r="R639" s="169"/>
      <c r="S639" s="169"/>
      <c r="T639" s="169"/>
      <c r="U639" s="169"/>
      <c r="V639" s="169"/>
      <c r="W639" s="169"/>
      <c r="X639" s="169"/>
      <c r="Y639" s="169"/>
      <c r="Z639" s="169"/>
      <c r="AA639" s="169"/>
      <c r="AB639" s="169"/>
      <c r="AC639" s="169"/>
      <c r="AD639" s="169"/>
      <c r="AE639" s="169"/>
      <c r="AF639" s="169"/>
      <c r="AG639" s="169"/>
      <c r="AH639" s="169"/>
      <c r="AI639" s="169"/>
      <c r="AJ639" s="169"/>
      <c r="AK639" s="169"/>
      <c r="AL639" s="169"/>
      <c r="AM639" s="169"/>
      <c r="AN639" s="169"/>
      <c r="AO639" s="169"/>
      <c r="AP639" s="169"/>
      <c r="AQ639" s="169"/>
      <c r="AR639" s="169"/>
      <c r="AS639" s="169"/>
      <c r="AT639" s="169"/>
      <c r="AU639" s="169"/>
      <c r="AV639" s="169"/>
      <c r="AW639" s="169"/>
      <c r="AX639" s="169"/>
      <c r="AY639" s="169"/>
      <c r="AZ639" s="169"/>
      <c r="BA639" s="169"/>
      <c r="BB639" s="169"/>
      <c r="BC639" s="169"/>
      <c r="BD639" s="169"/>
      <c r="BE639" s="169"/>
      <c r="BF639" s="169"/>
      <c r="BG639" s="169"/>
      <c r="BH639" s="169"/>
      <c r="BI639" s="169"/>
      <c r="BJ639" s="169"/>
    </row>
    <row r="640" spans="1:62" ht="36" x14ac:dyDescent="0.25">
      <c r="A640" s="169"/>
      <c r="B640" s="169"/>
      <c r="C640" s="169"/>
      <c r="D640" s="169"/>
      <c r="E640" s="169"/>
      <c r="F640" s="169"/>
      <c r="G640" s="169"/>
      <c r="H640" s="169"/>
      <c r="I640" s="169"/>
      <c r="J640" s="169"/>
      <c r="K640" s="169"/>
      <c r="L640" s="169"/>
      <c r="M640" s="169"/>
      <c r="N640" s="169"/>
      <c r="O640" s="169"/>
      <c r="P640" s="169"/>
      <c r="Q640" s="169"/>
      <c r="R640" s="169"/>
      <c r="S640" s="169"/>
      <c r="T640" s="169"/>
      <c r="U640" s="169"/>
      <c r="V640" s="169"/>
      <c r="W640" s="169"/>
      <c r="X640" s="169"/>
      <c r="Y640" s="169"/>
      <c r="Z640" s="169"/>
      <c r="AA640" s="169"/>
      <c r="AB640" s="169"/>
      <c r="AC640" s="169"/>
      <c r="AD640" s="169"/>
      <c r="AE640" s="169"/>
      <c r="AF640" s="169"/>
      <c r="AG640" s="169"/>
      <c r="AH640" s="169"/>
      <c r="AI640" s="169"/>
      <c r="AJ640" s="169"/>
      <c r="AK640" s="169"/>
      <c r="AL640" s="169"/>
      <c r="AM640" s="169"/>
      <c r="AN640" s="169"/>
      <c r="AO640" s="169"/>
      <c r="AP640" s="169"/>
      <c r="AQ640" s="169"/>
      <c r="AR640" s="169"/>
      <c r="AS640" s="169"/>
      <c r="AT640" s="169"/>
      <c r="AU640" s="169"/>
      <c r="AV640" s="169"/>
      <c r="AW640" s="169"/>
      <c r="AX640" s="169"/>
      <c r="AY640" s="169"/>
      <c r="AZ640" s="169"/>
      <c r="BA640" s="169"/>
      <c r="BB640" s="169"/>
      <c r="BC640" s="169"/>
      <c r="BD640" s="169"/>
      <c r="BE640" s="169"/>
      <c r="BF640" s="169"/>
      <c r="BG640" s="169"/>
      <c r="BH640" s="169"/>
      <c r="BI640" s="169"/>
      <c r="BJ640" s="169"/>
    </row>
    <row r="641" spans="1:62" ht="36" x14ac:dyDescent="0.25">
      <c r="A641" s="169"/>
      <c r="B641" s="169"/>
      <c r="C641" s="169"/>
      <c r="D641" s="169"/>
      <c r="E641" s="169"/>
      <c r="F641" s="169"/>
      <c r="G641" s="169"/>
      <c r="H641" s="169"/>
      <c r="I641" s="169"/>
      <c r="J641" s="169"/>
      <c r="K641" s="169"/>
      <c r="L641" s="169"/>
      <c r="M641" s="169"/>
      <c r="N641" s="169"/>
      <c r="O641" s="169"/>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69"/>
      <c r="AT641" s="169"/>
      <c r="AU641" s="169"/>
      <c r="AV641" s="169"/>
      <c r="AW641" s="169"/>
      <c r="AX641" s="169"/>
      <c r="AY641" s="169"/>
      <c r="AZ641" s="169"/>
      <c r="BA641" s="169"/>
      <c r="BB641" s="169"/>
      <c r="BC641" s="169"/>
      <c r="BD641" s="169"/>
      <c r="BE641" s="169"/>
      <c r="BF641" s="169"/>
      <c r="BG641" s="169"/>
      <c r="BH641" s="169"/>
      <c r="BI641" s="169"/>
      <c r="BJ641" s="169"/>
    </row>
    <row r="642" spans="1:62" x14ac:dyDescent="0.25">
      <c r="F642" s="194"/>
      <c r="G642" s="194"/>
    </row>
    <row r="644" spans="1:62" x14ac:dyDescent="0.25">
      <c r="A644" s="199"/>
      <c r="B644" s="136"/>
      <c r="C644" s="199"/>
      <c r="D644" s="199"/>
      <c r="E644" s="199"/>
      <c r="F644" s="199"/>
      <c r="G644" s="199"/>
      <c r="H644" s="199"/>
      <c r="I644" s="136"/>
      <c r="J644" s="199"/>
      <c r="K644" s="199"/>
      <c r="L644" s="199"/>
      <c r="M644" s="199"/>
      <c r="N644" s="136"/>
      <c r="O644" s="199"/>
      <c r="P644" s="199"/>
      <c r="Q644" s="199"/>
      <c r="R644" s="199"/>
      <c r="S644" s="136"/>
      <c r="T644" s="199"/>
      <c r="U644" s="199"/>
      <c r="V644" s="199"/>
      <c r="W644" s="199"/>
      <c r="X644" s="136"/>
      <c r="Y644" s="199"/>
      <c r="Z644" s="199"/>
      <c r="AA644" s="199"/>
      <c r="AB644" s="199"/>
      <c r="AC644" s="136"/>
      <c r="AD644" s="199"/>
      <c r="AE644" s="199"/>
      <c r="AF644" s="199"/>
      <c r="AG644" s="199"/>
      <c r="AH644" s="136"/>
      <c r="AI644" s="199"/>
      <c r="AJ644" s="199"/>
      <c r="AK644" s="199"/>
      <c r="AL644" s="199"/>
      <c r="AM644" s="136"/>
      <c r="AN644" s="199"/>
      <c r="AO644" s="199"/>
      <c r="AP644" s="199"/>
      <c r="AQ644" s="199"/>
      <c r="AR644" s="136"/>
      <c r="AS644" s="199"/>
      <c r="AT644" s="199"/>
      <c r="AU644" s="199"/>
      <c r="AV644" s="199"/>
      <c r="AW644" s="136"/>
      <c r="AX644" s="199"/>
      <c r="AY644" s="199"/>
      <c r="AZ644" s="199"/>
      <c r="BA644" s="199"/>
      <c r="BB644" s="136"/>
      <c r="BC644" s="199"/>
      <c r="BD644" s="199"/>
      <c r="BE644" s="199"/>
      <c r="BF644" s="199"/>
      <c r="BG644" s="136"/>
      <c r="BH644" s="199"/>
      <c r="BI644" s="199"/>
      <c r="BJ644" s="199"/>
    </row>
    <row r="645" spans="1:62" x14ac:dyDescent="0.25">
      <c r="A645" s="199"/>
      <c r="B645" s="136"/>
      <c r="C645" s="199"/>
      <c r="D645" s="199"/>
      <c r="E645" s="199"/>
      <c r="F645" s="199"/>
      <c r="G645" s="199"/>
      <c r="H645" s="199"/>
      <c r="I645" s="136"/>
      <c r="J645" s="199"/>
      <c r="K645" s="199"/>
      <c r="L645" s="199"/>
      <c r="M645" s="199"/>
      <c r="N645" s="136"/>
      <c r="O645" s="199"/>
      <c r="P645" s="199"/>
      <c r="Q645" s="199"/>
      <c r="R645" s="199"/>
      <c r="S645" s="136"/>
      <c r="T645" s="199"/>
      <c r="U645" s="199"/>
      <c r="V645" s="199"/>
      <c r="W645" s="199"/>
      <c r="X645" s="136"/>
      <c r="Y645" s="199"/>
      <c r="Z645" s="199"/>
      <c r="AA645" s="199"/>
      <c r="AB645" s="199"/>
      <c r="AC645" s="136"/>
      <c r="AD645" s="199"/>
      <c r="AE645" s="199"/>
      <c r="AF645" s="199"/>
      <c r="AG645" s="199"/>
      <c r="AH645" s="136"/>
      <c r="AI645" s="199"/>
      <c r="AJ645" s="199"/>
      <c r="AK645" s="199"/>
      <c r="AL645" s="199"/>
      <c r="AM645" s="136"/>
      <c r="AN645" s="199"/>
      <c r="AO645" s="199"/>
      <c r="AP645" s="199"/>
      <c r="AQ645" s="199"/>
      <c r="AR645" s="136"/>
      <c r="AS645" s="199"/>
      <c r="AT645" s="199"/>
      <c r="AU645" s="199"/>
      <c r="AV645" s="199"/>
      <c r="AW645" s="136"/>
      <c r="AX645" s="199"/>
      <c r="AY645" s="199"/>
      <c r="AZ645" s="199"/>
      <c r="BA645" s="199"/>
      <c r="BB645" s="136"/>
      <c r="BC645" s="199"/>
      <c r="BD645" s="199"/>
      <c r="BE645" s="199"/>
      <c r="BF645" s="199"/>
      <c r="BG645" s="136"/>
      <c r="BH645" s="199"/>
      <c r="BI645" s="199"/>
      <c r="BJ645" s="199"/>
    </row>
    <row r="646" spans="1:62" x14ac:dyDescent="0.25">
      <c r="A646" s="199"/>
      <c r="B646" s="136"/>
      <c r="C646" s="199"/>
      <c r="D646" s="199"/>
      <c r="E646" s="199"/>
      <c r="F646" s="199"/>
      <c r="G646" s="199"/>
      <c r="H646" s="199"/>
      <c r="I646" s="136"/>
      <c r="J646" s="199"/>
      <c r="K646" s="199"/>
      <c r="L646" s="199"/>
      <c r="M646" s="199"/>
      <c r="N646" s="136"/>
      <c r="O646" s="199"/>
      <c r="P646" s="199"/>
      <c r="Q646" s="199"/>
      <c r="R646" s="199"/>
      <c r="S646" s="136"/>
      <c r="T646" s="199"/>
      <c r="U646" s="199"/>
      <c r="V646" s="199"/>
      <c r="W646" s="199"/>
      <c r="X646" s="136"/>
      <c r="Y646" s="199"/>
      <c r="Z646" s="199"/>
      <c r="AA646" s="199"/>
      <c r="AB646" s="199"/>
      <c r="AC646" s="136"/>
      <c r="AD646" s="199"/>
      <c r="AE646" s="199"/>
      <c r="AF646" s="199"/>
      <c r="AG646" s="199"/>
      <c r="AH646" s="136"/>
      <c r="AI646" s="199"/>
      <c r="AJ646" s="199"/>
      <c r="AK646" s="199"/>
      <c r="AL646" s="199"/>
      <c r="AM646" s="136"/>
      <c r="AN646" s="199"/>
      <c r="AO646" s="199"/>
      <c r="AP646" s="199"/>
      <c r="AQ646" s="199"/>
      <c r="AR646" s="136"/>
      <c r="AS646" s="199"/>
      <c r="AT646" s="199"/>
      <c r="AU646" s="199"/>
      <c r="AV646" s="199"/>
      <c r="AW646" s="136"/>
      <c r="AX646" s="199"/>
      <c r="AY646" s="199"/>
      <c r="AZ646" s="199"/>
      <c r="BA646" s="199"/>
      <c r="BB646" s="136"/>
      <c r="BC646" s="199"/>
      <c r="BD646" s="199"/>
      <c r="BE646" s="199"/>
      <c r="BF646" s="199"/>
      <c r="BG646" s="136"/>
      <c r="BH646" s="199"/>
      <c r="BI646" s="199"/>
      <c r="BJ646" s="199"/>
    </row>
    <row r="647" spans="1:62" x14ac:dyDescent="0.25">
      <c r="A647" s="199"/>
      <c r="B647" s="136"/>
      <c r="C647" s="199"/>
      <c r="D647" s="199"/>
      <c r="E647" s="199"/>
      <c r="F647" s="199"/>
      <c r="G647" s="199"/>
      <c r="H647" s="199"/>
      <c r="I647" s="136"/>
      <c r="J647" s="199"/>
      <c r="K647" s="199"/>
      <c r="L647" s="199"/>
      <c r="M647" s="199"/>
      <c r="N647" s="136"/>
      <c r="O647" s="199"/>
      <c r="P647" s="199"/>
      <c r="Q647" s="199"/>
      <c r="R647" s="199"/>
      <c r="S647" s="136"/>
      <c r="T647" s="199"/>
      <c r="U647" s="199"/>
      <c r="V647" s="199"/>
      <c r="W647" s="199"/>
      <c r="X647" s="136"/>
      <c r="Y647" s="199"/>
      <c r="Z647" s="199"/>
      <c r="AA647" s="199"/>
      <c r="AB647" s="199"/>
      <c r="AC647" s="136"/>
      <c r="AD647" s="199"/>
      <c r="AE647" s="199"/>
      <c r="AF647" s="199"/>
      <c r="AG647" s="199"/>
      <c r="AH647" s="136"/>
      <c r="AI647" s="199"/>
      <c r="AJ647" s="199"/>
      <c r="AK647" s="199"/>
      <c r="AL647" s="199"/>
      <c r="AM647" s="136"/>
      <c r="AN647" s="199"/>
      <c r="AO647" s="199"/>
      <c r="AP647" s="199"/>
      <c r="AQ647" s="199"/>
      <c r="AR647" s="136"/>
      <c r="AS647" s="199"/>
      <c r="AT647" s="199"/>
      <c r="AU647" s="199"/>
      <c r="AV647" s="199"/>
      <c r="AW647" s="136"/>
      <c r="AX647" s="199"/>
      <c r="AY647" s="199"/>
      <c r="AZ647" s="199"/>
      <c r="BA647" s="199"/>
      <c r="BB647" s="136"/>
      <c r="BC647" s="199"/>
      <c r="BD647" s="199"/>
      <c r="BE647" s="199"/>
      <c r="BF647" s="199"/>
      <c r="BG647" s="136"/>
      <c r="BH647" s="199"/>
      <c r="BI647" s="199"/>
      <c r="BJ647" s="199"/>
    </row>
    <row r="648" spans="1:62" x14ac:dyDescent="0.25">
      <c r="A648" s="199"/>
      <c r="B648" s="136"/>
      <c r="C648" s="199"/>
      <c r="D648" s="199"/>
      <c r="E648" s="199"/>
      <c r="F648" s="199"/>
      <c r="G648" s="199"/>
      <c r="H648" s="199"/>
      <c r="I648" s="136"/>
      <c r="J648" s="199"/>
      <c r="K648" s="199"/>
      <c r="L648" s="199"/>
      <c r="M648" s="199"/>
      <c r="N648" s="136"/>
      <c r="O648" s="199"/>
      <c r="P648" s="199"/>
      <c r="Q648" s="199"/>
      <c r="R648" s="199"/>
      <c r="S648" s="136"/>
      <c r="T648" s="199"/>
      <c r="U648" s="199"/>
      <c r="V648" s="199"/>
      <c r="W648" s="199"/>
      <c r="X648" s="136"/>
      <c r="Y648" s="199"/>
      <c r="Z648" s="199"/>
      <c r="AA648" s="199"/>
      <c r="AB648" s="199"/>
      <c r="AC648" s="136"/>
      <c r="AD648" s="199"/>
      <c r="AE648" s="199"/>
      <c r="AF648" s="199"/>
      <c r="AG648" s="199"/>
      <c r="AH648" s="136"/>
      <c r="AI648" s="199"/>
      <c r="AJ648" s="199"/>
      <c r="AK648" s="199"/>
      <c r="AL648" s="199"/>
      <c r="AM648" s="136"/>
      <c r="AN648" s="199"/>
      <c r="AO648" s="199"/>
      <c r="AP648" s="199"/>
      <c r="AQ648" s="199"/>
      <c r="AR648" s="136"/>
      <c r="AS648" s="199"/>
      <c r="AT648" s="199"/>
      <c r="AU648" s="199"/>
      <c r="AV648" s="199"/>
      <c r="AW648" s="136"/>
      <c r="AX648" s="199"/>
      <c r="AY648" s="199"/>
      <c r="AZ648" s="199"/>
      <c r="BA648" s="199"/>
      <c r="BB648" s="136"/>
      <c r="BC648" s="199"/>
      <c r="BD648" s="199"/>
      <c r="BE648" s="199"/>
      <c r="BF648" s="199"/>
      <c r="BG648" s="136"/>
      <c r="BH648" s="199"/>
      <c r="BI648" s="199"/>
      <c r="BJ648" s="199"/>
    </row>
    <row r="649" spans="1:62" x14ac:dyDescent="0.25">
      <c r="A649" s="199"/>
      <c r="B649" s="136"/>
      <c r="C649" s="199"/>
      <c r="D649" s="199"/>
      <c r="E649" s="199"/>
      <c r="F649" s="199"/>
      <c r="G649" s="199"/>
      <c r="H649" s="199"/>
      <c r="I649" s="136"/>
      <c r="J649" s="199"/>
      <c r="K649" s="199"/>
      <c r="L649" s="199"/>
      <c r="M649" s="199"/>
      <c r="N649" s="136"/>
      <c r="O649" s="199"/>
      <c r="P649" s="199"/>
      <c r="Q649" s="199"/>
      <c r="R649" s="199"/>
      <c r="S649" s="136"/>
      <c r="T649" s="199"/>
      <c r="U649" s="199"/>
      <c r="V649" s="199"/>
      <c r="W649" s="199"/>
      <c r="X649" s="136"/>
      <c r="Y649" s="199"/>
      <c r="Z649" s="199"/>
      <c r="AA649" s="199"/>
      <c r="AB649" s="199"/>
      <c r="AC649" s="136"/>
      <c r="AD649" s="199"/>
      <c r="AE649" s="199"/>
      <c r="AF649" s="199"/>
      <c r="AG649" s="199"/>
      <c r="AH649" s="136"/>
      <c r="AI649" s="199"/>
      <c r="AJ649" s="199"/>
      <c r="AK649" s="199"/>
      <c r="AL649" s="199"/>
      <c r="AM649" s="136"/>
      <c r="AN649" s="199"/>
      <c r="AO649" s="199"/>
      <c r="AP649" s="199"/>
      <c r="AQ649" s="199"/>
      <c r="AR649" s="136"/>
      <c r="AS649" s="199"/>
      <c r="AT649" s="199"/>
      <c r="AU649" s="199"/>
      <c r="AV649" s="199"/>
      <c r="AW649" s="136"/>
      <c r="AX649" s="199"/>
      <c r="AY649" s="199"/>
      <c r="AZ649" s="199"/>
      <c r="BA649" s="199"/>
      <c r="BB649" s="136"/>
      <c r="BC649" s="199"/>
      <c r="BD649" s="199"/>
      <c r="BE649" s="199"/>
      <c r="BF649" s="199"/>
      <c r="BG649" s="136"/>
      <c r="BH649" s="199"/>
      <c r="BI649" s="199"/>
      <c r="BJ649" s="199"/>
    </row>
    <row r="650" spans="1:62" x14ac:dyDescent="0.25">
      <c r="A650" s="199"/>
      <c r="B650" s="136"/>
      <c r="C650" s="199"/>
      <c r="D650" s="199"/>
      <c r="E650" s="199"/>
      <c r="F650" s="199"/>
      <c r="G650" s="199"/>
      <c r="H650" s="199"/>
      <c r="I650" s="136"/>
      <c r="J650" s="199"/>
      <c r="K650" s="199"/>
      <c r="L650" s="199"/>
      <c r="M650" s="199"/>
      <c r="N650" s="136"/>
      <c r="O650" s="199"/>
      <c r="P650" s="199"/>
      <c r="Q650" s="199"/>
      <c r="R650" s="199"/>
      <c r="S650" s="136"/>
      <c r="T650" s="199"/>
      <c r="U650" s="199"/>
      <c r="V650" s="199"/>
      <c r="W650" s="199"/>
      <c r="X650" s="136"/>
      <c r="Y650" s="199"/>
      <c r="Z650" s="199"/>
      <c r="AA650" s="199"/>
      <c r="AB650" s="199"/>
      <c r="AC650" s="136"/>
      <c r="AD650" s="199"/>
      <c r="AE650" s="199"/>
      <c r="AF650" s="199"/>
      <c r="AG650" s="199"/>
      <c r="AH650" s="136"/>
      <c r="AI650" s="199"/>
      <c r="AJ650" s="199"/>
      <c r="AK650" s="199"/>
      <c r="AL650" s="199"/>
      <c r="AM650" s="136"/>
      <c r="AN650" s="199"/>
      <c r="AO650" s="199"/>
      <c r="AP650" s="199"/>
      <c r="AQ650" s="199"/>
      <c r="AR650" s="136"/>
      <c r="AS650" s="199"/>
      <c r="AT650" s="199"/>
      <c r="AU650" s="199"/>
      <c r="AV650" s="199"/>
      <c r="AW650" s="136"/>
      <c r="AX650" s="199"/>
      <c r="AY650" s="199"/>
      <c r="AZ650" s="199"/>
      <c r="BA650" s="199"/>
      <c r="BB650" s="136"/>
      <c r="BC650" s="199"/>
      <c r="BD650" s="199"/>
      <c r="BE650" s="199"/>
      <c r="BF650" s="199"/>
      <c r="BG650" s="136"/>
      <c r="BH650" s="199"/>
      <c r="BI650" s="199"/>
      <c r="BJ650" s="199"/>
    </row>
    <row r="651" spans="1:62" x14ac:dyDescent="0.25">
      <c r="A651" s="199"/>
      <c r="B651" s="136"/>
      <c r="C651" s="199"/>
      <c r="D651" s="199"/>
      <c r="E651" s="199"/>
      <c r="F651" s="199"/>
      <c r="G651" s="199"/>
      <c r="H651" s="199"/>
      <c r="I651" s="136"/>
      <c r="J651" s="199"/>
      <c r="K651" s="199"/>
      <c r="L651" s="199"/>
      <c r="M651" s="199"/>
      <c r="N651" s="136"/>
      <c r="O651" s="199"/>
      <c r="P651" s="199"/>
      <c r="Q651" s="199"/>
      <c r="R651" s="199"/>
      <c r="S651" s="136"/>
      <c r="T651" s="199"/>
      <c r="U651" s="199"/>
      <c r="V651" s="199"/>
      <c r="W651" s="199"/>
      <c r="X651" s="136"/>
      <c r="Y651" s="199"/>
      <c r="Z651" s="199"/>
      <c r="AA651" s="199"/>
      <c r="AB651" s="199"/>
      <c r="AC651" s="136"/>
      <c r="AD651" s="199"/>
      <c r="AE651" s="199"/>
      <c r="AF651" s="199"/>
      <c r="AG651" s="199"/>
      <c r="AH651" s="136"/>
      <c r="AI651" s="199"/>
      <c r="AJ651" s="199"/>
      <c r="AK651" s="199"/>
      <c r="AL651" s="199"/>
      <c r="AM651" s="136"/>
      <c r="AN651" s="199"/>
      <c r="AO651" s="199"/>
      <c r="AP651" s="199"/>
      <c r="AQ651" s="199"/>
      <c r="AR651" s="136"/>
      <c r="AS651" s="199"/>
      <c r="AT651" s="199"/>
      <c r="AU651" s="199"/>
      <c r="AV651" s="199"/>
      <c r="AW651" s="136"/>
      <c r="AX651" s="199"/>
      <c r="AY651" s="199"/>
      <c r="AZ651" s="199"/>
      <c r="BA651" s="199"/>
      <c r="BB651" s="136"/>
      <c r="BC651" s="199"/>
      <c r="BD651" s="199"/>
      <c r="BE651" s="199"/>
      <c r="BF651" s="199"/>
      <c r="BG651" s="136"/>
      <c r="BH651" s="199"/>
      <c r="BI651" s="199"/>
      <c r="BJ651" s="199"/>
    </row>
    <row r="655" spans="1:62" ht="36" x14ac:dyDescent="0.25">
      <c r="A655" s="169"/>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row>
    <row r="656" spans="1:62" x14ac:dyDescent="0.25">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row>
    <row r="657" spans="1:62" x14ac:dyDescent="0.25">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row>
    <row r="658" spans="1:62" ht="36" x14ac:dyDescent="0.25">
      <c r="A658" s="169"/>
      <c r="B658" s="169"/>
      <c r="C658" s="169"/>
      <c r="D658" s="169"/>
      <c r="E658" s="169"/>
      <c r="F658" s="169"/>
      <c r="G658" s="169"/>
      <c r="H658" s="169"/>
      <c r="I658" s="169"/>
      <c r="J658" s="169"/>
      <c r="K658" s="169"/>
      <c r="L658" s="169"/>
      <c r="M658" s="169"/>
      <c r="N658" s="169"/>
      <c r="O658" s="169"/>
      <c r="P658" s="169"/>
      <c r="Q658" s="169"/>
      <c r="R658" s="169"/>
      <c r="S658" s="169"/>
      <c r="T658" s="169"/>
      <c r="U658" s="169"/>
      <c r="V658" s="169"/>
      <c r="W658" s="169"/>
      <c r="X658" s="169"/>
      <c r="Y658" s="169"/>
      <c r="Z658" s="169"/>
      <c r="AA658" s="169"/>
      <c r="AB658" s="169"/>
      <c r="AC658" s="169"/>
      <c r="AD658" s="169"/>
      <c r="AE658" s="169"/>
      <c r="AF658" s="169"/>
      <c r="AG658" s="169"/>
      <c r="AH658" s="169"/>
      <c r="AI658" s="169"/>
      <c r="AJ658" s="169"/>
      <c r="AK658" s="169"/>
      <c r="AL658" s="169"/>
      <c r="AM658" s="169"/>
      <c r="AN658" s="169"/>
      <c r="AO658" s="169"/>
      <c r="AP658" s="169"/>
      <c r="AQ658" s="169"/>
      <c r="AR658" s="169"/>
      <c r="AS658" s="169"/>
      <c r="AT658" s="169"/>
      <c r="AU658" s="169"/>
      <c r="AV658" s="169"/>
      <c r="AW658" s="169"/>
      <c r="AX658" s="169"/>
      <c r="AY658" s="169"/>
      <c r="AZ658" s="169"/>
      <c r="BA658" s="169"/>
      <c r="BB658" s="169"/>
      <c r="BC658" s="169"/>
      <c r="BD658" s="169"/>
      <c r="BE658" s="169"/>
      <c r="BF658" s="169"/>
      <c r="BG658" s="169"/>
      <c r="BH658" s="169"/>
      <c r="BI658" s="169"/>
      <c r="BJ658" s="169"/>
    </row>
    <row r="659" spans="1:62" ht="36" x14ac:dyDescent="0.25">
      <c r="A659" s="169"/>
      <c r="B659" s="169"/>
      <c r="C659" s="169"/>
      <c r="D659" s="169"/>
      <c r="E659" s="169"/>
      <c r="F659" s="169"/>
      <c r="G659" s="169"/>
      <c r="H659" s="169"/>
      <c r="I659" s="169"/>
      <c r="J659" s="169"/>
      <c r="K659" s="169"/>
      <c r="L659" s="169"/>
      <c r="M659" s="169"/>
      <c r="N659" s="169"/>
      <c r="O659" s="169"/>
      <c r="P659" s="169"/>
      <c r="Q659" s="169"/>
      <c r="R659" s="169"/>
      <c r="S659" s="169"/>
      <c r="T659" s="169"/>
      <c r="U659" s="169"/>
      <c r="V659" s="169"/>
      <c r="W659" s="169"/>
      <c r="X659" s="169"/>
      <c r="Y659" s="169"/>
      <c r="Z659" s="169"/>
      <c r="AA659" s="169"/>
      <c r="AB659" s="169"/>
      <c r="AC659" s="169"/>
      <c r="AD659" s="169"/>
      <c r="AE659" s="169"/>
      <c r="AF659" s="169"/>
      <c r="AG659" s="169"/>
      <c r="AH659" s="169"/>
      <c r="AI659" s="169"/>
      <c r="AJ659" s="169"/>
      <c r="AK659" s="169"/>
      <c r="AL659" s="169"/>
      <c r="AM659" s="169"/>
      <c r="AN659" s="169"/>
      <c r="AO659" s="169"/>
      <c r="AP659" s="169"/>
      <c r="AQ659" s="169"/>
      <c r="AR659" s="169"/>
      <c r="AS659" s="169"/>
      <c r="AT659" s="169"/>
      <c r="AU659" s="169"/>
      <c r="AV659" s="169"/>
      <c r="AW659" s="169"/>
      <c r="AX659" s="169"/>
      <c r="AY659" s="169"/>
      <c r="AZ659" s="169"/>
      <c r="BA659" s="169"/>
      <c r="BB659" s="169"/>
      <c r="BC659" s="169"/>
      <c r="BD659" s="169"/>
      <c r="BE659" s="169"/>
      <c r="BF659" s="169"/>
      <c r="BG659" s="169"/>
      <c r="BH659" s="169"/>
      <c r="BI659" s="169"/>
      <c r="BJ659" s="169"/>
    </row>
    <row r="660" spans="1:62" ht="36" x14ac:dyDescent="0.25">
      <c r="A660" s="169"/>
      <c r="B660" s="169"/>
      <c r="C660" s="169"/>
      <c r="D660" s="169"/>
      <c r="E660" s="169"/>
      <c r="F660" s="169"/>
      <c r="G660" s="169"/>
      <c r="H660" s="169"/>
      <c r="I660" s="169"/>
      <c r="J660" s="169"/>
      <c r="K660" s="169"/>
      <c r="L660" s="169"/>
      <c r="M660" s="169"/>
      <c r="N660" s="169"/>
      <c r="O660" s="169"/>
      <c r="P660" s="169"/>
      <c r="Q660" s="169"/>
      <c r="R660" s="169"/>
      <c r="S660" s="169"/>
      <c r="T660" s="169"/>
      <c r="U660" s="169"/>
      <c r="V660" s="169"/>
      <c r="W660" s="169"/>
      <c r="X660" s="169"/>
      <c r="Y660" s="169"/>
      <c r="Z660" s="169"/>
      <c r="AA660" s="169"/>
      <c r="AB660" s="169"/>
      <c r="AC660" s="169"/>
      <c r="AD660" s="169"/>
      <c r="AE660" s="169"/>
      <c r="AF660" s="169"/>
      <c r="AG660" s="169"/>
      <c r="AH660" s="169"/>
      <c r="AI660" s="169"/>
      <c r="AJ660" s="169"/>
      <c r="AK660" s="169"/>
      <c r="AL660" s="169"/>
      <c r="AM660" s="169"/>
      <c r="AN660" s="169"/>
      <c r="AO660" s="169"/>
      <c r="AP660" s="169"/>
      <c r="AQ660" s="169"/>
      <c r="AR660" s="169"/>
      <c r="AS660" s="169"/>
      <c r="AT660" s="169"/>
      <c r="AU660" s="169"/>
      <c r="AV660" s="169"/>
      <c r="AW660" s="169"/>
      <c r="AX660" s="169"/>
      <c r="AY660" s="169"/>
      <c r="AZ660" s="169"/>
      <c r="BA660" s="169"/>
      <c r="BB660" s="169"/>
      <c r="BC660" s="169"/>
      <c r="BD660" s="169"/>
      <c r="BE660" s="169"/>
      <c r="BF660" s="169"/>
      <c r="BG660" s="169"/>
      <c r="BH660" s="169"/>
      <c r="BI660" s="169"/>
      <c r="BJ660" s="169"/>
    </row>
    <row r="661" spans="1:62" x14ac:dyDescent="0.25">
      <c r="F661" s="194"/>
      <c r="G661" s="194"/>
    </row>
    <row r="663" spans="1:62" x14ac:dyDescent="0.25">
      <c r="A663" s="199"/>
      <c r="B663" s="136"/>
      <c r="C663" s="199"/>
      <c r="D663" s="199"/>
      <c r="E663" s="199"/>
      <c r="F663" s="199"/>
      <c r="G663" s="199"/>
      <c r="H663" s="199"/>
      <c r="I663" s="136"/>
      <c r="J663" s="199"/>
      <c r="K663" s="199"/>
      <c r="L663" s="199"/>
      <c r="M663" s="199"/>
      <c r="N663" s="136"/>
      <c r="O663" s="199"/>
      <c r="P663" s="199"/>
      <c r="Q663" s="199"/>
      <c r="R663" s="199"/>
      <c r="S663" s="136"/>
      <c r="T663" s="199"/>
      <c r="U663" s="199"/>
      <c r="V663" s="199"/>
      <c r="W663" s="199"/>
      <c r="X663" s="136"/>
      <c r="Y663" s="199"/>
      <c r="Z663" s="199"/>
      <c r="AA663" s="199"/>
      <c r="AB663" s="199"/>
      <c r="AC663" s="136"/>
      <c r="AD663" s="199"/>
      <c r="AE663" s="199"/>
      <c r="AF663" s="199"/>
      <c r="AG663" s="199"/>
      <c r="AH663" s="136"/>
      <c r="AI663" s="199"/>
      <c r="AJ663" s="199"/>
      <c r="AK663" s="199"/>
      <c r="AL663" s="199"/>
      <c r="AM663" s="136"/>
      <c r="AN663" s="199"/>
      <c r="AO663" s="199"/>
      <c r="AP663" s="199"/>
      <c r="AQ663" s="199"/>
      <c r="AR663" s="136"/>
      <c r="AS663" s="199"/>
      <c r="AT663" s="199"/>
      <c r="AU663" s="199"/>
      <c r="AV663" s="199"/>
      <c r="AW663" s="136"/>
      <c r="AX663" s="199"/>
      <c r="AY663" s="199"/>
      <c r="AZ663" s="199"/>
      <c r="BA663" s="199"/>
      <c r="BB663" s="136"/>
      <c r="BC663" s="199"/>
      <c r="BD663" s="199"/>
      <c r="BE663" s="199"/>
      <c r="BF663" s="199"/>
      <c r="BG663" s="136"/>
      <c r="BH663" s="199"/>
      <c r="BI663" s="199"/>
      <c r="BJ663" s="199"/>
    </row>
    <row r="664" spans="1:62" x14ac:dyDescent="0.25">
      <c r="A664" s="199"/>
      <c r="B664" s="136"/>
      <c r="C664" s="199"/>
      <c r="D664" s="199"/>
      <c r="E664" s="199"/>
      <c r="F664" s="199"/>
      <c r="G664" s="199"/>
      <c r="H664" s="199"/>
      <c r="I664" s="136"/>
      <c r="J664" s="199"/>
      <c r="K664" s="199"/>
      <c r="L664" s="199"/>
      <c r="M664" s="199"/>
      <c r="N664" s="136"/>
      <c r="O664" s="199"/>
      <c r="P664" s="199"/>
      <c r="Q664" s="199"/>
      <c r="R664" s="199"/>
      <c r="S664" s="136"/>
      <c r="T664" s="199"/>
      <c r="U664" s="199"/>
      <c r="V664" s="199"/>
      <c r="W664" s="199"/>
      <c r="X664" s="136"/>
      <c r="Y664" s="199"/>
      <c r="Z664" s="199"/>
      <c r="AA664" s="199"/>
      <c r="AB664" s="199"/>
      <c r="AC664" s="136"/>
      <c r="AD664" s="199"/>
      <c r="AE664" s="199"/>
      <c r="AF664" s="199"/>
      <c r="AG664" s="199"/>
      <c r="AH664" s="136"/>
      <c r="AI664" s="199"/>
      <c r="AJ664" s="199"/>
      <c r="AK664" s="199"/>
      <c r="AL664" s="199"/>
      <c r="AM664" s="136"/>
      <c r="AN664" s="199"/>
      <c r="AO664" s="199"/>
      <c r="AP664" s="199"/>
      <c r="AQ664" s="199"/>
      <c r="AR664" s="136"/>
      <c r="AS664" s="199"/>
      <c r="AT664" s="199"/>
      <c r="AU664" s="199"/>
      <c r="AV664" s="199"/>
      <c r="AW664" s="136"/>
      <c r="AX664" s="199"/>
      <c r="AY664" s="199"/>
      <c r="AZ664" s="199"/>
      <c r="BA664" s="199"/>
      <c r="BB664" s="136"/>
      <c r="BC664" s="199"/>
      <c r="BD664" s="199"/>
      <c r="BE664" s="199"/>
      <c r="BF664" s="199"/>
      <c r="BG664" s="136"/>
      <c r="BH664" s="199"/>
      <c r="BI664" s="199"/>
      <c r="BJ664" s="199"/>
    </row>
    <row r="665" spans="1:62" x14ac:dyDescent="0.25">
      <c r="A665" s="199"/>
      <c r="B665" s="136"/>
      <c r="C665" s="199"/>
      <c r="D665" s="199"/>
      <c r="E665" s="199"/>
      <c r="F665" s="199"/>
      <c r="G665" s="199"/>
      <c r="H665" s="199"/>
      <c r="I665" s="136"/>
      <c r="J665" s="199"/>
      <c r="K665" s="199"/>
      <c r="L665" s="199"/>
      <c r="M665" s="199"/>
      <c r="N665" s="136"/>
      <c r="O665" s="199"/>
      <c r="P665" s="199"/>
      <c r="Q665" s="199"/>
      <c r="R665" s="199"/>
      <c r="S665" s="136"/>
      <c r="T665" s="199"/>
      <c r="U665" s="199"/>
      <c r="V665" s="199"/>
      <c r="W665" s="199"/>
      <c r="X665" s="136"/>
      <c r="Y665" s="199"/>
      <c r="Z665" s="199"/>
      <c r="AA665" s="199"/>
      <c r="AB665" s="199"/>
      <c r="AC665" s="136"/>
      <c r="AD665" s="199"/>
      <c r="AE665" s="199"/>
      <c r="AF665" s="199"/>
      <c r="AG665" s="199"/>
      <c r="AH665" s="136"/>
      <c r="AI665" s="199"/>
      <c r="AJ665" s="199"/>
      <c r="AK665" s="199"/>
      <c r="AL665" s="199"/>
      <c r="AM665" s="136"/>
      <c r="AN665" s="199"/>
      <c r="AO665" s="199"/>
      <c r="AP665" s="199"/>
      <c r="AQ665" s="199"/>
      <c r="AR665" s="136"/>
      <c r="AS665" s="199"/>
      <c r="AT665" s="199"/>
      <c r="AU665" s="199"/>
      <c r="AV665" s="199"/>
      <c r="AW665" s="136"/>
      <c r="AX665" s="199"/>
      <c r="AY665" s="199"/>
      <c r="AZ665" s="199"/>
      <c r="BA665" s="199"/>
      <c r="BB665" s="136"/>
      <c r="BC665" s="199"/>
      <c r="BD665" s="199"/>
      <c r="BE665" s="199"/>
      <c r="BF665" s="199"/>
      <c r="BG665" s="136"/>
      <c r="BH665" s="199"/>
      <c r="BI665" s="199"/>
      <c r="BJ665" s="199"/>
    </row>
    <row r="666" spans="1:62" x14ac:dyDescent="0.25">
      <c r="A666" s="199"/>
      <c r="B666" s="136"/>
      <c r="C666" s="199"/>
      <c r="D666" s="199"/>
      <c r="E666" s="199"/>
      <c r="F666" s="199"/>
      <c r="G666" s="199"/>
      <c r="H666" s="199"/>
      <c r="I666" s="136"/>
      <c r="J666" s="199"/>
      <c r="K666" s="199"/>
      <c r="L666" s="199"/>
      <c r="M666" s="199"/>
      <c r="N666" s="136"/>
      <c r="O666" s="199"/>
      <c r="P666" s="199"/>
      <c r="Q666" s="199"/>
      <c r="R666" s="199"/>
      <c r="S666" s="136"/>
      <c r="T666" s="199"/>
      <c r="U666" s="199"/>
      <c r="V666" s="199"/>
      <c r="W666" s="199"/>
      <c r="X666" s="136"/>
      <c r="Y666" s="199"/>
      <c r="Z666" s="199"/>
      <c r="AA666" s="199"/>
      <c r="AB666" s="199"/>
      <c r="AC666" s="136"/>
      <c r="AD666" s="199"/>
      <c r="AE666" s="199"/>
      <c r="AF666" s="199"/>
      <c r="AG666" s="199"/>
      <c r="AH666" s="136"/>
      <c r="AI666" s="199"/>
      <c r="AJ666" s="199"/>
      <c r="AK666" s="199"/>
      <c r="AL666" s="199"/>
      <c r="AM666" s="136"/>
      <c r="AN666" s="199"/>
      <c r="AO666" s="199"/>
      <c r="AP666" s="199"/>
      <c r="AQ666" s="199"/>
      <c r="AR666" s="136"/>
      <c r="AS666" s="199"/>
      <c r="AT666" s="199"/>
      <c r="AU666" s="199"/>
      <c r="AV666" s="199"/>
      <c r="AW666" s="136"/>
      <c r="AX666" s="199"/>
      <c r="AY666" s="199"/>
      <c r="AZ666" s="199"/>
      <c r="BA666" s="199"/>
      <c r="BB666" s="136"/>
      <c r="BC666" s="199"/>
      <c r="BD666" s="199"/>
      <c r="BE666" s="199"/>
      <c r="BF666" s="199"/>
      <c r="BG666" s="136"/>
      <c r="BH666" s="199"/>
      <c r="BI666" s="199"/>
      <c r="BJ666" s="199"/>
    </row>
    <row r="667" spans="1:62" x14ac:dyDescent="0.25">
      <c r="A667" s="199"/>
      <c r="B667" s="136"/>
      <c r="C667" s="199"/>
      <c r="D667" s="199"/>
      <c r="E667" s="199"/>
      <c r="F667" s="199"/>
      <c r="G667" s="199"/>
      <c r="H667" s="199"/>
      <c r="I667" s="136"/>
      <c r="J667" s="199"/>
      <c r="K667" s="199"/>
      <c r="L667" s="199"/>
      <c r="M667" s="199"/>
      <c r="N667" s="136"/>
      <c r="O667" s="199"/>
      <c r="P667" s="199"/>
      <c r="Q667" s="199"/>
      <c r="R667" s="199"/>
      <c r="S667" s="136"/>
      <c r="T667" s="199"/>
      <c r="U667" s="199"/>
      <c r="V667" s="199"/>
      <c r="W667" s="199"/>
      <c r="X667" s="136"/>
      <c r="Y667" s="199"/>
      <c r="Z667" s="199"/>
      <c r="AA667" s="199"/>
      <c r="AB667" s="199"/>
      <c r="AC667" s="136"/>
      <c r="AD667" s="199"/>
      <c r="AE667" s="199"/>
      <c r="AF667" s="199"/>
      <c r="AG667" s="199"/>
      <c r="AH667" s="136"/>
      <c r="AI667" s="199"/>
      <c r="AJ667" s="199"/>
      <c r="AK667" s="199"/>
      <c r="AL667" s="199"/>
      <c r="AM667" s="136"/>
      <c r="AN667" s="199"/>
      <c r="AO667" s="199"/>
      <c r="AP667" s="199"/>
      <c r="AQ667" s="199"/>
      <c r="AR667" s="136"/>
      <c r="AS667" s="199"/>
      <c r="AT667" s="199"/>
      <c r="AU667" s="199"/>
      <c r="AV667" s="199"/>
      <c r="AW667" s="136"/>
      <c r="AX667" s="199"/>
      <c r="AY667" s="199"/>
      <c r="AZ667" s="199"/>
      <c r="BA667" s="199"/>
      <c r="BB667" s="136"/>
      <c r="BC667" s="199"/>
      <c r="BD667" s="199"/>
      <c r="BE667" s="199"/>
      <c r="BF667" s="199"/>
      <c r="BG667" s="136"/>
      <c r="BH667" s="199"/>
      <c r="BI667" s="199"/>
      <c r="BJ667" s="199"/>
    </row>
    <row r="668" spans="1:62" x14ac:dyDescent="0.25">
      <c r="A668" s="199"/>
      <c r="B668" s="136"/>
      <c r="C668" s="199"/>
      <c r="D668" s="199"/>
      <c r="E668" s="199"/>
      <c r="F668" s="199"/>
      <c r="G668" s="199"/>
      <c r="H668" s="199"/>
      <c r="I668" s="136"/>
      <c r="J668" s="199"/>
      <c r="K668" s="199"/>
      <c r="L668" s="199"/>
      <c r="M668" s="199"/>
      <c r="N668" s="136"/>
      <c r="O668" s="199"/>
      <c r="P668" s="199"/>
      <c r="Q668" s="199"/>
      <c r="R668" s="199"/>
      <c r="S668" s="136"/>
      <c r="T668" s="199"/>
      <c r="U668" s="199"/>
      <c r="V668" s="199"/>
      <c r="W668" s="199"/>
      <c r="X668" s="136"/>
      <c r="Y668" s="199"/>
      <c r="Z668" s="199"/>
      <c r="AA668" s="199"/>
      <c r="AB668" s="199"/>
      <c r="AC668" s="136"/>
      <c r="AD668" s="199"/>
      <c r="AE668" s="199"/>
      <c r="AF668" s="199"/>
      <c r="AG668" s="199"/>
      <c r="AH668" s="136"/>
      <c r="AI668" s="199"/>
      <c r="AJ668" s="199"/>
      <c r="AK668" s="199"/>
      <c r="AL668" s="199"/>
      <c r="AM668" s="136"/>
      <c r="AN668" s="199"/>
      <c r="AO668" s="199"/>
      <c r="AP668" s="199"/>
      <c r="AQ668" s="199"/>
      <c r="AR668" s="136"/>
      <c r="AS668" s="199"/>
      <c r="AT668" s="199"/>
      <c r="AU668" s="199"/>
      <c r="AV668" s="199"/>
      <c r="AW668" s="136"/>
      <c r="AX668" s="199"/>
      <c r="AY668" s="199"/>
      <c r="AZ668" s="199"/>
      <c r="BA668" s="199"/>
      <c r="BB668" s="136"/>
      <c r="BC668" s="199"/>
      <c r="BD668" s="199"/>
      <c r="BE668" s="199"/>
      <c r="BF668" s="199"/>
      <c r="BG668" s="136"/>
      <c r="BH668" s="199"/>
      <c r="BI668" s="199"/>
      <c r="BJ668" s="199"/>
    </row>
    <row r="669" spans="1:62" x14ac:dyDescent="0.25">
      <c r="A669" s="199"/>
      <c r="B669" s="136"/>
      <c r="C669" s="199"/>
      <c r="D669" s="199"/>
      <c r="E669" s="199"/>
      <c r="F669" s="199"/>
      <c r="G669" s="199"/>
      <c r="H669" s="199"/>
      <c r="I669" s="136"/>
      <c r="J669" s="199"/>
      <c r="K669" s="199"/>
      <c r="L669" s="199"/>
      <c r="M669" s="199"/>
      <c r="N669" s="136"/>
      <c r="O669" s="199"/>
      <c r="P669" s="199"/>
      <c r="Q669" s="199"/>
      <c r="R669" s="199"/>
      <c r="S669" s="136"/>
      <c r="T669" s="199"/>
      <c r="U669" s="199"/>
      <c r="V669" s="199"/>
      <c r="W669" s="199"/>
      <c r="X669" s="136"/>
      <c r="Y669" s="199"/>
      <c r="Z669" s="199"/>
      <c r="AA669" s="199"/>
      <c r="AB669" s="199"/>
      <c r="AC669" s="136"/>
      <c r="AD669" s="199"/>
      <c r="AE669" s="199"/>
      <c r="AF669" s="199"/>
      <c r="AG669" s="199"/>
      <c r="AH669" s="136"/>
      <c r="AI669" s="199"/>
      <c r="AJ669" s="199"/>
      <c r="AK669" s="199"/>
      <c r="AL669" s="199"/>
      <c r="AM669" s="136"/>
      <c r="AN669" s="199"/>
      <c r="AO669" s="199"/>
      <c r="AP669" s="199"/>
      <c r="AQ669" s="199"/>
      <c r="AR669" s="136"/>
      <c r="AS669" s="199"/>
      <c r="AT669" s="199"/>
      <c r="AU669" s="199"/>
      <c r="AV669" s="199"/>
      <c r="AW669" s="136"/>
      <c r="AX669" s="199"/>
      <c r="AY669" s="199"/>
      <c r="AZ669" s="199"/>
      <c r="BA669" s="199"/>
      <c r="BB669" s="136"/>
      <c r="BC669" s="199"/>
      <c r="BD669" s="199"/>
      <c r="BE669" s="199"/>
      <c r="BF669" s="199"/>
      <c r="BG669" s="136"/>
      <c r="BH669" s="199"/>
      <c r="BI669" s="199"/>
      <c r="BJ669" s="199"/>
    </row>
    <row r="670" spans="1:62" x14ac:dyDescent="0.25">
      <c r="A670" s="199"/>
      <c r="B670" s="136"/>
      <c r="C670" s="199"/>
      <c r="D670" s="199"/>
      <c r="E670" s="199"/>
      <c r="F670" s="199"/>
      <c r="G670" s="199"/>
      <c r="H670" s="199"/>
      <c r="I670" s="136"/>
      <c r="J670" s="199"/>
      <c r="K670" s="199"/>
      <c r="L670" s="199"/>
      <c r="M670" s="199"/>
      <c r="N670" s="136"/>
      <c r="O670" s="199"/>
      <c r="P670" s="199"/>
      <c r="Q670" s="199"/>
      <c r="R670" s="199"/>
      <c r="S670" s="136"/>
      <c r="T670" s="199"/>
      <c r="U670" s="199"/>
      <c r="V670" s="199"/>
      <c r="W670" s="199"/>
      <c r="X670" s="136"/>
      <c r="Y670" s="199"/>
      <c r="Z670" s="199"/>
      <c r="AA670" s="199"/>
      <c r="AB670" s="199"/>
      <c r="AC670" s="136"/>
      <c r="AD670" s="199"/>
      <c r="AE670" s="199"/>
      <c r="AF670" s="199"/>
      <c r="AG670" s="199"/>
      <c r="AH670" s="136"/>
      <c r="AI670" s="199"/>
      <c r="AJ670" s="199"/>
      <c r="AK670" s="199"/>
      <c r="AL670" s="199"/>
      <c r="AM670" s="136"/>
      <c r="AN670" s="199"/>
      <c r="AO670" s="199"/>
      <c r="AP670" s="199"/>
      <c r="AQ670" s="199"/>
      <c r="AR670" s="136"/>
      <c r="AS670" s="199"/>
      <c r="AT670" s="199"/>
      <c r="AU670" s="199"/>
      <c r="AV670" s="199"/>
      <c r="AW670" s="136"/>
      <c r="AX670" s="199"/>
      <c r="AY670" s="199"/>
      <c r="AZ670" s="199"/>
      <c r="BA670" s="199"/>
      <c r="BB670" s="136"/>
      <c r="BC670" s="199"/>
      <c r="BD670" s="199"/>
      <c r="BE670" s="199"/>
      <c r="BF670" s="199"/>
      <c r="BG670" s="136"/>
      <c r="BH670" s="199"/>
      <c r="BI670" s="199"/>
      <c r="BJ670" s="199"/>
    </row>
    <row r="674" spans="1:62" ht="36" x14ac:dyDescent="0.25">
      <c r="A674" s="169"/>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row>
    <row r="675" spans="1:62" x14ac:dyDescent="0.25">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row>
    <row r="676" spans="1:62" x14ac:dyDescent="0.25">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row>
    <row r="677" spans="1:62" ht="36" x14ac:dyDescent="0.25">
      <c r="A677" s="169"/>
      <c r="B677" s="169"/>
      <c r="C677" s="169"/>
      <c r="D677" s="169"/>
      <c r="E677" s="169"/>
      <c r="F677" s="169"/>
      <c r="G677" s="169"/>
      <c r="H677" s="169"/>
      <c r="I677" s="169"/>
      <c r="J677" s="169"/>
      <c r="K677" s="169"/>
      <c r="L677" s="169"/>
      <c r="M677" s="169"/>
      <c r="N677" s="169"/>
      <c r="O677" s="169"/>
      <c r="P677" s="169"/>
      <c r="Q677" s="169"/>
      <c r="R677" s="169"/>
      <c r="S677" s="169"/>
      <c r="T677" s="169"/>
      <c r="U677" s="169"/>
      <c r="V677" s="169"/>
      <c r="W677" s="169"/>
      <c r="X677" s="169"/>
      <c r="Y677" s="169"/>
      <c r="Z677" s="169"/>
      <c r="AA677" s="169"/>
      <c r="AB677" s="169"/>
      <c r="AC677" s="169"/>
      <c r="AD677" s="169"/>
      <c r="AE677" s="169"/>
      <c r="AF677" s="169"/>
      <c r="AG677" s="169"/>
      <c r="AH677" s="169"/>
      <c r="AI677" s="169"/>
      <c r="AJ677" s="169"/>
      <c r="AK677" s="169"/>
      <c r="AL677" s="169"/>
      <c r="AM677" s="169"/>
      <c r="AN677" s="169"/>
      <c r="AO677" s="169"/>
      <c r="AP677" s="169"/>
      <c r="AQ677" s="169"/>
      <c r="AR677" s="169"/>
      <c r="AS677" s="169"/>
      <c r="AT677" s="169"/>
      <c r="AU677" s="169"/>
      <c r="AV677" s="169"/>
      <c r="AW677" s="169"/>
      <c r="AX677" s="169"/>
      <c r="AY677" s="169"/>
      <c r="AZ677" s="169"/>
      <c r="BA677" s="169"/>
      <c r="BB677" s="169"/>
      <c r="BC677" s="169"/>
      <c r="BD677" s="169"/>
      <c r="BE677" s="169"/>
      <c r="BF677" s="169"/>
      <c r="BG677" s="169"/>
      <c r="BH677" s="169"/>
      <c r="BI677" s="169"/>
      <c r="BJ677" s="169"/>
    </row>
    <row r="678" spans="1:62" ht="36" x14ac:dyDescent="0.25">
      <c r="A678" s="169"/>
      <c r="B678" s="169"/>
      <c r="C678" s="169"/>
      <c r="D678" s="169"/>
      <c r="E678" s="169"/>
      <c r="F678" s="169"/>
      <c r="G678" s="169"/>
      <c r="H678" s="169"/>
      <c r="I678" s="169"/>
      <c r="J678" s="169"/>
      <c r="K678" s="169"/>
      <c r="L678" s="169"/>
      <c r="M678" s="169"/>
      <c r="N678" s="169"/>
      <c r="O678" s="169"/>
      <c r="P678" s="169"/>
      <c r="Q678" s="169"/>
      <c r="R678" s="169"/>
      <c r="S678" s="169"/>
      <c r="T678" s="169"/>
      <c r="U678" s="169"/>
      <c r="V678" s="169"/>
      <c r="W678" s="169"/>
      <c r="X678" s="169"/>
      <c r="Y678" s="169"/>
      <c r="Z678" s="169"/>
      <c r="AA678" s="169"/>
      <c r="AB678" s="169"/>
      <c r="AC678" s="169"/>
      <c r="AD678" s="169"/>
      <c r="AE678" s="169"/>
      <c r="AF678" s="169"/>
      <c r="AG678" s="169"/>
      <c r="AH678" s="169"/>
      <c r="AI678" s="169"/>
      <c r="AJ678" s="169"/>
      <c r="AK678" s="169"/>
      <c r="AL678" s="169"/>
      <c r="AM678" s="169"/>
      <c r="AN678" s="169"/>
      <c r="AO678" s="169"/>
      <c r="AP678" s="169"/>
      <c r="AQ678" s="169"/>
      <c r="AR678" s="169"/>
      <c r="AS678" s="169"/>
      <c r="AT678" s="169"/>
      <c r="AU678" s="169"/>
      <c r="AV678" s="169"/>
      <c r="AW678" s="169"/>
      <c r="AX678" s="169"/>
      <c r="AY678" s="169"/>
      <c r="AZ678" s="169"/>
      <c r="BA678" s="169"/>
      <c r="BB678" s="169"/>
      <c r="BC678" s="169"/>
      <c r="BD678" s="169"/>
      <c r="BE678" s="169"/>
      <c r="BF678" s="169"/>
      <c r="BG678" s="169"/>
      <c r="BH678" s="169"/>
      <c r="BI678" s="169"/>
      <c r="BJ678" s="169"/>
    </row>
    <row r="679" spans="1:62" ht="36" x14ac:dyDescent="0.25">
      <c r="A679" s="169"/>
      <c r="B679" s="169"/>
      <c r="C679" s="169"/>
      <c r="D679" s="169"/>
      <c r="E679" s="169"/>
      <c r="F679" s="169"/>
      <c r="G679" s="169"/>
      <c r="H679" s="169"/>
      <c r="I679" s="169"/>
      <c r="J679" s="169"/>
      <c r="K679" s="169"/>
      <c r="L679" s="169"/>
      <c r="M679" s="169"/>
      <c r="N679" s="169"/>
      <c r="O679" s="169"/>
      <c r="P679" s="169"/>
      <c r="Q679" s="169"/>
      <c r="R679" s="169"/>
      <c r="S679" s="169"/>
      <c r="T679" s="169"/>
      <c r="U679" s="169"/>
      <c r="V679" s="169"/>
      <c r="W679" s="169"/>
      <c r="X679" s="169"/>
      <c r="Y679" s="169"/>
      <c r="Z679" s="169"/>
      <c r="AA679" s="169"/>
      <c r="AB679" s="169"/>
      <c r="AC679" s="169"/>
      <c r="AD679" s="169"/>
      <c r="AE679" s="169"/>
      <c r="AF679" s="169"/>
      <c r="AG679" s="169"/>
      <c r="AH679" s="169"/>
      <c r="AI679" s="169"/>
      <c r="AJ679" s="169"/>
      <c r="AK679" s="169"/>
      <c r="AL679" s="169"/>
      <c r="AM679" s="169"/>
      <c r="AN679" s="169"/>
      <c r="AO679" s="169"/>
      <c r="AP679" s="169"/>
      <c r="AQ679" s="169"/>
      <c r="AR679" s="169"/>
      <c r="AS679" s="169"/>
      <c r="AT679" s="169"/>
      <c r="AU679" s="169"/>
      <c r="AV679" s="169"/>
      <c r="AW679" s="169"/>
      <c r="AX679" s="169"/>
      <c r="AY679" s="169"/>
      <c r="AZ679" s="169"/>
      <c r="BA679" s="169"/>
      <c r="BB679" s="169"/>
      <c r="BC679" s="169"/>
      <c r="BD679" s="169"/>
      <c r="BE679" s="169"/>
      <c r="BF679" s="169"/>
      <c r="BG679" s="169"/>
      <c r="BH679" s="169"/>
      <c r="BI679" s="169"/>
      <c r="BJ679" s="169"/>
    </row>
    <row r="680" spans="1:62" x14ac:dyDescent="0.25">
      <c r="F680" s="194"/>
      <c r="G680" s="194"/>
    </row>
    <row r="682" spans="1:62" x14ac:dyDescent="0.25">
      <c r="A682" s="199"/>
      <c r="B682" s="136"/>
      <c r="C682" s="199"/>
      <c r="D682" s="199"/>
      <c r="E682" s="199"/>
      <c r="F682" s="199"/>
      <c r="G682" s="199"/>
      <c r="H682" s="199"/>
      <c r="I682" s="136"/>
      <c r="J682" s="199"/>
      <c r="K682" s="199"/>
      <c r="L682" s="199"/>
      <c r="M682" s="199"/>
      <c r="N682" s="136"/>
      <c r="O682" s="199"/>
      <c r="P682" s="199"/>
      <c r="Q682" s="199"/>
      <c r="R682" s="199"/>
      <c r="S682" s="136"/>
      <c r="T682" s="199"/>
      <c r="U682" s="199"/>
      <c r="V682" s="199"/>
      <c r="W682" s="199"/>
      <c r="X682" s="136"/>
      <c r="Y682" s="199"/>
      <c r="Z682" s="199"/>
      <c r="AA682" s="199"/>
      <c r="AB682" s="199"/>
      <c r="AC682" s="136"/>
      <c r="AD682" s="199"/>
      <c r="AE682" s="199"/>
      <c r="AF682" s="199"/>
      <c r="AG682" s="199"/>
      <c r="AH682" s="136"/>
      <c r="AI682" s="199"/>
      <c r="AJ682" s="199"/>
      <c r="AK682" s="199"/>
      <c r="AL682" s="199"/>
      <c r="AM682" s="136"/>
      <c r="AN682" s="199"/>
      <c r="AO682" s="199"/>
      <c r="AP682" s="199"/>
      <c r="AQ682" s="199"/>
      <c r="AR682" s="136"/>
      <c r="AS682" s="199"/>
      <c r="AT682" s="199"/>
      <c r="AU682" s="199"/>
      <c r="AV682" s="199"/>
      <c r="AW682" s="136"/>
      <c r="AX682" s="199"/>
      <c r="AY682" s="199"/>
      <c r="AZ682" s="199"/>
      <c r="BA682" s="199"/>
      <c r="BB682" s="136"/>
      <c r="BC682" s="199"/>
      <c r="BD682" s="199"/>
      <c r="BE682" s="199"/>
      <c r="BF682" s="199"/>
      <c r="BG682" s="136"/>
      <c r="BH682" s="199"/>
      <c r="BI682" s="199"/>
      <c r="BJ682" s="199"/>
    </row>
    <row r="683" spans="1:62" x14ac:dyDescent="0.25">
      <c r="A683" s="199"/>
      <c r="B683" s="136"/>
      <c r="C683" s="199"/>
      <c r="D683" s="199"/>
      <c r="E683" s="199"/>
      <c r="F683" s="199"/>
      <c r="G683" s="199"/>
      <c r="H683" s="199"/>
      <c r="I683" s="136"/>
      <c r="J683" s="199"/>
      <c r="K683" s="199"/>
      <c r="L683" s="199"/>
      <c r="M683" s="199"/>
      <c r="N683" s="136"/>
      <c r="O683" s="199"/>
      <c r="P683" s="199"/>
      <c r="Q683" s="199"/>
      <c r="R683" s="199"/>
      <c r="S683" s="136"/>
      <c r="T683" s="199"/>
      <c r="U683" s="199"/>
      <c r="V683" s="199"/>
      <c r="W683" s="199"/>
      <c r="X683" s="136"/>
      <c r="Y683" s="199"/>
      <c r="Z683" s="199"/>
      <c r="AA683" s="199"/>
      <c r="AB683" s="199"/>
      <c r="AC683" s="136"/>
      <c r="AD683" s="199"/>
      <c r="AE683" s="199"/>
      <c r="AF683" s="199"/>
      <c r="AG683" s="199"/>
      <c r="AH683" s="136"/>
      <c r="AI683" s="199"/>
      <c r="AJ683" s="199"/>
      <c r="AK683" s="199"/>
      <c r="AL683" s="199"/>
      <c r="AM683" s="136"/>
      <c r="AN683" s="199"/>
      <c r="AO683" s="199"/>
      <c r="AP683" s="199"/>
      <c r="AQ683" s="199"/>
      <c r="AR683" s="136"/>
      <c r="AS683" s="199"/>
      <c r="AT683" s="199"/>
      <c r="AU683" s="199"/>
      <c r="AV683" s="199"/>
      <c r="AW683" s="136"/>
      <c r="AX683" s="199"/>
      <c r="AY683" s="199"/>
      <c r="AZ683" s="199"/>
      <c r="BA683" s="199"/>
      <c r="BB683" s="136"/>
      <c r="BC683" s="199"/>
      <c r="BD683" s="199"/>
      <c r="BE683" s="199"/>
      <c r="BF683" s="199"/>
      <c r="BG683" s="136"/>
      <c r="BH683" s="199"/>
      <c r="BI683" s="199"/>
      <c r="BJ683" s="199"/>
    </row>
    <row r="684" spans="1:62" x14ac:dyDescent="0.25">
      <c r="A684" s="199"/>
      <c r="B684" s="136"/>
      <c r="C684" s="199"/>
      <c r="D684" s="199"/>
      <c r="E684" s="199"/>
      <c r="F684" s="199"/>
      <c r="G684" s="199"/>
      <c r="H684" s="199"/>
      <c r="I684" s="136"/>
      <c r="J684" s="199"/>
      <c r="K684" s="199"/>
      <c r="L684" s="199"/>
      <c r="M684" s="199"/>
      <c r="N684" s="136"/>
      <c r="O684" s="199"/>
      <c r="P684" s="199"/>
      <c r="Q684" s="199"/>
      <c r="R684" s="199"/>
      <c r="S684" s="136"/>
      <c r="T684" s="199"/>
      <c r="U684" s="199"/>
      <c r="V684" s="199"/>
      <c r="W684" s="199"/>
      <c r="X684" s="136"/>
      <c r="Y684" s="199"/>
      <c r="Z684" s="199"/>
      <c r="AA684" s="199"/>
      <c r="AB684" s="199"/>
      <c r="AC684" s="136"/>
      <c r="AD684" s="199"/>
      <c r="AE684" s="199"/>
      <c r="AF684" s="199"/>
      <c r="AG684" s="199"/>
      <c r="AH684" s="136"/>
      <c r="AI684" s="199"/>
      <c r="AJ684" s="199"/>
      <c r="AK684" s="199"/>
      <c r="AL684" s="199"/>
      <c r="AM684" s="136"/>
      <c r="AN684" s="199"/>
      <c r="AO684" s="199"/>
      <c r="AP684" s="199"/>
      <c r="AQ684" s="199"/>
      <c r="AR684" s="136"/>
      <c r="AS684" s="199"/>
      <c r="AT684" s="199"/>
      <c r="AU684" s="199"/>
      <c r="AV684" s="199"/>
      <c r="AW684" s="136"/>
      <c r="AX684" s="199"/>
      <c r="AY684" s="199"/>
      <c r="AZ684" s="199"/>
      <c r="BA684" s="199"/>
      <c r="BB684" s="136"/>
      <c r="BC684" s="199"/>
      <c r="BD684" s="199"/>
      <c r="BE684" s="199"/>
      <c r="BF684" s="199"/>
      <c r="BG684" s="136"/>
      <c r="BH684" s="199"/>
      <c r="BI684" s="199"/>
      <c r="BJ684" s="199"/>
    </row>
    <row r="685" spans="1:62" x14ac:dyDescent="0.25">
      <c r="A685" s="199"/>
      <c r="B685" s="136"/>
      <c r="C685" s="199"/>
      <c r="D685" s="199"/>
      <c r="E685" s="199"/>
      <c r="F685" s="199"/>
      <c r="G685" s="199"/>
      <c r="H685" s="199"/>
      <c r="I685" s="136"/>
      <c r="J685" s="199"/>
      <c r="K685" s="199"/>
      <c r="L685" s="199"/>
      <c r="M685" s="199"/>
      <c r="N685" s="136"/>
      <c r="O685" s="199"/>
      <c r="P685" s="199"/>
      <c r="Q685" s="199"/>
      <c r="R685" s="199"/>
      <c r="S685" s="136"/>
      <c r="T685" s="199"/>
      <c r="U685" s="199"/>
      <c r="V685" s="199"/>
      <c r="W685" s="199"/>
      <c r="X685" s="136"/>
      <c r="Y685" s="199"/>
      <c r="Z685" s="199"/>
      <c r="AA685" s="199"/>
      <c r="AB685" s="199"/>
      <c r="AC685" s="136"/>
      <c r="AD685" s="199"/>
      <c r="AE685" s="199"/>
      <c r="AF685" s="199"/>
      <c r="AG685" s="199"/>
      <c r="AH685" s="136"/>
      <c r="AI685" s="199"/>
      <c r="AJ685" s="199"/>
      <c r="AK685" s="199"/>
      <c r="AL685" s="199"/>
      <c r="AM685" s="136"/>
      <c r="AN685" s="199"/>
      <c r="AO685" s="199"/>
      <c r="AP685" s="199"/>
      <c r="AQ685" s="199"/>
      <c r="AR685" s="136"/>
      <c r="AS685" s="199"/>
      <c r="AT685" s="199"/>
      <c r="AU685" s="199"/>
      <c r="AV685" s="199"/>
      <c r="AW685" s="136"/>
      <c r="AX685" s="199"/>
      <c r="AY685" s="199"/>
      <c r="AZ685" s="199"/>
      <c r="BA685" s="199"/>
      <c r="BB685" s="136"/>
      <c r="BC685" s="199"/>
      <c r="BD685" s="199"/>
      <c r="BE685" s="199"/>
      <c r="BF685" s="199"/>
      <c r="BG685" s="136"/>
      <c r="BH685" s="199"/>
      <c r="BI685" s="199"/>
      <c r="BJ685" s="199"/>
    </row>
    <row r="686" spans="1:62" x14ac:dyDescent="0.25">
      <c r="A686" s="199"/>
      <c r="B686" s="136"/>
      <c r="C686" s="199"/>
      <c r="D686" s="199"/>
      <c r="E686" s="199"/>
      <c r="F686" s="199"/>
      <c r="G686" s="199"/>
      <c r="H686" s="199"/>
      <c r="I686" s="136"/>
      <c r="J686" s="199"/>
      <c r="K686" s="199"/>
      <c r="L686" s="199"/>
      <c r="M686" s="199"/>
      <c r="N686" s="136"/>
      <c r="O686" s="199"/>
      <c r="P686" s="199"/>
      <c r="Q686" s="199"/>
      <c r="R686" s="199"/>
      <c r="S686" s="136"/>
      <c r="T686" s="199"/>
      <c r="U686" s="199"/>
      <c r="V686" s="199"/>
      <c r="W686" s="199"/>
      <c r="X686" s="136"/>
      <c r="Y686" s="199"/>
      <c r="Z686" s="199"/>
      <c r="AA686" s="199"/>
      <c r="AB686" s="199"/>
      <c r="AC686" s="136"/>
      <c r="AD686" s="199"/>
      <c r="AE686" s="199"/>
      <c r="AF686" s="199"/>
      <c r="AG686" s="199"/>
      <c r="AH686" s="136"/>
      <c r="AI686" s="199"/>
      <c r="AJ686" s="199"/>
      <c r="AK686" s="199"/>
      <c r="AL686" s="199"/>
      <c r="AM686" s="136"/>
      <c r="AN686" s="199"/>
      <c r="AO686" s="199"/>
      <c r="AP686" s="199"/>
      <c r="AQ686" s="199"/>
      <c r="AR686" s="136"/>
      <c r="AS686" s="199"/>
      <c r="AT686" s="199"/>
      <c r="AU686" s="199"/>
      <c r="AV686" s="199"/>
      <c r="AW686" s="136"/>
      <c r="AX686" s="199"/>
      <c r="AY686" s="199"/>
      <c r="AZ686" s="199"/>
      <c r="BA686" s="199"/>
      <c r="BB686" s="136"/>
      <c r="BC686" s="199"/>
      <c r="BD686" s="199"/>
      <c r="BE686" s="199"/>
      <c r="BF686" s="199"/>
      <c r="BG686" s="136"/>
      <c r="BH686" s="199"/>
      <c r="BI686" s="199"/>
      <c r="BJ686" s="199"/>
    </row>
    <row r="687" spans="1:62" x14ac:dyDescent="0.25">
      <c r="A687" s="199"/>
      <c r="B687" s="136"/>
      <c r="C687" s="199"/>
      <c r="D687" s="199"/>
      <c r="E687" s="199"/>
      <c r="F687" s="199"/>
      <c r="G687" s="199"/>
      <c r="H687" s="199"/>
      <c r="I687" s="136"/>
      <c r="J687" s="199"/>
      <c r="K687" s="199"/>
      <c r="L687" s="199"/>
      <c r="M687" s="199"/>
      <c r="N687" s="136"/>
      <c r="O687" s="199"/>
      <c r="P687" s="199"/>
      <c r="Q687" s="199"/>
      <c r="R687" s="199"/>
      <c r="S687" s="136"/>
      <c r="T687" s="199"/>
      <c r="U687" s="199"/>
      <c r="V687" s="199"/>
      <c r="W687" s="199"/>
      <c r="X687" s="136"/>
      <c r="Y687" s="199"/>
      <c r="Z687" s="199"/>
      <c r="AA687" s="199"/>
      <c r="AB687" s="199"/>
      <c r="AC687" s="136"/>
      <c r="AD687" s="199"/>
      <c r="AE687" s="199"/>
      <c r="AF687" s="199"/>
      <c r="AG687" s="199"/>
      <c r="AH687" s="136"/>
      <c r="AI687" s="199"/>
      <c r="AJ687" s="199"/>
      <c r="AK687" s="199"/>
      <c r="AL687" s="199"/>
      <c r="AM687" s="136"/>
      <c r="AN687" s="199"/>
      <c r="AO687" s="199"/>
      <c r="AP687" s="199"/>
      <c r="AQ687" s="199"/>
      <c r="AR687" s="136"/>
      <c r="AS687" s="199"/>
      <c r="AT687" s="199"/>
      <c r="AU687" s="199"/>
      <c r="AV687" s="199"/>
      <c r="AW687" s="136"/>
      <c r="AX687" s="199"/>
      <c r="AY687" s="199"/>
      <c r="AZ687" s="199"/>
      <c r="BA687" s="199"/>
      <c r="BB687" s="136"/>
      <c r="BC687" s="199"/>
      <c r="BD687" s="199"/>
      <c r="BE687" s="199"/>
      <c r="BF687" s="199"/>
      <c r="BG687" s="136"/>
      <c r="BH687" s="199"/>
      <c r="BI687" s="199"/>
      <c r="BJ687" s="199"/>
    </row>
    <row r="688" spans="1:62" x14ac:dyDescent="0.25">
      <c r="A688" s="199"/>
      <c r="B688" s="136"/>
      <c r="C688" s="199"/>
      <c r="D688" s="199"/>
      <c r="E688" s="199"/>
      <c r="F688" s="199"/>
      <c r="G688" s="199"/>
      <c r="H688" s="199"/>
      <c r="I688" s="136"/>
      <c r="J688" s="199"/>
      <c r="K688" s="199"/>
      <c r="L688" s="199"/>
      <c r="M688" s="199"/>
      <c r="N688" s="136"/>
      <c r="O688" s="199"/>
      <c r="P688" s="199"/>
      <c r="Q688" s="199"/>
      <c r="R688" s="199"/>
      <c r="S688" s="136"/>
      <c r="T688" s="199"/>
      <c r="U688" s="199"/>
      <c r="V688" s="199"/>
      <c r="W688" s="199"/>
      <c r="X688" s="136"/>
      <c r="Y688" s="199"/>
      <c r="Z688" s="199"/>
      <c r="AA688" s="199"/>
      <c r="AB688" s="199"/>
      <c r="AC688" s="136"/>
      <c r="AD688" s="199"/>
      <c r="AE688" s="199"/>
      <c r="AF688" s="199"/>
      <c r="AG688" s="199"/>
      <c r="AH688" s="136"/>
      <c r="AI688" s="199"/>
      <c r="AJ688" s="199"/>
      <c r="AK688" s="199"/>
      <c r="AL688" s="199"/>
      <c r="AM688" s="136"/>
      <c r="AN688" s="199"/>
      <c r="AO688" s="199"/>
      <c r="AP688" s="199"/>
      <c r="AQ688" s="199"/>
      <c r="AR688" s="136"/>
      <c r="AS688" s="199"/>
      <c r="AT688" s="199"/>
      <c r="AU688" s="199"/>
      <c r="AV688" s="199"/>
      <c r="AW688" s="136"/>
      <c r="AX688" s="199"/>
      <c r="AY688" s="199"/>
      <c r="AZ688" s="199"/>
      <c r="BA688" s="199"/>
      <c r="BB688" s="136"/>
      <c r="BC688" s="199"/>
      <c r="BD688" s="199"/>
      <c r="BE688" s="199"/>
      <c r="BF688" s="199"/>
      <c r="BG688" s="136"/>
      <c r="BH688" s="199"/>
      <c r="BI688" s="199"/>
      <c r="BJ688" s="199"/>
    </row>
    <row r="689" spans="1:62" x14ac:dyDescent="0.25">
      <c r="A689" s="199"/>
      <c r="B689" s="136"/>
      <c r="C689" s="199"/>
      <c r="D689" s="199"/>
      <c r="E689" s="199"/>
      <c r="F689" s="199"/>
      <c r="G689" s="199"/>
      <c r="H689" s="199"/>
      <c r="I689" s="136"/>
      <c r="J689" s="199"/>
      <c r="K689" s="199"/>
      <c r="L689" s="199"/>
      <c r="M689" s="199"/>
      <c r="N689" s="136"/>
      <c r="O689" s="199"/>
      <c r="P689" s="199"/>
      <c r="Q689" s="199"/>
      <c r="R689" s="199"/>
      <c r="S689" s="136"/>
      <c r="T689" s="199"/>
      <c r="U689" s="199"/>
      <c r="V689" s="199"/>
      <c r="W689" s="199"/>
      <c r="X689" s="136"/>
      <c r="Y689" s="199"/>
      <c r="Z689" s="199"/>
      <c r="AA689" s="199"/>
      <c r="AB689" s="199"/>
      <c r="AC689" s="136"/>
      <c r="AD689" s="199"/>
      <c r="AE689" s="199"/>
      <c r="AF689" s="199"/>
      <c r="AG689" s="199"/>
      <c r="AH689" s="136"/>
      <c r="AI689" s="199"/>
      <c r="AJ689" s="199"/>
      <c r="AK689" s="199"/>
      <c r="AL689" s="199"/>
      <c r="AM689" s="136"/>
      <c r="AN689" s="199"/>
      <c r="AO689" s="199"/>
      <c r="AP689" s="199"/>
      <c r="AQ689" s="199"/>
      <c r="AR689" s="136"/>
      <c r="AS689" s="199"/>
      <c r="AT689" s="199"/>
      <c r="AU689" s="199"/>
      <c r="AV689" s="199"/>
      <c r="AW689" s="136"/>
      <c r="AX689" s="199"/>
      <c r="AY689" s="199"/>
      <c r="AZ689" s="199"/>
      <c r="BA689" s="199"/>
      <c r="BB689" s="136"/>
      <c r="BC689" s="199"/>
      <c r="BD689" s="199"/>
      <c r="BE689" s="199"/>
      <c r="BF689" s="199"/>
      <c r="BG689" s="136"/>
      <c r="BH689" s="199"/>
      <c r="BI689" s="199"/>
      <c r="BJ689" s="199"/>
    </row>
    <row r="693" spans="1:62" ht="36" x14ac:dyDescent="0.25">
      <c r="A693" s="169"/>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row>
    <row r="694" spans="1:62" x14ac:dyDescent="0.25">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row>
    <row r="695" spans="1:62" x14ac:dyDescent="0.25">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row>
    <row r="696" spans="1:62" ht="36" x14ac:dyDescent="0.25">
      <c r="A696" s="169"/>
      <c r="B696" s="169"/>
      <c r="C696" s="169"/>
      <c r="D696" s="169"/>
      <c r="E696" s="169"/>
      <c r="F696" s="169"/>
      <c r="G696" s="169"/>
      <c r="H696" s="169"/>
      <c r="I696" s="169"/>
      <c r="J696" s="169"/>
      <c r="K696" s="169"/>
      <c r="L696" s="169"/>
      <c r="M696" s="169"/>
      <c r="N696" s="169"/>
      <c r="O696" s="169"/>
      <c r="P696" s="169"/>
      <c r="Q696" s="169"/>
      <c r="R696" s="169"/>
      <c r="S696" s="169"/>
      <c r="T696" s="169"/>
      <c r="U696" s="169"/>
      <c r="V696" s="169"/>
      <c r="W696" s="169"/>
      <c r="X696" s="169"/>
      <c r="Y696" s="169"/>
      <c r="Z696" s="169"/>
      <c r="AA696" s="169"/>
      <c r="AB696" s="169"/>
      <c r="AC696" s="169"/>
      <c r="AD696" s="169"/>
      <c r="AE696" s="169"/>
      <c r="AF696" s="169"/>
      <c r="AG696" s="169"/>
      <c r="AH696" s="169"/>
      <c r="AI696" s="169"/>
      <c r="AJ696" s="169"/>
      <c r="AK696" s="169"/>
      <c r="AL696" s="169"/>
      <c r="AM696" s="169"/>
      <c r="AN696" s="169"/>
      <c r="AO696" s="169"/>
      <c r="AP696" s="169"/>
      <c r="AQ696" s="169"/>
      <c r="AR696" s="169"/>
      <c r="AS696" s="169"/>
      <c r="AT696" s="169"/>
      <c r="AU696" s="169"/>
      <c r="AV696" s="169"/>
      <c r="AW696" s="169"/>
      <c r="AX696" s="169"/>
      <c r="AY696" s="169"/>
      <c r="AZ696" s="169"/>
      <c r="BA696" s="169"/>
      <c r="BB696" s="169"/>
      <c r="BC696" s="169"/>
      <c r="BD696" s="169"/>
      <c r="BE696" s="169"/>
      <c r="BF696" s="169"/>
      <c r="BG696" s="169"/>
      <c r="BH696" s="169"/>
      <c r="BI696" s="169"/>
      <c r="BJ696" s="169"/>
    </row>
    <row r="697" spans="1:62" ht="36" x14ac:dyDescent="0.25">
      <c r="A697" s="169"/>
      <c r="B697" s="169"/>
      <c r="C697" s="169"/>
      <c r="D697" s="169"/>
      <c r="E697" s="169"/>
      <c r="F697" s="169"/>
      <c r="G697" s="169"/>
      <c r="H697" s="169"/>
      <c r="I697" s="169"/>
      <c r="J697" s="169"/>
      <c r="K697" s="169"/>
      <c r="L697" s="169"/>
      <c r="M697" s="169"/>
      <c r="N697" s="169"/>
      <c r="O697" s="169"/>
      <c r="P697" s="169"/>
      <c r="Q697" s="169"/>
      <c r="R697" s="169"/>
      <c r="S697" s="169"/>
      <c r="T697" s="169"/>
      <c r="U697" s="169"/>
      <c r="V697" s="169"/>
      <c r="W697" s="169"/>
      <c r="X697" s="169"/>
      <c r="Y697" s="169"/>
      <c r="Z697" s="169"/>
      <c r="AA697" s="169"/>
      <c r="AB697" s="169"/>
      <c r="AC697" s="169"/>
      <c r="AD697" s="169"/>
      <c r="AE697" s="169"/>
      <c r="AF697" s="169"/>
      <c r="AG697" s="169"/>
      <c r="AH697" s="169"/>
      <c r="AI697" s="169"/>
      <c r="AJ697" s="169"/>
      <c r="AK697" s="169"/>
      <c r="AL697" s="169"/>
      <c r="AM697" s="169"/>
      <c r="AN697" s="169"/>
      <c r="AO697" s="169"/>
      <c r="AP697" s="169"/>
      <c r="AQ697" s="169"/>
      <c r="AR697" s="169"/>
      <c r="AS697" s="169"/>
      <c r="AT697" s="169"/>
      <c r="AU697" s="169"/>
      <c r="AV697" s="169"/>
      <c r="AW697" s="169"/>
      <c r="AX697" s="169"/>
      <c r="AY697" s="169"/>
      <c r="AZ697" s="169"/>
      <c r="BA697" s="169"/>
      <c r="BB697" s="169"/>
      <c r="BC697" s="169"/>
      <c r="BD697" s="169"/>
      <c r="BE697" s="169"/>
      <c r="BF697" s="169"/>
      <c r="BG697" s="169"/>
      <c r="BH697" s="169"/>
      <c r="BI697" s="169"/>
      <c r="BJ697" s="169"/>
    </row>
    <row r="698" spans="1:62" ht="36" x14ac:dyDescent="0.25">
      <c r="A698" s="169"/>
      <c r="B698" s="169"/>
      <c r="C698" s="169"/>
      <c r="D698" s="169"/>
      <c r="E698" s="169"/>
      <c r="F698" s="169"/>
      <c r="G698" s="169"/>
      <c r="H698" s="169"/>
      <c r="I698" s="169"/>
      <c r="J698" s="169"/>
      <c r="K698" s="169"/>
      <c r="L698" s="169"/>
      <c r="M698" s="169"/>
      <c r="N698" s="169"/>
      <c r="O698" s="169"/>
      <c r="P698" s="169"/>
      <c r="Q698" s="169"/>
      <c r="R698" s="169"/>
      <c r="S698" s="169"/>
      <c r="T698" s="169"/>
      <c r="U698" s="169"/>
      <c r="V698" s="169"/>
      <c r="W698" s="169"/>
      <c r="X698" s="169"/>
      <c r="Y698" s="169"/>
      <c r="Z698" s="169"/>
      <c r="AA698" s="169"/>
      <c r="AB698" s="169"/>
      <c r="AC698" s="169"/>
      <c r="AD698" s="169"/>
      <c r="AE698" s="169"/>
      <c r="AF698" s="169"/>
      <c r="AG698" s="169"/>
      <c r="AH698" s="169"/>
      <c r="AI698" s="169"/>
      <c r="AJ698" s="169"/>
      <c r="AK698" s="169"/>
      <c r="AL698" s="169"/>
      <c r="AM698" s="169"/>
      <c r="AN698" s="169"/>
      <c r="AO698" s="169"/>
      <c r="AP698" s="169"/>
      <c r="AQ698" s="169"/>
      <c r="AR698" s="169"/>
      <c r="AS698" s="169"/>
      <c r="AT698" s="169"/>
      <c r="AU698" s="169"/>
      <c r="AV698" s="169"/>
      <c r="AW698" s="169"/>
      <c r="AX698" s="169"/>
      <c r="AY698" s="169"/>
      <c r="AZ698" s="169"/>
      <c r="BA698" s="169"/>
      <c r="BB698" s="169"/>
      <c r="BC698" s="169"/>
      <c r="BD698" s="169"/>
      <c r="BE698" s="169"/>
      <c r="BF698" s="169"/>
      <c r="BG698" s="169"/>
      <c r="BH698" s="169"/>
      <c r="BI698" s="169"/>
      <c r="BJ698" s="169"/>
    </row>
    <row r="699" spans="1:62" x14ac:dyDescent="0.25">
      <c r="F699" s="194"/>
      <c r="G699" s="194"/>
    </row>
    <row r="701" spans="1:62" x14ac:dyDescent="0.25">
      <c r="A701" s="199"/>
      <c r="B701" s="136"/>
      <c r="C701" s="199"/>
      <c r="D701" s="199"/>
      <c r="E701" s="199"/>
      <c r="F701" s="199"/>
      <c r="G701" s="199"/>
      <c r="H701" s="199"/>
      <c r="I701" s="136"/>
      <c r="J701" s="199"/>
      <c r="K701" s="199"/>
      <c r="L701" s="199"/>
      <c r="M701" s="199"/>
      <c r="N701" s="136"/>
      <c r="O701" s="199"/>
      <c r="P701" s="199"/>
      <c r="Q701" s="199"/>
      <c r="R701" s="199"/>
      <c r="S701" s="136"/>
      <c r="T701" s="199"/>
      <c r="U701" s="199"/>
      <c r="V701" s="199"/>
      <c r="W701" s="199"/>
      <c r="X701" s="136"/>
      <c r="Y701" s="199"/>
      <c r="Z701" s="199"/>
      <c r="AA701" s="199"/>
      <c r="AB701" s="199"/>
      <c r="AC701" s="136"/>
      <c r="AD701" s="199"/>
      <c r="AE701" s="199"/>
      <c r="AF701" s="199"/>
      <c r="AG701" s="199"/>
      <c r="AH701" s="136"/>
      <c r="AI701" s="199"/>
      <c r="AJ701" s="199"/>
      <c r="AK701" s="199"/>
      <c r="AL701" s="199"/>
      <c r="AM701" s="136"/>
      <c r="AN701" s="199"/>
      <c r="AO701" s="199"/>
      <c r="AP701" s="199"/>
      <c r="AQ701" s="199"/>
      <c r="AR701" s="136"/>
      <c r="AS701" s="199"/>
      <c r="AT701" s="199"/>
      <c r="AU701" s="199"/>
      <c r="AV701" s="199"/>
      <c r="AW701" s="136"/>
      <c r="AX701" s="199"/>
      <c r="AY701" s="199"/>
      <c r="AZ701" s="199"/>
      <c r="BA701" s="199"/>
      <c r="BB701" s="136"/>
      <c r="BC701" s="199"/>
      <c r="BD701" s="199"/>
      <c r="BE701" s="199"/>
      <c r="BF701" s="199"/>
      <c r="BG701" s="136"/>
      <c r="BH701" s="199"/>
      <c r="BI701" s="199"/>
      <c r="BJ701" s="199"/>
    </row>
    <row r="702" spans="1:62" x14ac:dyDescent="0.25">
      <c r="A702" s="199"/>
      <c r="B702" s="136"/>
      <c r="C702" s="199"/>
      <c r="D702" s="199"/>
      <c r="E702" s="199"/>
      <c r="F702" s="199"/>
      <c r="G702" s="199"/>
      <c r="H702" s="199"/>
      <c r="I702" s="136"/>
      <c r="J702" s="199"/>
      <c r="K702" s="199"/>
      <c r="L702" s="199"/>
      <c r="M702" s="199"/>
      <c r="N702" s="136"/>
      <c r="O702" s="199"/>
      <c r="P702" s="199"/>
      <c r="Q702" s="199"/>
      <c r="R702" s="199"/>
      <c r="S702" s="136"/>
      <c r="T702" s="199"/>
      <c r="U702" s="199"/>
      <c r="V702" s="199"/>
      <c r="W702" s="199"/>
      <c r="X702" s="136"/>
      <c r="Y702" s="199"/>
      <c r="Z702" s="199"/>
      <c r="AA702" s="199"/>
      <c r="AB702" s="199"/>
      <c r="AC702" s="136"/>
      <c r="AD702" s="199"/>
      <c r="AE702" s="199"/>
      <c r="AF702" s="199"/>
      <c r="AG702" s="199"/>
      <c r="AH702" s="136"/>
      <c r="AI702" s="199"/>
      <c r="AJ702" s="199"/>
      <c r="AK702" s="199"/>
      <c r="AL702" s="199"/>
      <c r="AM702" s="136"/>
      <c r="AN702" s="199"/>
      <c r="AO702" s="199"/>
      <c r="AP702" s="199"/>
      <c r="AQ702" s="199"/>
      <c r="AR702" s="136"/>
      <c r="AS702" s="199"/>
      <c r="AT702" s="199"/>
      <c r="AU702" s="199"/>
      <c r="AV702" s="199"/>
      <c r="AW702" s="136"/>
      <c r="AX702" s="199"/>
      <c r="AY702" s="199"/>
      <c r="AZ702" s="199"/>
      <c r="BA702" s="199"/>
      <c r="BB702" s="136"/>
      <c r="BC702" s="199"/>
      <c r="BD702" s="199"/>
      <c r="BE702" s="199"/>
      <c r="BF702" s="199"/>
      <c r="BG702" s="136"/>
      <c r="BH702" s="199"/>
      <c r="BI702" s="199"/>
      <c r="BJ702" s="199"/>
    </row>
    <row r="703" spans="1:62" x14ac:dyDescent="0.25">
      <c r="A703" s="199"/>
      <c r="B703" s="136"/>
      <c r="C703" s="199"/>
      <c r="D703" s="199"/>
      <c r="E703" s="199"/>
      <c r="F703" s="199"/>
      <c r="G703" s="199"/>
      <c r="H703" s="199"/>
      <c r="I703" s="136"/>
      <c r="J703" s="199"/>
      <c r="K703" s="199"/>
      <c r="L703" s="199"/>
      <c r="M703" s="199"/>
      <c r="N703" s="136"/>
      <c r="O703" s="199"/>
      <c r="P703" s="199"/>
      <c r="Q703" s="199"/>
      <c r="R703" s="199"/>
      <c r="S703" s="136"/>
      <c r="T703" s="199"/>
      <c r="U703" s="199"/>
      <c r="V703" s="199"/>
      <c r="W703" s="199"/>
      <c r="X703" s="136"/>
      <c r="Y703" s="199"/>
      <c r="Z703" s="199"/>
      <c r="AA703" s="199"/>
      <c r="AB703" s="199"/>
      <c r="AC703" s="136"/>
      <c r="AD703" s="199"/>
      <c r="AE703" s="199"/>
      <c r="AF703" s="199"/>
      <c r="AG703" s="199"/>
      <c r="AH703" s="136"/>
      <c r="AI703" s="199"/>
      <c r="AJ703" s="199"/>
      <c r="AK703" s="199"/>
      <c r="AL703" s="199"/>
      <c r="AM703" s="136"/>
      <c r="AN703" s="199"/>
      <c r="AO703" s="199"/>
      <c r="AP703" s="199"/>
      <c r="AQ703" s="199"/>
      <c r="AR703" s="136"/>
      <c r="AS703" s="199"/>
      <c r="AT703" s="199"/>
      <c r="AU703" s="199"/>
      <c r="AV703" s="199"/>
      <c r="AW703" s="136"/>
      <c r="AX703" s="199"/>
      <c r="AY703" s="199"/>
      <c r="AZ703" s="199"/>
      <c r="BA703" s="199"/>
      <c r="BB703" s="136"/>
      <c r="BC703" s="199"/>
      <c r="BD703" s="199"/>
      <c r="BE703" s="199"/>
      <c r="BF703" s="199"/>
      <c r="BG703" s="136"/>
      <c r="BH703" s="199"/>
      <c r="BI703" s="199"/>
      <c r="BJ703" s="199"/>
    </row>
    <row r="704" spans="1:62" x14ac:dyDescent="0.25">
      <c r="A704" s="199"/>
      <c r="B704" s="136"/>
      <c r="C704" s="199"/>
      <c r="D704" s="199"/>
      <c r="E704" s="199"/>
      <c r="F704" s="199"/>
      <c r="G704" s="199"/>
      <c r="H704" s="199"/>
      <c r="I704" s="136"/>
      <c r="J704" s="199"/>
      <c r="K704" s="199"/>
      <c r="L704" s="199"/>
      <c r="M704" s="199"/>
      <c r="N704" s="136"/>
      <c r="O704" s="199"/>
      <c r="P704" s="199"/>
      <c r="Q704" s="199"/>
      <c r="R704" s="199"/>
      <c r="S704" s="136"/>
      <c r="T704" s="199"/>
      <c r="U704" s="199"/>
      <c r="V704" s="199"/>
      <c r="W704" s="199"/>
      <c r="X704" s="136"/>
      <c r="Y704" s="199"/>
      <c r="Z704" s="199"/>
      <c r="AA704" s="199"/>
      <c r="AB704" s="199"/>
      <c r="AC704" s="136"/>
      <c r="AD704" s="199"/>
      <c r="AE704" s="199"/>
      <c r="AF704" s="199"/>
      <c r="AG704" s="199"/>
      <c r="AH704" s="136"/>
      <c r="AI704" s="199"/>
      <c r="AJ704" s="199"/>
      <c r="AK704" s="199"/>
      <c r="AL704" s="199"/>
      <c r="AM704" s="136"/>
      <c r="AN704" s="199"/>
      <c r="AO704" s="199"/>
      <c r="AP704" s="199"/>
      <c r="AQ704" s="199"/>
      <c r="AR704" s="136"/>
      <c r="AS704" s="199"/>
      <c r="AT704" s="199"/>
      <c r="AU704" s="199"/>
      <c r="AV704" s="199"/>
      <c r="AW704" s="136"/>
      <c r="AX704" s="199"/>
      <c r="AY704" s="199"/>
      <c r="AZ704" s="199"/>
      <c r="BA704" s="199"/>
      <c r="BB704" s="136"/>
      <c r="BC704" s="199"/>
      <c r="BD704" s="199"/>
      <c r="BE704" s="199"/>
      <c r="BF704" s="199"/>
      <c r="BG704" s="136"/>
      <c r="BH704" s="199"/>
      <c r="BI704" s="199"/>
      <c r="BJ704" s="199"/>
    </row>
    <row r="705" spans="1:62" x14ac:dyDescent="0.25">
      <c r="A705" s="199"/>
      <c r="B705" s="136"/>
      <c r="C705" s="199"/>
      <c r="D705" s="199"/>
      <c r="E705" s="199"/>
      <c r="F705" s="199"/>
      <c r="G705" s="199"/>
      <c r="H705" s="199"/>
      <c r="I705" s="136"/>
      <c r="J705" s="199"/>
      <c r="K705" s="199"/>
      <c r="L705" s="199"/>
      <c r="M705" s="199"/>
      <c r="N705" s="136"/>
      <c r="O705" s="199"/>
      <c r="P705" s="199"/>
      <c r="Q705" s="199"/>
      <c r="R705" s="199"/>
      <c r="S705" s="136"/>
      <c r="T705" s="199"/>
      <c r="U705" s="199"/>
      <c r="V705" s="199"/>
      <c r="W705" s="199"/>
      <c r="X705" s="136"/>
      <c r="Y705" s="199"/>
      <c r="Z705" s="199"/>
      <c r="AA705" s="199"/>
      <c r="AB705" s="199"/>
      <c r="AC705" s="136"/>
      <c r="AD705" s="199"/>
      <c r="AE705" s="199"/>
      <c r="AF705" s="199"/>
      <c r="AG705" s="199"/>
      <c r="AH705" s="136"/>
      <c r="AI705" s="199"/>
      <c r="AJ705" s="199"/>
      <c r="AK705" s="199"/>
      <c r="AL705" s="199"/>
      <c r="AM705" s="136"/>
      <c r="AN705" s="199"/>
      <c r="AO705" s="199"/>
      <c r="AP705" s="199"/>
      <c r="AQ705" s="199"/>
      <c r="AR705" s="136"/>
      <c r="AS705" s="199"/>
      <c r="AT705" s="199"/>
      <c r="AU705" s="199"/>
      <c r="AV705" s="199"/>
      <c r="AW705" s="136"/>
      <c r="AX705" s="199"/>
      <c r="AY705" s="199"/>
      <c r="AZ705" s="199"/>
      <c r="BA705" s="199"/>
      <c r="BB705" s="136"/>
      <c r="BC705" s="199"/>
      <c r="BD705" s="199"/>
      <c r="BE705" s="199"/>
      <c r="BF705" s="199"/>
      <c r="BG705" s="136"/>
      <c r="BH705" s="199"/>
      <c r="BI705" s="199"/>
      <c r="BJ705" s="199"/>
    </row>
    <row r="706" spans="1:62" x14ac:dyDescent="0.25">
      <c r="A706" s="199"/>
      <c r="B706" s="136"/>
      <c r="C706" s="199"/>
      <c r="D706" s="199"/>
      <c r="E706" s="199"/>
      <c r="F706" s="199"/>
      <c r="G706" s="199"/>
      <c r="H706" s="199"/>
      <c r="I706" s="136"/>
      <c r="J706" s="199"/>
      <c r="K706" s="199"/>
      <c r="L706" s="199"/>
      <c r="M706" s="199"/>
      <c r="N706" s="136"/>
      <c r="O706" s="199"/>
      <c r="P706" s="199"/>
      <c r="Q706" s="199"/>
      <c r="R706" s="199"/>
      <c r="S706" s="136"/>
      <c r="T706" s="199"/>
      <c r="U706" s="199"/>
      <c r="V706" s="199"/>
      <c r="W706" s="199"/>
      <c r="X706" s="136"/>
      <c r="Y706" s="199"/>
      <c r="Z706" s="199"/>
      <c r="AA706" s="199"/>
      <c r="AB706" s="199"/>
      <c r="AC706" s="136"/>
      <c r="AD706" s="199"/>
      <c r="AE706" s="199"/>
      <c r="AF706" s="199"/>
      <c r="AG706" s="199"/>
      <c r="AH706" s="136"/>
      <c r="AI706" s="199"/>
      <c r="AJ706" s="199"/>
      <c r="AK706" s="199"/>
      <c r="AL706" s="199"/>
      <c r="AM706" s="136"/>
      <c r="AN706" s="199"/>
      <c r="AO706" s="199"/>
      <c r="AP706" s="199"/>
      <c r="AQ706" s="199"/>
      <c r="AR706" s="136"/>
      <c r="AS706" s="199"/>
      <c r="AT706" s="199"/>
      <c r="AU706" s="199"/>
      <c r="AV706" s="199"/>
      <c r="AW706" s="136"/>
      <c r="AX706" s="199"/>
      <c r="AY706" s="199"/>
      <c r="AZ706" s="199"/>
      <c r="BA706" s="199"/>
      <c r="BB706" s="136"/>
      <c r="BC706" s="199"/>
      <c r="BD706" s="199"/>
      <c r="BE706" s="199"/>
      <c r="BF706" s="199"/>
      <c r="BG706" s="136"/>
      <c r="BH706" s="199"/>
      <c r="BI706" s="199"/>
      <c r="BJ706" s="199"/>
    </row>
    <row r="707" spans="1:62" x14ac:dyDescent="0.25">
      <c r="A707" s="199"/>
      <c r="B707" s="136"/>
      <c r="C707" s="199"/>
      <c r="D707" s="199"/>
      <c r="E707" s="199"/>
      <c r="F707" s="199"/>
      <c r="G707" s="199"/>
      <c r="H707" s="199"/>
      <c r="I707" s="136"/>
      <c r="J707" s="199"/>
      <c r="K707" s="199"/>
      <c r="L707" s="199"/>
      <c r="M707" s="199"/>
      <c r="N707" s="136"/>
      <c r="O707" s="199"/>
      <c r="P707" s="199"/>
      <c r="Q707" s="199"/>
      <c r="R707" s="199"/>
      <c r="S707" s="136"/>
      <c r="T707" s="199"/>
      <c r="U707" s="199"/>
      <c r="V707" s="199"/>
      <c r="W707" s="199"/>
      <c r="X707" s="136"/>
      <c r="Y707" s="199"/>
      <c r="Z707" s="199"/>
      <c r="AA707" s="199"/>
      <c r="AB707" s="199"/>
      <c r="AC707" s="136"/>
      <c r="AD707" s="199"/>
      <c r="AE707" s="199"/>
      <c r="AF707" s="199"/>
      <c r="AG707" s="199"/>
      <c r="AH707" s="136"/>
      <c r="AI707" s="199"/>
      <c r="AJ707" s="199"/>
      <c r="AK707" s="199"/>
      <c r="AL707" s="199"/>
      <c r="AM707" s="136"/>
      <c r="AN707" s="199"/>
      <c r="AO707" s="199"/>
      <c r="AP707" s="199"/>
      <c r="AQ707" s="199"/>
      <c r="AR707" s="136"/>
      <c r="AS707" s="199"/>
      <c r="AT707" s="199"/>
      <c r="AU707" s="199"/>
      <c r="AV707" s="199"/>
      <c r="AW707" s="136"/>
      <c r="AX707" s="199"/>
      <c r="AY707" s="199"/>
      <c r="AZ707" s="199"/>
      <c r="BA707" s="199"/>
      <c r="BB707" s="136"/>
      <c r="BC707" s="199"/>
      <c r="BD707" s="199"/>
      <c r="BE707" s="199"/>
      <c r="BF707" s="199"/>
      <c r="BG707" s="136"/>
      <c r="BH707" s="199"/>
      <c r="BI707" s="199"/>
      <c r="BJ707" s="199"/>
    </row>
    <row r="708" spans="1:62" x14ac:dyDescent="0.25">
      <c r="A708" s="199"/>
      <c r="B708" s="136"/>
      <c r="C708" s="199"/>
      <c r="D708" s="199"/>
      <c r="E708" s="199"/>
      <c r="F708" s="199"/>
      <c r="G708" s="199"/>
      <c r="H708" s="199"/>
      <c r="I708" s="136"/>
      <c r="J708" s="199"/>
      <c r="K708" s="199"/>
      <c r="L708" s="199"/>
      <c r="M708" s="199"/>
      <c r="N708" s="136"/>
      <c r="O708" s="199"/>
      <c r="P708" s="199"/>
      <c r="Q708" s="199"/>
      <c r="R708" s="199"/>
      <c r="S708" s="136"/>
      <c r="T708" s="199"/>
      <c r="U708" s="199"/>
      <c r="V708" s="199"/>
      <c r="W708" s="199"/>
      <c r="X708" s="136"/>
      <c r="Y708" s="199"/>
      <c r="Z708" s="199"/>
      <c r="AA708" s="199"/>
      <c r="AB708" s="199"/>
      <c r="AC708" s="136"/>
      <c r="AD708" s="199"/>
      <c r="AE708" s="199"/>
      <c r="AF708" s="199"/>
      <c r="AG708" s="199"/>
      <c r="AH708" s="136"/>
      <c r="AI708" s="199"/>
      <c r="AJ708" s="199"/>
      <c r="AK708" s="199"/>
      <c r="AL708" s="199"/>
      <c r="AM708" s="136"/>
      <c r="AN708" s="199"/>
      <c r="AO708" s="199"/>
      <c r="AP708" s="199"/>
      <c r="AQ708" s="199"/>
      <c r="AR708" s="136"/>
      <c r="AS708" s="199"/>
      <c r="AT708" s="199"/>
      <c r="AU708" s="199"/>
      <c r="AV708" s="199"/>
      <c r="AW708" s="136"/>
      <c r="AX708" s="199"/>
      <c r="AY708" s="199"/>
      <c r="AZ708" s="199"/>
      <c r="BA708" s="199"/>
      <c r="BB708" s="136"/>
      <c r="BC708" s="199"/>
      <c r="BD708" s="199"/>
      <c r="BE708" s="199"/>
      <c r="BF708" s="199"/>
      <c r="BG708" s="136"/>
      <c r="BH708" s="199"/>
      <c r="BI708" s="199"/>
      <c r="BJ708" s="199"/>
    </row>
    <row r="712" spans="1:62" ht="36" x14ac:dyDescent="0.25">
      <c r="A712" s="169"/>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row>
    <row r="713" spans="1:62" x14ac:dyDescent="0.25">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row>
    <row r="714" spans="1:62" x14ac:dyDescent="0.25">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row>
    <row r="715" spans="1:62" ht="36" x14ac:dyDescent="0.25">
      <c r="A715" s="169"/>
      <c r="B715" s="169"/>
      <c r="C715" s="169"/>
      <c r="D715" s="169"/>
      <c r="E715" s="169"/>
      <c r="F715" s="169"/>
      <c r="G715" s="169"/>
      <c r="H715" s="169"/>
      <c r="I715" s="169"/>
      <c r="J715" s="169"/>
      <c r="K715" s="169"/>
      <c r="L715" s="169"/>
      <c r="M715" s="169"/>
      <c r="N715" s="169"/>
      <c r="O715" s="169"/>
      <c r="P715" s="169"/>
      <c r="Q715" s="169"/>
      <c r="R715" s="169"/>
      <c r="S715" s="169"/>
      <c r="T715" s="169"/>
      <c r="U715" s="169"/>
      <c r="V715" s="169"/>
      <c r="W715" s="169"/>
      <c r="X715" s="169"/>
      <c r="Y715" s="169"/>
      <c r="Z715" s="169"/>
      <c r="AA715" s="169"/>
      <c r="AB715" s="169"/>
      <c r="AC715" s="169"/>
      <c r="AD715" s="169"/>
      <c r="AE715" s="169"/>
      <c r="AF715" s="169"/>
      <c r="AG715" s="169"/>
      <c r="AH715" s="169"/>
      <c r="AI715" s="169"/>
      <c r="AJ715" s="169"/>
      <c r="AK715" s="169"/>
      <c r="AL715" s="169"/>
      <c r="AM715" s="169"/>
      <c r="AN715" s="169"/>
      <c r="AO715" s="169"/>
      <c r="AP715" s="169"/>
      <c r="AQ715" s="169"/>
      <c r="AR715" s="169"/>
      <c r="AS715" s="169"/>
      <c r="AT715" s="169"/>
      <c r="AU715" s="169"/>
      <c r="AV715" s="169"/>
      <c r="AW715" s="169"/>
      <c r="AX715" s="169"/>
      <c r="AY715" s="169"/>
      <c r="AZ715" s="169"/>
      <c r="BA715" s="169"/>
      <c r="BB715" s="169"/>
      <c r="BC715" s="169"/>
      <c r="BD715" s="169"/>
      <c r="BE715" s="169"/>
      <c r="BF715" s="169"/>
      <c r="BG715" s="169"/>
      <c r="BH715" s="169"/>
      <c r="BI715" s="169"/>
      <c r="BJ715" s="169"/>
    </row>
    <row r="716" spans="1:62" ht="36" x14ac:dyDescent="0.25">
      <c r="A716" s="169"/>
      <c r="B716" s="169"/>
      <c r="C716" s="169"/>
      <c r="D716" s="169"/>
      <c r="E716" s="169"/>
      <c r="F716" s="169"/>
      <c r="G716" s="169"/>
      <c r="H716" s="169"/>
      <c r="I716" s="169"/>
      <c r="J716" s="169"/>
      <c r="K716" s="169"/>
      <c r="L716" s="169"/>
      <c r="M716" s="169"/>
      <c r="N716" s="169"/>
      <c r="O716" s="169"/>
      <c r="P716" s="169"/>
      <c r="Q716" s="169"/>
      <c r="R716" s="169"/>
      <c r="S716" s="169"/>
      <c r="T716" s="169"/>
      <c r="U716" s="169"/>
      <c r="V716" s="169"/>
      <c r="W716" s="169"/>
      <c r="X716" s="169"/>
      <c r="Y716" s="169"/>
      <c r="Z716" s="169"/>
      <c r="AA716" s="169"/>
      <c r="AB716" s="169"/>
      <c r="AC716" s="169"/>
      <c r="AD716" s="169"/>
      <c r="AE716" s="169"/>
      <c r="AF716" s="169"/>
      <c r="AG716" s="169"/>
      <c r="AH716" s="169"/>
      <c r="AI716" s="169"/>
      <c r="AJ716" s="169"/>
      <c r="AK716" s="169"/>
      <c r="AL716" s="169"/>
      <c r="AM716" s="169"/>
      <c r="AN716" s="169"/>
      <c r="AO716" s="169"/>
      <c r="AP716" s="169"/>
      <c r="AQ716" s="169"/>
      <c r="AR716" s="169"/>
      <c r="AS716" s="169"/>
      <c r="AT716" s="169"/>
      <c r="AU716" s="169"/>
      <c r="AV716" s="169"/>
      <c r="AW716" s="169"/>
      <c r="AX716" s="169"/>
      <c r="AY716" s="169"/>
      <c r="AZ716" s="169"/>
      <c r="BA716" s="169"/>
      <c r="BB716" s="169"/>
      <c r="BC716" s="169"/>
      <c r="BD716" s="169"/>
      <c r="BE716" s="169"/>
      <c r="BF716" s="169"/>
      <c r="BG716" s="169"/>
      <c r="BH716" s="169"/>
      <c r="BI716" s="169"/>
      <c r="BJ716" s="169"/>
    </row>
    <row r="717" spans="1:62" ht="36" x14ac:dyDescent="0.25">
      <c r="A717" s="169"/>
      <c r="B717" s="169"/>
      <c r="C717" s="169"/>
      <c r="D717" s="169"/>
      <c r="E717" s="169"/>
      <c r="F717" s="169"/>
      <c r="G717" s="169"/>
      <c r="H717" s="169"/>
      <c r="I717" s="169"/>
      <c r="J717" s="169"/>
      <c r="K717" s="169"/>
      <c r="L717" s="169"/>
      <c r="M717" s="169"/>
      <c r="N717" s="169"/>
      <c r="O717" s="169"/>
      <c r="P717" s="169"/>
      <c r="Q717" s="169"/>
      <c r="R717" s="169"/>
      <c r="S717" s="169"/>
      <c r="T717" s="169"/>
      <c r="U717" s="169"/>
      <c r="V717" s="169"/>
      <c r="W717" s="169"/>
      <c r="X717" s="169"/>
      <c r="Y717" s="169"/>
      <c r="Z717" s="169"/>
      <c r="AA717" s="169"/>
      <c r="AB717" s="169"/>
      <c r="AC717" s="169"/>
      <c r="AD717" s="169"/>
      <c r="AE717" s="169"/>
      <c r="AF717" s="169"/>
      <c r="AG717" s="169"/>
      <c r="AH717" s="169"/>
      <c r="AI717" s="169"/>
      <c r="AJ717" s="169"/>
      <c r="AK717" s="169"/>
      <c r="AL717" s="169"/>
      <c r="AM717" s="169"/>
      <c r="AN717" s="169"/>
      <c r="AO717" s="169"/>
      <c r="AP717" s="169"/>
      <c r="AQ717" s="169"/>
      <c r="AR717" s="169"/>
      <c r="AS717" s="169"/>
      <c r="AT717" s="169"/>
      <c r="AU717" s="169"/>
      <c r="AV717" s="169"/>
      <c r="AW717" s="169"/>
      <c r="AX717" s="169"/>
      <c r="AY717" s="169"/>
      <c r="AZ717" s="169"/>
      <c r="BA717" s="169"/>
      <c r="BB717" s="169"/>
      <c r="BC717" s="169"/>
      <c r="BD717" s="169"/>
      <c r="BE717" s="169"/>
      <c r="BF717" s="169"/>
      <c r="BG717" s="169"/>
      <c r="BH717" s="169"/>
      <c r="BI717" s="169"/>
      <c r="BJ717" s="169"/>
    </row>
    <row r="718" spans="1:62" x14ac:dyDescent="0.25">
      <c r="F718" s="194"/>
      <c r="G718" s="194"/>
    </row>
    <row r="720" spans="1:62" x14ac:dyDescent="0.25">
      <c r="A720" s="199"/>
      <c r="B720" s="136"/>
      <c r="C720" s="199"/>
      <c r="D720" s="199"/>
      <c r="E720" s="199"/>
      <c r="F720" s="199"/>
      <c r="G720" s="199"/>
      <c r="H720" s="199"/>
      <c r="I720" s="136"/>
      <c r="J720" s="199"/>
      <c r="K720" s="199"/>
      <c r="L720" s="199"/>
      <c r="M720" s="199"/>
      <c r="N720" s="136"/>
      <c r="O720" s="199"/>
      <c r="P720" s="199"/>
      <c r="Q720" s="199"/>
      <c r="R720" s="199"/>
      <c r="S720" s="136"/>
      <c r="T720" s="199"/>
      <c r="U720" s="199"/>
      <c r="V720" s="199"/>
      <c r="W720" s="199"/>
      <c r="X720" s="136"/>
      <c r="Y720" s="199"/>
      <c r="Z720" s="199"/>
      <c r="AA720" s="199"/>
      <c r="AB720" s="199"/>
      <c r="AC720" s="136"/>
      <c r="AD720" s="199"/>
      <c r="AE720" s="199"/>
      <c r="AF720" s="199"/>
      <c r="AG720" s="199"/>
      <c r="AH720" s="136"/>
      <c r="AI720" s="199"/>
      <c r="AJ720" s="199"/>
      <c r="AK720" s="199"/>
      <c r="AL720" s="199"/>
      <c r="AM720" s="136"/>
      <c r="AN720" s="199"/>
      <c r="AO720" s="199"/>
      <c r="AP720" s="199"/>
      <c r="AQ720" s="199"/>
      <c r="AR720" s="136"/>
      <c r="AS720" s="199"/>
      <c r="AT720" s="199"/>
      <c r="AU720" s="199"/>
      <c r="AV720" s="199"/>
      <c r="AW720" s="136"/>
      <c r="AX720" s="199"/>
      <c r="AY720" s="199"/>
      <c r="AZ720" s="199"/>
      <c r="BA720" s="199"/>
      <c r="BB720" s="136"/>
      <c r="BC720" s="199"/>
      <c r="BD720" s="199"/>
      <c r="BE720" s="199"/>
      <c r="BF720" s="199"/>
      <c r="BG720" s="136"/>
      <c r="BH720" s="199"/>
      <c r="BI720" s="199"/>
      <c r="BJ720" s="199"/>
    </row>
    <row r="721" spans="1:62" x14ac:dyDescent="0.25">
      <c r="A721" s="199"/>
      <c r="B721" s="136"/>
      <c r="C721" s="199"/>
      <c r="D721" s="199"/>
      <c r="E721" s="199"/>
      <c r="F721" s="199"/>
      <c r="G721" s="199"/>
      <c r="H721" s="199"/>
      <c r="I721" s="136"/>
      <c r="J721" s="199"/>
      <c r="K721" s="199"/>
      <c r="L721" s="199"/>
      <c r="M721" s="199"/>
      <c r="N721" s="136"/>
      <c r="O721" s="199"/>
      <c r="P721" s="199"/>
      <c r="Q721" s="199"/>
      <c r="R721" s="199"/>
      <c r="S721" s="136"/>
      <c r="T721" s="199"/>
      <c r="U721" s="199"/>
      <c r="V721" s="199"/>
      <c r="W721" s="199"/>
      <c r="X721" s="136"/>
      <c r="Y721" s="199"/>
      <c r="Z721" s="199"/>
      <c r="AA721" s="199"/>
      <c r="AB721" s="199"/>
      <c r="AC721" s="136"/>
      <c r="AD721" s="199"/>
      <c r="AE721" s="199"/>
      <c r="AF721" s="199"/>
      <c r="AG721" s="199"/>
      <c r="AH721" s="136"/>
      <c r="AI721" s="199"/>
      <c r="AJ721" s="199"/>
      <c r="AK721" s="199"/>
      <c r="AL721" s="199"/>
      <c r="AM721" s="136"/>
      <c r="AN721" s="199"/>
      <c r="AO721" s="199"/>
      <c r="AP721" s="199"/>
      <c r="AQ721" s="199"/>
      <c r="AR721" s="136"/>
      <c r="AS721" s="199"/>
      <c r="AT721" s="199"/>
      <c r="AU721" s="199"/>
      <c r="AV721" s="199"/>
      <c r="AW721" s="136"/>
      <c r="AX721" s="199"/>
      <c r="AY721" s="199"/>
      <c r="AZ721" s="199"/>
      <c r="BA721" s="199"/>
      <c r="BB721" s="136"/>
      <c r="BC721" s="199"/>
      <c r="BD721" s="199"/>
      <c r="BE721" s="199"/>
      <c r="BF721" s="199"/>
      <c r="BG721" s="136"/>
      <c r="BH721" s="199"/>
      <c r="BI721" s="199"/>
      <c r="BJ721" s="199"/>
    </row>
    <row r="722" spans="1:62" x14ac:dyDescent="0.25">
      <c r="A722" s="199"/>
      <c r="B722" s="136"/>
      <c r="C722" s="199"/>
      <c r="D722" s="199"/>
      <c r="E722" s="199"/>
      <c r="F722" s="199"/>
      <c r="G722" s="199"/>
      <c r="H722" s="199"/>
      <c r="I722" s="136"/>
      <c r="J722" s="199"/>
      <c r="K722" s="199"/>
      <c r="L722" s="199"/>
      <c r="M722" s="199"/>
      <c r="N722" s="136"/>
      <c r="O722" s="199"/>
      <c r="P722" s="199"/>
      <c r="Q722" s="199"/>
      <c r="R722" s="199"/>
      <c r="S722" s="136"/>
      <c r="T722" s="199"/>
      <c r="U722" s="199"/>
      <c r="V722" s="199"/>
      <c r="W722" s="199"/>
      <c r="X722" s="136"/>
      <c r="Y722" s="199"/>
      <c r="Z722" s="199"/>
      <c r="AA722" s="199"/>
      <c r="AB722" s="199"/>
      <c r="AC722" s="136"/>
      <c r="AD722" s="199"/>
      <c r="AE722" s="199"/>
      <c r="AF722" s="199"/>
      <c r="AG722" s="199"/>
      <c r="AH722" s="136"/>
      <c r="AI722" s="199"/>
      <c r="AJ722" s="199"/>
      <c r="AK722" s="199"/>
      <c r="AL722" s="199"/>
      <c r="AM722" s="136"/>
      <c r="AN722" s="199"/>
      <c r="AO722" s="199"/>
      <c r="AP722" s="199"/>
      <c r="AQ722" s="199"/>
      <c r="AR722" s="136"/>
      <c r="AS722" s="199"/>
      <c r="AT722" s="199"/>
      <c r="AU722" s="199"/>
      <c r="AV722" s="199"/>
      <c r="AW722" s="136"/>
      <c r="AX722" s="199"/>
      <c r="AY722" s="199"/>
      <c r="AZ722" s="199"/>
      <c r="BA722" s="199"/>
      <c r="BB722" s="136"/>
      <c r="BC722" s="199"/>
      <c r="BD722" s="199"/>
      <c r="BE722" s="199"/>
      <c r="BF722" s="199"/>
      <c r="BG722" s="136"/>
      <c r="BH722" s="199"/>
      <c r="BI722" s="199"/>
      <c r="BJ722" s="199"/>
    </row>
    <row r="723" spans="1:62" x14ac:dyDescent="0.25">
      <c r="A723" s="199"/>
      <c r="B723" s="136"/>
      <c r="C723" s="199"/>
      <c r="D723" s="199"/>
      <c r="E723" s="199"/>
      <c r="F723" s="199"/>
      <c r="G723" s="199"/>
      <c r="H723" s="199"/>
      <c r="I723" s="136"/>
      <c r="J723" s="199"/>
      <c r="K723" s="199"/>
      <c r="L723" s="199"/>
      <c r="M723" s="199"/>
      <c r="N723" s="136"/>
      <c r="O723" s="199"/>
      <c r="P723" s="199"/>
      <c r="Q723" s="199"/>
      <c r="R723" s="199"/>
      <c r="S723" s="136"/>
      <c r="T723" s="199"/>
      <c r="U723" s="199"/>
      <c r="V723" s="199"/>
      <c r="W723" s="199"/>
      <c r="X723" s="136"/>
      <c r="Y723" s="199"/>
      <c r="Z723" s="199"/>
      <c r="AA723" s="199"/>
      <c r="AB723" s="199"/>
      <c r="AC723" s="136"/>
      <c r="AD723" s="199"/>
      <c r="AE723" s="199"/>
      <c r="AF723" s="199"/>
      <c r="AG723" s="199"/>
      <c r="AH723" s="136"/>
      <c r="AI723" s="199"/>
      <c r="AJ723" s="199"/>
      <c r="AK723" s="199"/>
      <c r="AL723" s="199"/>
      <c r="AM723" s="136"/>
      <c r="AN723" s="199"/>
      <c r="AO723" s="199"/>
      <c r="AP723" s="199"/>
      <c r="AQ723" s="199"/>
      <c r="AR723" s="136"/>
      <c r="AS723" s="199"/>
      <c r="AT723" s="199"/>
      <c r="AU723" s="199"/>
      <c r="AV723" s="199"/>
      <c r="AW723" s="136"/>
      <c r="AX723" s="199"/>
      <c r="AY723" s="199"/>
      <c r="AZ723" s="199"/>
      <c r="BA723" s="199"/>
      <c r="BB723" s="136"/>
      <c r="BC723" s="199"/>
      <c r="BD723" s="199"/>
      <c r="BE723" s="199"/>
      <c r="BF723" s="199"/>
      <c r="BG723" s="136"/>
      <c r="BH723" s="199"/>
      <c r="BI723" s="199"/>
      <c r="BJ723" s="199"/>
    </row>
    <row r="724" spans="1:62" x14ac:dyDescent="0.25">
      <c r="A724" s="199"/>
      <c r="B724" s="136"/>
      <c r="C724" s="199"/>
      <c r="D724" s="199"/>
      <c r="E724" s="199"/>
      <c r="F724" s="199"/>
      <c r="G724" s="199"/>
      <c r="H724" s="199"/>
      <c r="I724" s="136"/>
      <c r="J724" s="199"/>
      <c r="K724" s="199"/>
      <c r="L724" s="199"/>
      <c r="M724" s="199"/>
      <c r="N724" s="136"/>
      <c r="O724" s="199"/>
      <c r="P724" s="199"/>
      <c r="Q724" s="199"/>
      <c r="R724" s="199"/>
      <c r="S724" s="136"/>
      <c r="T724" s="199"/>
      <c r="U724" s="199"/>
      <c r="V724" s="199"/>
      <c r="W724" s="199"/>
      <c r="X724" s="136"/>
      <c r="Y724" s="199"/>
      <c r="Z724" s="199"/>
      <c r="AA724" s="199"/>
      <c r="AB724" s="199"/>
      <c r="AC724" s="136"/>
      <c r="AD724" s="199"/>
      <c r="AE724" s="199"/>
      <c r="AF724" s="199"/>
      <c r="AG724" s="199"/>
      <c r="AH724" s="136"/>
      <c r="AI724" s="199"/>
      <c r="AJ724" s="199"/>
      <c r="AK724" s="199"/>
      <c r="AL724" s="199"/>
      <c r="AM724" s="136"/>
      <c r="AN724" s="199"/>
      <c r="AO724" s="199"/>
      <c r="AP724" s="199"/>
      <c r="AQ724" s="199"/>
      <c r="AR724" s="136"/>
      <c r="AS724" s="199"/>
      <c r="AT724" s="199"/>
      <c r="AU724" s="199"/>
      <c r="AV724" s="199"/>
      <c r="AW724" s="136"/>
      <c r="AX724" s="199"/>
      <c r="AY724" s="199"/>
      <c r="AZ724" s="199"/>
      <c r="BA724" s="199"/>
      <c r="BB724" s="136"/>
      <c r="BC724" s="199"/>
      <c r="BD724" s="199"/>
      <c r="BE724" s="199"/>
      <c r="BF724" s="199"/>
      <c r="BG724" s="136"/>
      <c r="BH724" s="199"/>
      <c r="BI724" s="199"/>
      <c r="BJ724" s="199"/>
    </row>
    <row r="725" spans="1:62" x14ac:dyDescent="0.25">
      <c r="A725" s="199"/>
      <c r="B725" s="136"/>
      <c r="C725" s="199"/>
      <c r="D725" s="199"/>
      <c r="E725" s="199"/>
      <c r="F725" s="199"/>
      <c r="G725" s="199"/>
      <c r="H725" s="199"/>
      <c r="I725" s="136"/>
      <c r="J725" s="199"/>
      <c r="K725" s="199"/>
      <c r="L725" s="199"/>
      <c r="M725" s="199"/>
      <c r="N725" s="136"/>
      <c r="O725" s="199"/>
      <c r="P725" s="199"/>
      <c r="Q725" s="199"/>
      <c r="R725" s="199"/>
      <c r="S725" s="136"/>
      <c r="T725" s="199"/>
      <c r="U725" s="199"/>
      <c r="V725" s="199"/>
      <c r="W725" s="199"/>
      <c r="X725" s="136"/>
      <c r="Y725" s="199"/>
      <c r="Z725" s="199"/>
      <c r="AA725" s="199"/>
      <c r="AB725" s="199"/>
      <c r="AC725" s="136"/>
      <c r="AD725" s="199"/>
      <c r="AE725" s="199"/>
      <c r="AF725" s="199"/>
      <c r="AG725" s="199"/>
      <c r="AH725" s="136"/>
      <c r="AI725" s="199"/>
      <c r="AJ725" s="199"/>
      <c r="AK725" s="199"/>
      <c r="AL725" s="199"/>
      <c r="AM725" s="136"/>
      <c r="AN725" s="199"/>
      <c r="AO725" s="199"/>
      <c r="AP725" s="199"/>
      <c r="AQ725" s="199"/>
      <c r="AR725" s="136"/>
      <c r="AS725" s="199"/>
      <c r="AT725" s="199"/>
      <c r="AU725" s="199"/>
      <c r="AV725" s="199"/>
      <c r="AW725" s="136"/>
      <c r="AX725" s="199"/>
      <c r="AY725" s="199"/>
      <c r="AZ725" s="199"/>
      <c r="BA725" s="199"/>
      <c r="BB725" s="136"/>
      <c r="BC725" s="199"/>
      <c r="BD725" s="199"/>
      <c r="BE725" s="199"/>
      <c r="BF725" s="199"/>
      <c r="BG725" s="136"/>
      <c r="BH725" s="199"/>
      <c r="BI725" s="199"/>
      <c r="BJ725" s="199"/>
    </row>
    <row r="726" spans="1:62" x14ac:dyDescent="0.25">
      <c r="A726" s="199"/>
      <c r="B726" s="136"/>
      <c r="C726" s="199"/>
      <c r="D726" s="199"/>
      <c r="E726" s="199"/>
      <c r="F726" s="199"/>
      <c r="G726" s="199"/>
      <c r="H726" s="199"/>
      <c r="I726" s="136"/>
      <c r="J726" s="199"/>
      <c r="K726" s="199"/>
      <c r="L726" s="199"/>
      <c r="M726" s="199"/>
      <c r="N726" s="136"/>
      <c r="O726" s="199"/>
      <c r="P726" s="199"/>
      <c r="Q726" s="199"/>
      <c r="R726" s="199"/>
      <c r="S726" s="136"/>
      <c r="T726" s="199"/>
      <c r="U726" s="199"/>
      <c r="V726" s="199"/>
      <c r="W726" s="199"/>
      <c r="X726" s="136"/>
      <c r="Y726" s="199"/>
      <c r="Z726" s="199"/>
      <c r="AA726" s="199"/>
      <c r="AB726" s="199"/>
      <c r="AC726" s="136"/>
      <c r="AD726" s="199"/>
      <c r="AE726" s="199"/>
      <c r="AF726" s="199"/>
      <c r="AG726" s="199"/>
      <c r="AH726" s="136"/>
      <c r="AI726" s="199"/>
      <c r="AJ726" s="199"/>
      <c r="AK726" s="199"/>
      <c r="AL726" s="199"/>
      <c r="AM726" s="136"/>
      <c r="AN726" s="199"/>
      <c r="AO726" s="199"/>
      <c r="AP726" s="199"/>
      <c r="AQ726" s="199"/>
      <c r="AR726" s="136"/>
      <c r="AS726" s="199"/>
      <c r="AT726" s="199"/>
      <c r="AU726" s="199"/>
      <c r="AV726" s="199"/>
      <c r="AW726" s="136"/>
      <c r="AX726" s="199"/>
      <c r="AY726" s="199"/>
      <c r="AZ726" s="199"/>
      <c r="BA726" s="199"/>
      <c r="BB726" s="136"/>
      <c r="BC726" s="199"/>
      <c r="BD726" s="199"/>
      <c r="BE726" s="199"/>
      <c r="BF726" s="199"/>
      <c r="BG726" s="136"/>
      <c r="BH726" s="199"/>
      <c r="BI726" s="199"/>
      <c r="BJ726" s="199"/>
    </row>
    <row r="727" spans="1:62" x14ac:dyDescent="0.25">
      <c r="A727" s="199"/>
      <c r="B727" s="136"/>
      <c r="C727" s="199"/>
      <c r="D727" s="199"/>
      <c r="E727" s="199"/>
      <c r="F727" s="199"/>
      <c r="G727" s="199"/>
      <c r="H727" s="199"/>
      <c r="I727" s="136"/>
      <c r="J727" s="199"/>
      <c r="K727" s="199"/>
      <c r="L727" s="199"/>
      <c r="M727" s="199"/>
      <c r="N727" s="136"/>
      <c r="O727" s="199"/>
      <c r="P727" s="199"/>
      <c r="Q727" s="199"/>
      <c r="R727" s="199"/>
      <c r="S727" s="136"/>
      <c r="T727" s="199"/>
      <c r="U727" s="199"/>
      <c r="V727" s="199"/>
      <c r="W727" s="199"/>
      <c r="X727" s="136"/>
      <c r="Y727" s="199"/>
      <c r="Z727" s="199"/>
      <c r="AA727" s="199"/>
      <c r="AB727" s="199"/>
      <c r="AC727" s="136"/>
      <c r="AD727" s="199"/>
      <c r="AE727" s="199"/>
      <c r="AF727" s="199"/>
      <c r="AG727" s="199"/>
      <c r="AH727" s="136"/>
      <c r="AI727" s="199"/>
      <c r="AJ727" s="199"/>
      <c r="AK727" s="199"/>
      <c r="AL727" s="199"/>
      <c r="AM727" s="136"/>
      <c r="AN727" s="199"/>
      <c r="AO727" s="199"/>
      <c r="AP727" s="199"/>
      <c r="AQ727" s="199"/>
      <c r="AR727" s="136"/>
      <c r="AS727" s="199"/>
      <c r="AT727" s="199"/>
      <c r="AU727" s="199"/>
      <c r="AV727" s="199"/>
      <c r="AW727" s="136"/>
      <c r="AX727" s="199"/>
      <c r="AY727" s="199"/>
      <c r="AZ727" s="199"/>
      <c r="BA727" s="199"/>
      <c r="BB727" s="136"/>
      <c r="BC727" s="199"/>
      <c r="BD727" s="199"/>
      <c r="BE727" s="199"/>
      <c r="BF727" s="199"/>
      <c r="BG727" s="136"/>
      <c r="BH727" s="199"/>
      <c r="BI727" s="199"/>
      <c r="BJ727" s="199"/>
    </row>
    <row r="731" spans="1:62" ht="36" x14ac:dyDescent="0.25">
      <c r="A731" s="169"/>
      <c r="B731" s="107"/>
      <c r="C731" s="107"/>
      <c r="D731" s="107"/>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row>
    <row r="732" spans="1:62" x14ac:dyDescent="0.25">
      <c r="A732" s="107"/>
      <c r="B732" s="107"/>
      <c r="C732" s="107"/>
      <c r="D732" s="107"/>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row>
    <row r="733" spans="1:62" x14ac:dyDescent="0.25">
      <c r="A733" s="107"/>
      <c r="B733" s="107"/>
      <c r="C733" s="107"/>
      <c r="D733" s="107"/>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row>
    <row r="734" spans="1:62" ht="36" x14ac:dyDescent="0.25">
      <c r="A734" s="169"/>
      <c r="B734" s="169"/>
      <c r="C734" s="169"/>
      <c r="D734" s="169"/>
      <c r="E734" s="169"/>
      <c r="F734" s="169"/>
      <c r="G734" s="169"/>
      <c r="H734" s="169"/>
      <c r="I734" s="169"/>
      <c r="J734" s="169"/>
      <c r="K734" s="169"/>
      <c r="L734" s="169"/>
      <c r="M734" s="169"/>
      <c r="N734" s="169"/>
      <c r="O734" s="169"/>
      <c r="P734" s="169"/>
      <c r="Q734" s="169"/>
      <c r="R734" s="169"/>
      <c r="S734" s="169"/>
      <c r="T734" s="169"/>
      <c r="U734" s="169"/>
      <c r="V734" s="169"/>
      <c r="W734" s="169"/>
      <c r="X734" s="169"/>
      <c r="Y734" s="169"/>
      <c r="Z734" s="169"/>
      <c r="AA734" s="169"/>
      <c r="AB734" s="169"/>
      <c r="AC734" s="169"/>
      <c r="AD734" s="169"/>
      <c r="AE734" s="169"/>
      <c r="AF734" s="169"/>
      <c r="AG734" s="169"/>
      <c r="AH734" s="169"/>
      <c r="AI734" s="169"/>
      <c r="AJ734" s="169"/>
      <c r="AK734" s="169"/>
      <c r="AL734" s="169"/>
      <c r="AM734" s="169"/>
      <c r="AN734" s="169"/>
      <c r="AO734" s="169"/>
      <c r="AP734" s="169"/>
      <c r="AQ734" s="169"/>
      <c r="AR734" s="169"/>
      <c r="AS734" s="169"/>
      <c r="AT734" s="169"/>
      <c r="AU734" s="169"/>
      <c r="AV734" s="169"/>
      <c r="AW734" s="169"/>
      <c r="AX734" s="169"/>
      <c r="AY734" s="169"/>
      <c r="AZ734" s="169"/>
      <c r="BA734" s="169"/>
      <c r="BB734" s="169"/>
      <c r="BC734" s="169"/>
      <c r="BD734" s="169"/>
      <c r="BE734" s="169"/>
      <c r="BF734" s="169"/>
      <c r="BG734" s="169"/>
      <c r="BH734" s="169"/>
      <c r="BI734" s="169"/>
      <c r="BJ734" s="169"/>
    </row>
    <row r="735" spans="1:62" ht="36" x14ac:dyDescent="0.25">
      <c r="A735" s="169"/>
      <c r="B735" s="169"/>
      <c r="C735" s="169"/>
      <c r="D735" s="169"/>
      <c r="E735" s="169"/>
      <c r="F735" s="169"/>
      <c r="G735" s="169"/>
      <c r="H735" s="169"/>
      <c r="I735" s="169"/>
      <c r="J735" s="169"/>
      <c r="K735" s="169"/>
      <c r="L735" s="169"/>
      <c r="M735" s="169"/>
      <c r="N735" s="169"/>
      <c r="O735" s="169"/>
      <c r="P735" s="169"/>
      <c r="Q735" s="169"/>
      <c r="R735" s="169"/>
      <c r="S735" s="169"/>
      <c r="T735" s="169"/>
      <c r="U735" s="169"/>
      <c r="V735" s="169"/>
      <c r="W735" s="169"/>
      <c r="X735" s="169"/>
      <c r="Y735" s="169"/>
      <c r="Z735" s="169"/>
      <c r="AA735" s="169"/>
      <c r="AB735" s="169"/>
      <c r="AC735" s="169"/>
      <c r="AD735" s="169"/>
      <c r="AE735" s="169"/>
      <c r="AF735" s="169"/>
      <c r="AG735" s="169"/>
      <c r="AH735" s="169"/>
      <c r="AI735" s="169"/>
      <c r="AJ735" s="169"/>
      <c r="AK735" s="169"/>
      <c r="AL735" s="169"/>
      <c r="AM735" s="169"/>
      <c r="AN735" s="169"/>
      <c r="AO735" s="169"/>
      <c r="AP735" s="169"/>
      <c r="AQ735" s="169"/>
      <c r="AR735" s="169"/>
      <c r="AS735" s="169"/>
      <c r="AT735" s="169"/>
      <c r="AU735" s="169"/>
      <c r="AV735" s="169"/>
      <c r="AW735" s="169"/>
      <c r="AX735" s="169"/>
      <c r="AY735" s="169"/>
      <c r="AZ735" s="169"/>
      <c r="BA735" s="169"/>
      <c r="BB735" s="169"/>
      <c r="BC735" s="169"/>
      <c r="BD735" s="169"/>
      <c r="BE735" s="169"/>
      <c r="BF735" s="169"/>
      <c r="BG735" s="169"/>
      <c r="BH735" s="169"/>
      <c r="BI735" s="169"/>
      <c r="BJ735" s="169"/>
    </row>
    <row r="736" spans="1:62" ht="36" x14ac:dyDescent="0.25">
      <c r="A736" s="169"/>
      <c r="B736" s="169"/>
      <c r="C736" s="169"/>
      <c r="D736" s="169"/>
      <c r="E736" s="169"/>
      <c r="F736" s="169"/>
      <c r="G736" s="169"/>
      <c r="H736" s="169"/>
      <c r="I736" s="169"/>
      <c r="J736" s="169"/>
      <c r="K736" s="169"/>
      <c r="L736" s="169"/>
      <c r="M736" s="169"/>
      <c r="N736" s="169"/>
      <c r="O736" s="169"/>
      <c r="P736" s="169"/>
      <c r="Q736" s="169"/>
      <c r="R736" s="169"/>
      <c r="S736" s="169"/>
      <c r="T736" s="169"/>
      <c r="U736" s="169"/>
      <c r="V736" s="169"/>
      <c r="W736" s="169"/>
      <c r="X736" s="169"/>
      <c r="Y736" s="169"/>
      <c r="Z736" s="169"/>
      <c r="AA736" s="169"/>
      <c r="AB736" s="169"/>
      <c r="AC736" s="169"/>
      <c r="AD736" s="169"/>
      <c r="AE736" s="169"/>
      <c r="AF736" s="169"/>
      <c r="AG736" s="169"/>
      <c r="AH736" s="169"/>
      <c r="AI736" s="169"/>
      <c r="AJ736" s="169"/>
      <c r="AK736" s="169"/>
      <c r="AL736" s="169"/>
      <c r="AM736" s="169"/>
      <c r="AN736" s="169"/>
      <c r="AO736" s="169"/>
      <c r="AP736" s="169"/>
      <c r="AQ736" s="169"/>
      <c r="AR736" s="169"/>
      <c r="AS736" s="169"/>
      <c r="AT736" s="169"/>
      <c r="AU736" s="169"/>
      <c r="AV736" s="169"/>
      <c r="AW736" s="169"/>
      <c r="AX736" s="169"/>
      <c r="AY736" s="169"/>
      <c r="AZ736" s="169"/>
      <c r="BA736" s="169"/>
      <c r="BB736" s="169"/>
      <c r="BC736" s="169"/>
      <c r="BD736" s="169"/>
      <c r="BE736" s="169"/>
      <c r="BF736" s="169"/>
      <c r="BG736" s="169"/>
      <c r="BH736" s="169"/>
      <c r="BI736" s="169"/>
      <c r="BJ736" s="169"/>
    </row>
    <row r="737" spans="1:62" x14ac:dyDescent="0.25">
      <c r="F737" s="194"/>
      <c r="G737" s="194"/>
    </row>
    <row r="739" spans="1:62" x14ac:dyDescent="0.25">
      <c r="A739" s="199"/>
      <c r="B739" s="136"/>
      <c r="C739" s="199"/>
      <c r="D739" s="199"/>
      <c r="E739" s="199"/>
      <c r="F739" s="199"/>
      <c r="G739" s="199"/>
      <c r="H739" s="199"/>
      <c r="I739" s="136"/>
      <c r="J739" s="199"/>
      <c r="K739" s="199"/>
      <c r="L739" s="199"/>
      <c r="M739" s="199"/>
      <c r="N739" s="136"/>
      <c r="O739" s="199"/>
      <c r="P739" s="199"/>
      <c r="Q739" s="199"/>
      <c r="R739" s="199"/>
      <c r="S739" s="136"/>
      <c r="T739" s="199"/>
      <c r="U739" s="199"/>
      <c r="V739" s="199"/>
      <c r="W739" s="199"/>
      <c r="X739" s="136"/>
      <c r="Y739" s="199"/>
      <c r="Z739" s="199"/>
      <c r="AA739" s="199"/>
      <c r="AB739" s="199"/>
      <c r="AC739" s="136"/>
      <c r="AD739" s="199"/>
      <c r="AE739" s="199"/>
      <c r="AF739" s="199"/>
      <c r="AG739" s="199"/>
      <c r="AH739" s="136"/>
      <c r="AI739" s="199"/>
      <c r="AJ739" s="199"/>
      <c r="AK739" s="199"/>
      <c r="AL739" s="199"/>
      <c r="AM739" s="136"/>
      <c r="AN739" s="199"/>
      <c r="AO739" s="199"/>
      <c r="AP739" s="199"/>
      <c r="AQ739" s="199"/>
      <c r="AR739" s="136"/>
      <c r="AS739" s="199"/>
      <c r="AT739" s="199"/>
      <c r="AU739" s="199"/>
      <c r="AV739" s="199"/>
      <c r="AW739" s="136"/>
      <c r="AX739" s="199"/>
      <c r="AY739" s="199"/>
      <c r="AZ739" s="199"/>
      <c r="BA739" s="199"/>
      <c r="BB739" s="136"/>
      <c r="BC739" s="199"/>
      <c r="BD739" s="199"/>
      <c r="BE739" s="199"/>
      <c r="BF739" s="199"/>
      <c r="BG739" s="136"/>
      <c r="BH739" s="199"/>
      <c r="BI739" s="199"/>
      <c r="BJ739" s="199"/>
    </row>
    <row r="740" spans="1:62" x14ac:dyDescent="0.25">
      <c r="A740" s="199"/>
      <c r="B740" s="136"/>
      <c r="C740" s="199"/>
      <c r="D740" s="199"/>
      <c r="E740" s="199"/>
      <c r="F740" s="199"/>
      <c r="G740" s="199"/>
      <c r="H740" s="199"/>
      <c r="I740" s="136"/>
      <c r="J740" s="199"/>
      <c r="K740" s="199"/>
      <c r="L740" s="199"/>
      <c r="M740" s="199"/>
      <c r="N740" s="136"/>
      <c r="O740" s="199"/>
      <c r="P740" s="199"/>
      <c r="Q740" s="199"/>
      <c r="R740" s="199"/>
      <c r="S740" s="136"/>
      <c r="T740" s="199"/>
      <c r="U740" s="199"/>
      <c r="V740" s="199"/>
      <c r="W740" s="199"/>
      <c r="X740" s="136"/>
      <c r="Y740" s="199"/>
      <c r="Z740" s="199"/>
      <c r="AA740" s="199"/>
      <c r="AB740" s="199"/>
      <c r="AC740" s="136"/>
      <c r="AD740" s="199"/>
      <c r="AE740" s="199"/>
      <c r="AF740" s="199"/>
      <c r="AG740" s="199"/>
      <c r="AH740" s="136"/>
      <c r="AI740" s="199"/>
      <c r="AJ740" s="199"/>
      <c r="AK740" s="199"/>
      <c r="AL740" s="199"/>
      <c r="AM740" s="136"/>
      <c r="AN740" s="199"/>
      <c r="AO740" s="199"/>
      <c r="AP740" s="199"/>
      <c r="AQ740" s="199"/>
      <c r="AR740" s="136"/>
      <c r="AS740" s="199"/>
      <c r="AT740" s="199"/>
      <c r="AU740" s="199"/>
      <c r="AV740" s="199"/>
      <c r="AW740" s="136"/>
      <c r="AX740" s="199"/>
      <c r="AY740" s="199"/>
      <c r="AZ740" s="199"/>
      <c r="BA740" s="199"/>
      <c r="BB740" s="136"/>
      <c r="BC740" s="199"/>
      <c r="BD740" s="199"/>
      <c r="BE740" s="199"/>
      <c r="BF740" s="199"/>
      <c r="BG740" s="136"/>
      <c r="BH740" s="199"/>
      <c r="BI740" s="199"/>
      <c r="BJ740" s="199"/>
    </row>
    <row r="741" spans="1:62" x14ac:dyDescent="0.25">
      <c r="A741" s="199"/>
      <c r="B741" s="136"/>
      <c r="C741" s="199"/>
      <c r="D741" s="199"/>
      <c r="E741" s="199"/>
      <c r="F741" s="199"/>
      <c r="G741" s="199"/>
      <c r="H741" s="199"/>
      <c r="I741" s="136"/>
      <c r="J741" s="199"/>
      <c r="K741" s="199"/>
      <c r="L741" s="199"/>
      <c r="M741" s="199"/>
      <c r="N741" s="136"/>
      <c r="O741" s="199"/>
      <c r="P741" s="199"/>
      <c r="Q741" s="199"/>
      <c r="R741" s="199"/>
      <c r="S741" s="136"/>
      <c r="T741" s="199"/>
      <c r="U741" s="199"/>
      <c r="V741" s="199"/>
      <c r="W741" s="199"/>
      <c r="X741" s="136"/>
      <c r="Y741" s="199"/>
      <c r="Z741" s="199"/>
      <c r="AA741" s="199"/>
      <c r="AB741" s="199"/>
      <c r="AC741" s="136"/>
      <c r="AD741" s="199"/>
      <c r="AE741" s="199"/>
      <c r="AF741" s="199"/>
      <c r="AG741" s="199"/>
      <c r="AH741" s="136"/>
      <c r="AI741" s="199"/>
      <c r="AJ741" s="199"/>
      <c r="AK741" s="199"/>
      <c r="AL741" s="199"/>
      <c r="AM741" s="136"/>
      <c r="AN741" s="199"/>
      <c r="AO741" s="199"/>
      <c r="AP741" s="199"/>
      <c r="AQ741" s="199"/>
      <c r="AR741" s="136"/>
      <c r="AS741" s="199"/>
      <c r="AT741" s="199"/>
      <c r="AU741" s="199"/>
      <c r="AV741" s="199"/>
      <c r="AW741" s="136"/>
      <c r="AX741" s="199"/>
      <c r="AY741" s="199"/>
      <c r="AZ741" s="199"/>
      <c r="BA741" s="199"/>
      <c r="BB741" s="136"/>
      <c r="BC741" s="199"/>
      <c r="BD741" s="199"/>
      <c r="BE741" s="199"/>
      <c r="BF741" s="199"/>
      <c r="BG741" s="136"/>
      <c r="BH741" s="199"/>
      <c r="BI741" s="199"/>
      <c r="BJ741" s="199"/>
    </row>
    <row r="742" spans="1:62" x14ac:dyDescent="0.25">
      <c r="A742" s="199"/>
      <c r="B742" s="136"/>
      <c r="C742" s="199"/>
      <c r="D742" s="199"/>
      <c r="E742" s="199"/>
      <c r="F742" s="199"/>
      <c r="G742" s="199"/>
      <c r="H742" s="199"/>
      <c r="I742" s="136"/>
      <c r="J742" s="199"/>
      <c r="K742" s="199"/>
      <c r="L742" s="199"/>
      <c r="M742" s="199"/>
      <c r="N742" s="136"/>
      <c r="O742" s="199"/>
      <c r="P742" s="199"/>
      <c r="Q742" s="199"/>
      <c r="R742" s="199"/>
      <c r="S742" s="136"/>
      <c r="T742" s="199"/>
      <c r="U742" s="199"/>
      <c r="V742" s="199"/>
      <c r="W742" s="199"/>
      <c r="X742" s="136"/>
      <c r="Y742" s="199"/>
      <c r="Z742" s="199"/>
      <c r="AA742" s="199"/>
      <c r="AB742" s="199"/>
      <c r="AC742" s="136"/>
      <c r="AD742" s="199"/>
      <c r="AE742" s="199"/>
      <c r="AF742" s="199"/>
      <c r="AG742" s="199"/>
      <c r="AH742" s="136"/>
      <c r="AI742" s="199"/>
      <c r="AJ742" s="199"/>
      <c r="AK742" s="199"/>
      <c r="AL742" s="199"/>
      <c r="AM742" s="136"/>
      <c r="AN742" s="199"/>
      <c r="AO742" s="199"/>
      <c r="AP742" s="199"/>
      <c r="AQ742" s="199"/>
      <c r="AR742" s="136"/>
      <c r="AS742" s="199"/>
      <c r="AT742" s="199"/>
      <c r="AU742" s="199"/>
      <c r="AV742" s="199"/>
      <c r="AW742" s="136"/>
      <c r="AX742" s="199"/>
      <c r="AY742" s="199"/>
      <c r="AZ742" s="199"/>
      <c r="BA742" s="199"/>
      <c r="BB742" s="136"/>
      <c r="BC742" s="199"/>
      <c r="BD742" s="199"/>
      <c r="BE742" s="199"/>
      <c r="BF742" s="199"/>
      <c r="BG742" s="136"/>
      <c r="BH742" s="199"/>
      <c r="BI742" s="199"/>
      <c r="BJ742" s="199"/>
    </row>
    <row r="743" spans="1:62" x14ac:dyDescent="0.25">
      <c r="A743" s="199"/>
      <c r="B743" s="136"/>
      <c r="C743" s="199"/>
      <c r="D743" s="199"/>
      <c r="E743" s="199"/>
      <c r="F743" s="199"/>
      <c r="G743" s="199"/>
      <c r="H743" s="199"/>
      <c r="I743" s="136"/>
      <c r="J743" s="199"/>
      <c r="K743" s="199"/>
      <c r="L743" s="199"/>
      <c r="M743" s="199"/>
      <c r="N743" s="136"/>
      <c r="O743" s="199"/>
      <c r="P743" s="199"/>
      <c r="Q743" s="199"/>
      <c r="R743" s="199"/>
      <c r="S743" s="136"/>
      <c r="T743" s="199"/>
      <c r="U743" s="199"/>
      <c r="V743" s="199"/>
      <c r="W743" s="199"/>
      <c r="X743" s="136"/>
      <c r="Y743" s="199"/>
      <c r="Z743" s="199"/>
      <c r="AA743" s="199"/>
      <c r="AB743" s="199"/>
      <c r="AC743" s="136"/>
      <c r="AD743" s="199"/>
      <c r="AE743" s="199"/>
      <c r="AF743" s="199"/>
      <c r="AG743" s="199"/>
      <c r="AH743" s="136"/>
      <c r="AI743" s="199"/>
      <c r="AJ743" s="199"/>
      <c r="AK743" s="199"/>
      <c r="AL743" s="199"/>
      <c r="AM743" s="136"/>
      <c r="AN743" s="199"/>
      <c r="AO743" s="199"/>
      <c r="AP743" s="199"/>
      <c r="AQ743" s="199"/>
      <c r="AR743" s="136"/>
      <c r="AS743" s="199"/>
      <c r="AT743" s="199"/>
      <c r="AU743" s="199"/>
      <c r="AV743" s="199"/>
      <c r="AW743" s="136"/>
      <c r="AX743" s="199"/>
      <c r="AY743" s="199"/>
      <c r="AZ743" s="199"/>
      <c r="BA743" s="199"/>
      <c r="BB743" s="136"/>
      <c r="BC743" s="199"/>
      <c r="BD743" s="199"/>
      <c r="BE743" s="199"/>
      <c r="BF743" s="199"/>
      <c r="BG743" s="136"/>
      <c r="BH743" s="199"/>
      <c r="BI743" s="199"/>
      <c r="BJ743" s="199"/>
    </row>
    <row r="744" spans="1:62" x14ac:dyDescent="0.25">
      <c r="A744" s="199"/>
      <c r="B744" s="136"/>
      <c r="C744" s="199"/>
      <c r="D744" s="199"/>
      <c r="E744" s="199"/>
      <c r="F744" s="199"/>
      <c r="G744" s="199"/>
      <c r="H744" s="199"/>
      <c r="I744" s="136"/>
      <c r="J744" s="199"/>
      <c r="K744" s="199"/>
      <c r="L744" s="199"/>
      <c r="M744" s="199"/>
      <c r="N744" s="136"/>
      <c r="O744" s="199"/>
      <c r="P744" s="199"/>
      <c r="Q744" s="199"/>
      <c r="R744" s="199"/>
      <c r="S744" s="136"/>
      <c r="T744" s="199"/>
      <c r="U744" s="199"/>
      <c r="V744" s="199"/>
      <c r="W744" s="199"/>
      <c r="X744" s="136"/>
      <c r="Y744" s="199"/>
      <c r="Z744" s="199"/>
      <c r="AA744" s="199"/>
      <c r="AB744" s="199"/>
      <c r="AC744" s="136"/>
      <c r="AD744" s="199"/>
      <c r="AE744" s="199"/>
      <c r="AF744" s="199"/>
      <c r="AG744" s="199"/>
      <c r="AH744" s="136"/>
      <c r="AI744" s="199"/>
      <c r="AJ744" s="199"/>
      <c r="AK744" s="199"/>
      <c r="AL744" s="199"/>
      <c r="AM744" s="136"/>
      <c r="AN744" s="199"/>
      <c r="AO744" s="199"/>
      <c r="AP744" s="199"/>
      <c r="AQ744" s="199"/>
      <c r="AR744" s="136"/>
      <c r="AS744" s="199"/>
      <c r="AT744" s="199"/>
      <c r="AU744" s="199"/>
      <c r="AV744" s="199"/>
      <c r="AW744" s="136"/>
      <c r="AX744" s="199"/>
      <c r="AY744" s="199"/>
      <c r="AZ744" s="199"/>
      <c r="BA744" s="199"/>
      <c r="BB744" s="136"/>
      <c r="BC744" s="199"/>
      <c r="BD744" s="199"/>
      <c r="BE744" s="199"/>
      <c r="BF744" s="199"/>
      <c r="BG744" s="136"/>
      <c r="BH744" s="199"/>
      <c r="BI744" s="199"/>
      <c r="BJ744" s="199"/>
    </row>
    <row r="745" spans="1:62" x14ac:dyDescent="0.25">
      <c r="A745" s="199"/>
      <c r="B745" s="136"/>
      <c r="C745" s="199"/>
      <c r="D745" s="199"/>
      <c r="E745" s="199"/>
      <c r="F745" s="199"/>
      <c r="G745" s="199"/>
      <c r="H745" s="199"/>
      <c r="I745" s="136"/>
      <c r="J745" s="199"/>
      <c r="K745" s="199"/>
      <c r="L745" s="199"/>
      <c r="M745" s="199"/>
      <c r="N745" s="136"/>
      <c r="O745" s="199"/>
      <c r="P745" s="199"/>
      <c r="Q745" s="199"/>
      <c r="R745" s="199"/>
      <c r="S745" s="136"/>
      <c r="T745" s="199"/>
      <c r="U745" s="199"/>
      <c r="V745" s="199"/>
      <c r="W745" s="199"/>
      <c r="X745" s="136"/>
      <c r="Y745" s="199"/>
      <c r="Z745" s="199"/>
      <c r="AA745" s="199"/>
      <c r="AB745" s="199"/>
      <c r="AC745" s="136"/>
      <c r="AD745" s="199"/>
      <c r="AE745" s="199"/>
      <c r="AF745" s="199"/>
      <c r="AG745" s="199"/>
      <c r="AH745" s="136"/>
      <c r="AI745" s="199"/>
      <c r="AJ745" s="199"/>
      <c r="AK745" s="199"/>
      <c r="AL745" s="199"/>
      <c r="AM745" s="136"/>
      <c r="AN745" s="199"/>
      <c r="AO745" s="199"/>
      <c r="AP745" s="199"/>
      <c r="AQ745" s="199"/>
      <c r="AR745" s="136"/>
      <c r="AS745" s="199"/>
      <c r="AT745" s="199"/>
      <c r="AU745" s="199"/>
      <c r="AV745" s="199"/>
      <c r="AW745" s="136"/>
      <c r="AX745" s="199"/>
      <c r="AY745" s="199"/>
      <c r="AZ745" s="199"/>
      <c r="BA745" s="199"/>
      <c r="BB745" s="136"/>
      <c r="BC745" s="199"/>
      <c r="BD745" s="199"/>
      <c r="BE745" s="199"/>
      <c r="BF745" s="199"/>
      <c r="BG745" s="136"/>
      <c r="BH745" s="199"/>
      <c r="BI745" s="199"/>
      <c r="BJ745" s="199"/>
    </row>
    <row r="746" spans="1:62" x14ac:dyDescent="0.25">
      <c r="A746" s="199"/>
      <c r="B746" s="136"/>
      <c r="C746" s="199"/>
      <c r="D746" s="199"/>
      <c r="E746" s="199"/>
      <c r="F746" s="199"/>
      <c r="G746" s="199"/>
      <c r="H746" s="199"/>
      <c r="I746" s="136"/>
      <c r="J746" s="199"/>
      <c r="K746" s="199"/>
      <c r="L746" s="199"/>
      <c r="M746" s="199"/>
      <c r="N746" s="136"/>
      <c r="O746" s="199"/>
      <c r="P746" s="199"/>
      <c r="Q746" s="199"/>
      <c r="R746" s="199"/>
      <c r="S746" s="136"/>
      <c r="T746" s="199"/>
      <c r="U746" s="199"/>
      <c r="V746" s="199"/>
      <c r="W746" s="199"/>
      <c r="X746" s="136"/>
      <c r="Y746" s="199"/>
      <c r="Z746" s="199"/>
      <c r="AA746" s="199"/>
      <c r="AB746" s="199"/>
      <c r="AC746" s="136"/>
      <c r="AD746" s="199"/>
      <c r="AE746" s="199"/>
      <c r="AF746" s="199"/>
      <c r="AG746" s="199"/>
      <c r="AH746" s="136"/>
      <c r="AI746" s="199"/>
      <c r="AJ746" s="199"/>
      <c r="AK746" s="199"/>
      <c r="AL746" s="199"/>
      <c r="AM746" s="136"/>
      <c r="AN746" s="199"/>
      <c r="AO746" s="199"/>
      <c r="AP746" s="199"/>
      <c r="AQ746" s="199"/>
      <c r="AR746" s="136"/>
      <c r="AS746" s="199"/>
      <c r="AT746" s="199"/>
      <c r="AU746" s="199"/>
      <c r="AV746" s="199"/>
      <c r="AW746" s="136"/>
      <c r="AX746" s="199"/>
      <c r="AY746" s="199"/>
      <c r="AZ746" s="199"/>
      <c r="BA746" s="199"/>
      <c r="BB746" s="136"/>
      <c r="BC746" s="199"/>
      <c r="BD746" s="199"/>
      <c r="BE746" s="199"/>
      <c r="BF746" s="199"/>
      <c r="BG746" s="136"/>
      <c r="BH746" s="199"/>
      <c r="BI746" s="199"/>
      <c r="BJ746" s="199"/>
    </row>
    <row r="750" spans="1:62" ht="36" x14ac:dyDescent="0.25">
      <c r="A750" s="169"/>
      <c r="B750" s="107"/>
      <c r="C750" s="107"/>
      <c r="D750" s="107"/>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row>
    <row r="751" spans="1:62" x14ac:dyDescent="0.25">
      <c r="A751" s="107"/>
      <c r="B751" s="107"/>
      <c r="C751" s="107"/>
      <c r="D751" s="107"/>
      <c r="E751" s="107"/>
      <c r="F751" s="107"/>
      <c r="G751" s="107"/>
      <c r="H751" s="107"/>
      <c r="I751" s="107"/>
      <c r="J751" s="107"/>
      <c r="K751" s="107"/>
      <c r="L751" s="107"/>
      <c r="M751" s="107"/>
      <c r="N751" s="107"/>
      <c r="O751" s="107"/>
      <c r="P751" s="107"/>
      <c r="Q751" s="107"/>
      <c r="R751" s="107"/>
      <c r="S751" s="107"/>
      <c r="T751" s="107"/>
      <c r="U751" s="107"/>
      <c r="V751" s="107"/>
      <c r="W751" s="107"/>
      <c r="X751" s="107"/>
      <c r="Y751" s="107"/>
      <c r="Z751" s="107"/>
      <c r="AA751" s="107"/>
      <c r="AB751" s="107"/>
      <c r="AC751" s="107"/>
      <c r="AD751" s="107"/>
      <c r="AE751" s="107"/>
      <c r="AF751" s="107"/>
      <c r="AG751" s="107"/>
      <c r="AH751" s="107"/>
      <c r="AI751" s="107"/>
      <c r="AJ751" s="107"/>
      <c r="AK751" s="107"/>
      <c r="AL751" s="107"/>
      <c r="AM751" s="107"/>
      <c r="AN751" s="107"/>
      <c r="AO751" s="107"/>
      <c r="AP751" s="107"/>
      <c r="AQ751" s="107"/>
      <c r="AR751" s="107"/>
      <c r="AS751" s="107"/>
      <c r="AT751" s="107"/>
      <c r="AU751" s="107"/>
      <c r="AV751" s="107"/>
      <c r="AW751" s="107"/>
      <c r="AX751" s="107"/>
      <c r="AY751" s="107"/>
      <c r="AZ751" s="107"/>
      <c r="BA751" s="107"/>
      <c r="BB751" s="107"/>
      <c r="BC751" s="107"/>
      <c r="BD751" s="107"/>
      <c r="BE751" s="107"/>
      <c r="BF751" s="107"/>
      <c r="BG751" s="107"/>
      <c r="BH751" s="107"/>
      <c r="BI751" s="107"/>
      <c r="BJ751" s="107"/>
    </row>
    <row r="752" spans="1:62" x14ac:dyDescent="0.25">
      <c r="A752" s="107"/>
      <c r="B752" s="107"/>
      <c r="C752" s="107"/>
      <c r="D752" s="107"/>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row>
    <row r="753" spans="1:62" ht="36" x14ac:dyDescent="0.25">
      <c r="A753" s="169"/>
      <c r="B753" s="169"/>
      <c r="C753" s="169"/>
      <c r="D753" s="169"/>
      <c r="E753" s="169"/>
      <c r="F753" s="169"/>
      <c r="G753" s="169"/>
      <c r="H753" s="169"/>
      <c r="I753" s="169"/>
      <c r="J753" s="169"/>
      <c r="K753" s="169"/>
      <c r="L753" s="169"/>
      <c r="M753" s="169"/>
      <c r="N753" s="169"/>
      <c r="O753" s="169"/>
      <c r="P753" s="169"/>
      <c r="Q753" s="169"/>
      <c r="R753" s="169"/>
      <c r="S753" s="169"/>
      <c r="T753" s="169"/>
      <c r="U753" s="169"/>
      <c r="V753" s="169"/>
      <c r="W753" s="169"/>
      <c r="X753" s="169"/>
      <c r="Y753" s="169"/>
      <c r="Z753" s="169"/>
      <c r="AA753" s="169"/>
      <c r="AB753" s="169"/>
      <c r="AC753" s="169"/>
      <c r="AD753" s="169"/>
      <c r="AE753" s="169"/>
      <c r="AF753" s="169"/>
      <c r="AG753" s="169"/>
      <c r="AH753" s="169"/>
      <c r="AI753" s="169"/>
      <c r="AJ753" s="169"/>
      <c r="AK753" s="169"/>
      <c r="AL753" s="169"/>
      <c r="AM753" s="169"/>
      <c r="AN753" s="169"/>
      <c r="AO753" s="169"/>
      <c r="AP753" s="169"/>
      <c r="AQ753" s="169"/>
      <c r="AR753" s="169"/>
      <c r="AS753" s="169"/>
      <c r="AT753" s="169"/>
      <c r="AU753" s="169"/>
      <c r="AV753" s="169"/>
      <c r="AW753" s="169"/>
      <c r="AX753" s="169"/>
      <c r="AY753" s="169"/>
      <c r="AZ753" s="169"/>
      <c r="BA753" s="169"/>
      <c r="BB753" s="169"/>
      <c r="BC753" s="169"/>
      <c r="BD753" s="169"/>
      <c r="BE753" s="169"/>
      <c r="BF753" s="169"/>
      <c r="BG753" s="169"/>
      <c r="BH753" s="169"/>
      <c r="BI753" s="169"/>
      <c r="BJ753" s="169"/>
    </row>
    <row r="754" spans="1:62" ht="36" x14ac:dyDescent="0.25">
      <c r="A754" s="169"/>
      <c r="B754" s="169"/>
      <c r="C754" s="169"/>
      <c r="D754" s="169"/>
      <c r="E754" s="169"/>
      <c r="F754" s="169"/>
      <c r="G754" s="169"/>
      <c r="H754" s="169"/>
      <c r="I754" s="169"/>
      <c r="J754" s="169"/>
      <c r="K754" s="169"/>
      <c r="L754" s="169"/>
      <c r="M754" s="169"/>
      <c r="N754" s="169"/>
      <c r="O754" s="169"/>
      <c r="P754" s="169"/>
      <c r="Q754" s="169"/>
      <c r="R754" s="169"/>
      <c r="S754" s="169"/>
      <c r="T754" s="169"/>
      <c r="U754" s="169"/>
      <c r="V754" s="169"/>
      <c r="W754" s="169"/>
      <c r="X754" s="169"/>
      <c r="Y754" s="169"/>
      <c r="Z754" s="169"/>
      <c r="AA754" s="169"/>
      <c r="AB754" s="169"/>
      <c r="AC754" s="169"/>
      <c r="AD754" s="169"/>
      <c r="AE754" s="169"/>
      <c r="AF754" s="169"/>
      <c r="AG754" s="169"/>
      <c r="AH754" s="169"/>
      <c r="AI754" s="169"/>
      <c r="AJ754" s="169"/>
      <c r="AK754" s="169"/>
      <c r="AL754" s="169"/>
      <c r="AM754" s="169"/>
      <c r="AN754" s="169"/>
      <c r="AO754" s="169"/>
      <c r="AP754" s="169"/>
      <c r="AQ754" s="169"/>
      <c r="AR754" s="169"/>
      <c r="AS754" s="169"/>
      <c r="AT754" s="169"/>
      <c r="AU754" s="169"/>
      <c r="AV754" s="169"/>
      <c r="AW754" s="169"/>
      <c r="AX754" s="169"/>
      <c r="AY754" s="169"/>
      <c r="AZ754" s="169"/>
      <c r="BA754" s="169"/>
      <c r="BB754" s="169"/>
      <c r="BC754" s="169"/>
      <c r="BD754" s="169"/>
      <c r="BE754" s="169"/>
      <c r="BF754" s="169"/>
      <c r="BG754" s="169"/>
      <c r="BH754" s="169"/>
      <c r="BI754" s="169"/>
      <c r="BJ754" s="169"/>
    </row>
    <row r="755" spans="1:62" ht="36" x14ac:dyDescent="0.25">
      <c r="A755" s="169"/>
      <c r="B755" s="169"/>
      <c r="C755" s="169"/>
      <c r="D755" s="169"/>
      <c r="E755" s="169"/>
      <c r="F755" s="169"/>
      <c r="G755" s="169"/>
      <c r="H755" s="169"/>
      <c r="I755" s="169"/>
      <c r="J755" s="169"/>
      <c r="K755" s="169"/>
      <c r="L755" s="169"/>
      <c r="M755" s="169"/>
      <c r="N755" s="169"/>
      <c r="O755" s="169"/>
      <c r="P755" s="169"/>
      <c r="Q755" s="169"/>
      <c r="R755" s="169"/>
      <c r="S755" s="169"/>
      <c r="T755" s="169"/>
      <c r="U755" s="169"/>
      <c r="V755" s="169"/>
      <c r="W755" s="169"/>
      <c r="X755" s="169"/>
      <c r="Y755" s="169"/>
      <c r="Z755" s="169"/>
      <c r="AA755" s="169"/>
      <c r="AB755" s="169"/>
      <c r="AC755" s="169"/>
      <c r="AD755" s="169"/>
      <c r="AE755" s="169"/>
      <c r="AF755" s="169"/>
      <c r="AG755" s="169"/>
      <c r="AH755" s="169"/>
      <c r="AI755" s="169"/>
      <c r="AJ755" s="169"/>
      <c r="AK755" s="169"/>
      <c r="AL755" s="169"/>
      <c r="AM755" s="169"/>
      <c r="AN755" s="169"/>
      <c r="AO755" s="169"/>
      <c r="AP755" s="169"/>
      <c r="AQ755" s="169"/>
      <c r="AR755" s="169"/>
      <c r="AS755" s="169"/>
      <c r="AT755" s="169"/>
      <c r="AU755" s="169"/>
      <c r="AV755" s="169"/>
      <c r="AW755" s="169"/>
      <c r="AX755" s="169"/>
      <c r="AY755" s="169"/>
      <c r="AZ755" s="169"/>
      <c r="BA755" s="169"/>
      <c r="BB755" s="169"/>
      <c r="BC755" s="169"/>
      <c r="BD755" s="169"/>
      <c r="BE755" s="169"/>
      <c r="BF755" s="169"/>
      <c r="BG755" s="169"/>
      <c r="BH755" s="169"/>
      <c r="BI755" s="169"/>
      <c r="BJ755" s="169"/>
    </row>
    <row r="756" spans="1:62" x14ac:dyDescent="0.25">
      <c r="F756" s="194"/>
      <c r="G756" s="194"/>
    </row>
    <row r="758" spans="1:62" x14ac:dyDescent="0.25">
      <c r="A758" s="199"/>
      <c r="B758" s="136"/>
      <c r="C758" s="199"/>
      <c r="D758" s="199"/>
      <c r="E758" s="199"/>
      <c r="F758" s="199"/>
      <c r="G758" s="199"/>
      <c r="H758" s="199"/>
      <c r="I758" s="136"/>
      <c r="J758" s="199"/>
      <c r="K758" s="199"/>
      <c r="L758" s="199"/>
      <c r="M758" s="199"/>
      <c r="N758" s="136"/>
      <c r="O758" s="199"/>
      <c r="P758" s="199"/>
      <c r="Q758" s="199"/>
      <c r="R758" s="199"/>
      <c r="S758" s="136"/>
      <c r="T758" s="199"/>
      <c r="U758" s="199"/>
      <c r="V758" s="199"/>
      <c r="W758" s="199"/>
      <c r="X758" s="136"/>
      <c r="Y758" s="199"/>
      <c r="Z758" s="199"/>
      <c r="AA758" s="199"/>
      <c r="AB758" s="199"/>
      <c r="AC758" s="136"/>
      <c r="AD758" s="199"/>
      <c r="AE758" s="199"/>
      <c r="AF758" s="199"/>
      <c r="AG758" s="199"/>
      <c r="AH758" s="136"/>
      <c r="AI758" s="199"/>
      <c r="AJ758" s="199"/>
      <c r="AK758" s="199"/>
      <c r="AL758" s="199"/>
      <c r="AM758" s="136"/>
      <c r="AN758" s="199"/>
      <c r="AO758" s="199"/>
      <c r="AP758" s="199"/>
      <c r="AQ758" s="199"/>
      <c r="AR758" s="136"/>
      <c r="AS758" s="199"/>
      <c r="AT758" s="199"/>
      <c r="AU758" s="199"/>
      <c r="AV758" s="199"/>
      <c r="AW758" s="136"/>
      <c r="AX758" s="199"/>
      <c r="AY758" s="199"/>
      <c r="AZ758" s="199"/>
      <c r="BA758" s="199"/>
      <c r="BB758" s="136"/>
      <c r="BC758" s="199"/>
      <c r="BD758" s="199"/>
      <c r="BE758" s="199"/>
      <c r="BF758" s="199"/>
      <c r="BG758" s="136"/>
      <c r="BH758" s="199"/>
      <c r="BI758" s="199"/>
      <c r="BJ758" s="199"/>
    </row>
    <row r="759" spans="1:62" x14ac:dyDescent="0.25">
      <c r="A759" s="199"/>
      <c r="B759" s="136"/>
      <c r="C759" s="199"/>
      <c r="D759" s="199"/>
      <c r="E759" s="199"/>
      <c r="F759" s="199"/>
      <c r="G759" s="199"/>
      <c r="H759" s="199"/>
      <c r="I759" s="136"/>
      <c r="J759" s="199"/>
      <c r="K759" s="199"/>
      <c r="L759" s="199"/>
      <c r="M759" s="199"/>
      <c r="N759" s="136"/>
      <c r="O759" s="199"/>
      <c r="P759" s="199"/>
      <c r="Q759" s="199"/>
      <c r="R759" s="199"/>
      <c r="S759" s="136"/>
      <c r="T759" s="199"/>
      <c r="U759" s="199"/>
      <c r="V759" s="199"/>
      <c r="W759" s="199"/>
      <c r="X759" s="136"/>
      <c r="Y759" s="199"/>
      <c r="Z759" s="199"/>
      <c r="AA759" s="199"/>
      <c r="AB759" s="199"/>
      <c r="AC759" s="136"/>
      <c r="AD759" s="199"/>
      <c r="AE759" s="199"/>
      <c r="AF759" s="199"/>
      <c r="AG759" s="199"/>
      <c r="AH759" s="136"/>
      <c r="AI759" s="199"/>
      <c r="AJ759" s="199"/>
      <c r="AK759" s="199"/>
      <c r="AL759" s="199"/>
      <c r="AM759" s="136"/>
      <c r="AN759" s="199"/>
      <c r="AO759" s="199"/>
      <c r="AP759" s="199"/>
      <c r="AQ759" s="199"/>
      <c r="AR759" s="136"/>
      <c r="AS759" s="199"/>
      <c r="AT759" s="199"/>
      <c r="AU759" s="199"/>
      <c r="AV759" s="199"/>
      <c r="AW759" s="136"/>
      <c r="AX759" s="199"/>
      <c r="AY759" s="199"/>
      <c r="AZ759" s="199"/>
      <c r="BA759" s="199"/>
      <c r="BB759" s="136"/>
      <c r="BC759" s="199"/>
      <c r="BD759" s="199"/>
      <c r="BE759" s="199"/>
      <c r="BF759" s="199"/>
      <c r="BG759" s="136"/>
      <c r="BH759" s="199"/>
      <c r="BI759" s="199"/>
      <c r="BJ759" s="199"/>
    </row>
    <row r="760" spans="1:62" x14ac:dyDescent="0.25">
      <c r="A760" s="199"/>
      <c r="B760" s="136"/>
      <c r="C760" s="199"/>
      <c r="D760" s="199"/>
      <c r="E760" s="199"/>
      <c r="F760" s="199"/>
      <c r="G760" s="199"/>
      <c r="H760" s="199"/>
      <c r="I760" s="136"/>
      <c r="J760" s="199"/>
      <c r="K760" s="199"/>
      <c r="L760" s="199"/>
      <c r="M760" s="199"/>
      <c r="N760" s="136"/>
      <c r="O760" s="199"/>
      <c r="P760" s="199"/>
      <c r="Q760" s="199"/>
      <c r="R760" s="199"/>
      <c r="S760" s="136"/>
      <c r="T760" s="199"/>
      <c r="U760" s="199"/>
      <c r="V760" s="199"/>
      <c r="W760" s="199"/>
      <c r="X760" s="136"/>
      <c r="Y760" s="199"/>
      <c r="Z760" s="199"/>
      <c r="AA760" s="199"/>
      <c r="AB760" s="199"/>
      <c r="AC760" s="136"/>
      <c r="AD760" s="199"/>
      <c r="AE760" s="199"/>
      <c r="AF760" s="199"/>
      <c r="AG760" s="199"/>
      <c r="AH760" s="136"/>
      <c r="AI760" s="199"/>
      <c r="AJ760" s="199"/>
      <c r="AK760" s="199"/>
      <c r="AL760" s="199"/>
      <c r="AM760" s="136"/>
      <c r="AN760" s="199"/>
      <c r="AO760" s="199"/>
      <c r="AP760" s="199"/>
      <c r="AQ760" s="199"/>
      <c r="AR760" s="136"/>
      <c r="AS760" s="199"/>
      <c r="AT760" s="199"/>
      <c r="AU760" s="199"/>
      <c r="AV760" s="199"/>
      <c r="AW760" s="136"/>
      <c r="AX760" s="199"/>
      <c r="AY760" s="199"/>
      <c r="AZ760" s="199"/>
      <c r="BA760" s="199"/>
      <c r="BB760" s="136"/>
      <c r="BC760" s="199"/>
      <c r="BD760" s="199"/>
      <c r="BE760" s="199"/>
      <c r="BF760" s="199"/>
      <c r="BG760" s="136"/>
      <c r="BH760" s="199"/>
      <c r="BI760" s="199"/>
      <c r="BJ760" s="199"/>
    </row>
    <row r="761" spans="1:62" x14ac:dyDescent="0.25">
      <c r="A761" s="199"/>
      <c r="B761" s="136"/>
      <c r="C761" s="199"/>
      <c r="D761" s="199"/>
      <c r="E761" s="199"/>
      <c r="F761" s="199"/>
      <c r="G761" s="199"/>
      <c r="H761" s="199"/>
      <c r="I761" s="136"/>
      <c r="J761" s="199"/>
      <c r="K761" s="199"/>
      <c r="L761" s="199"/>
      <c r="M761" s="199"/>
      <c r="N761" s="136"/>
      <c r="O761" s="199"/>
      <c r="P761" s="199"/>
      <c r="Q761" s="199"/>
      <c r="R761" s="199"/>
      <c r="S761" s="136"/>
      <c r="T761" s="199"/>
      <c r="U761" s="199"/>
      <c r="V761" s="199"/>
      <c r="W761" s="199"/>
      <c r="X761" s="136"/>
      <c r="Y761" s="199"/>
      <c r="Z761" s="199"/>
      <c r="AA761" s="199"/>
      <c r="AB761" s="199"/>
      <c r="AC761" s="136"/>
      <c r="AD761" s="199"/>
      <c r="AE761" s="199"/>
      <c r="AF761" s="199"/>
      <c r="AG761" s="199"/>
      <c r="AH761" s="136"/>
      <c r="AI761" s="199"/>
      <c r="AJ761" s="199"/>
      <c r="AK761" s="199"/>
      <c r="AL761" s="199"/>
      <c r="AM761" s="136"/>
      <c r="AN761" s="199"/>
      <c r="AO761" s="199"/>
      <c r="AP761" s="199"/>
      <c r="AQ761" s="199"/>
      <c r="AR761" s="136"/>
      <c r="AS761" s="199"/>
      <c r="AT761" s="199"/>
      <c r="AU761" s="199"/>
      <c r="AV761" s="199"/>
      <c r="AW761" s="136"/>
      <c r="AX761" s="199"/>
      <c r="AY761" s="199"/>
      <c r="AZ761" s="199"/>
      <c r="BA761" s="199"/>
      <c r="BB761" s="136"/>
      <c r="BC761" s="199"/>
      <c r="BD761" s="199"/>
      <c r="BE761" s="199"/>
      <c r="BF761" s="199"/>
      <c r="BG761" s="136"/>
      <c r="BH761" s="199"/>
      <c r="BI761" s="199"/>
      <c r="BJ761" s="199"/>
    </row>
    <row r="762" spans="1:62" x14ac:dyDescent="0.25">
      <c r="A762" s="199"/>
      <c r="B762" s="136"/>
      <c r="C762" s="199"/>
      <c r="D762" s="199"/>
      <c r="E762" s="199"/>
      <c r="F762" s="199"/>
      <c r="G762" s="199"/>
      <c r="H762" s="199"/>
      <c r="I762" s="136"/>
      <c r="J762" s="199"/>
      <c r="K762" s="199"/>
      <c r="L762" s="199"/>
      <c r="M762" s="199"/>
      <c r="N762" s="136"/>
      <c r="O762" s="199"/>
      <c r="P762" s="199"/>
      <c r="Q762" s="199"/>
      <c r="R762" s="199"/>
      <c r="S762" s="136"/>
      <c r="T762" s="199"/>
      <c r="U762" s="199"/>
      <c r="V762" s="199"/>
      <c r="W762" s="199"/>
      <c r="X762" s="136"/>
      <c r="Y762" s="199"/>
      <c r="Z762" s="199"/>
      <c r="AA762" s="199"/>
      <c r="AB762" s="199"/>
      <c r="AC762" s="136"/>
      <c r="AD762" s="199"/>
      <c r="AE762" s="199"/>
      <c r="AF762" s="199"/>
      <c r="AG762" s="199"/>
      <c r="AH762" s="136"/>
      <c r="AI762" s="199"/>
      <c r="AJ762" s="199"/>
      <c r="AK762" s="199"/>
      <c r="AL762" s="199"/>
      <c r="AM762" s="136"/>
      <c r="AN762" s="199"/>
      <c r="AO762" s="199"/>
      <c r="AP762" s="199"/>
      <c r="AQ762" s="199"/>
      <c r="AR762" s="136"/>
      <c r="AS762" s="199"/>
      <c r="AT762" s="199"/>
      <c r="AU762" s="199"/>
      <c r="AV762" s="199"/>
      <c r="AW762" s="136"/>
      <c r="AX762" s="199"/>
      <c r="AY762" s="199"/>
      <c r="AZ762" s="199"/>
      <c r="BA762" s="199"/>
      <c r="BB762" s="136"/>
      <c r="BC762" s="199"/>
      <c r="BD762" s="199"/>
      <c r="BE762" s="199"/>
      <c r="BF762" s="199"/>
      <c r="BG762" s="136"/>
      <c r="BH762" s="199"/>
      <c r="BI762" s="199"/>
      <c r="BJ762" s="199"/>
    </row>
    <row r="763" spans="1:62" x14ac:dyDescent="0.25">
      <c r="A763" s="199"/>
      <c r="B763" s="136"/>
      <c r="C763" s="199"/>
      <c r="D763" s="199"/>
      <c r="E763" s="199"/>
      <c r="F763" s="199"/>
      <c r="G763" s="199"/>
      <c r="H763" s="199"/>
      <c r="I763" s="136"/>
      <c r="J763" s="199"/>
      <c r="K763" s="199"/>
      <c r="L763" s="199"/>
      <c r="M763" s="199"/>
      <c r="N763" s="136"/>
      <c r="O763" s="199"/>
      <c r="P763" s="199"/>
      <c r="Q763" s="199"/>
      <c r="R763" s="199"/>
      <c r="S763" s="136"/>
      <c r="T763" s="199"/>
      <c r="U763" s="199"/>
      <c r="V763" s="199"/>
      <c r="W763" s="199"/>
      <c r="X763" s="136"/>
      <c r="Y763" s="199"/>
      <c r="Z763" s="199"/>
      <c r="AA763" s="199"/>
      <c r="AB763" s="199"/>
      <c r="AC763" s="136"/>
      <c r="AD763" s="199"/>
      <c r="AE763" s="199"/>
      <c r="AF763" s="199"/>
      <c r="AG763" s="199"/>
      <c r="AH763" s="136"/>
      <c r="AI763" s="199"/>
      <c r="AJ763" s="199"/>
      <c r="AK763" s="199"/>
      <c r="AL763" s="199"/>
      <c r="AM763" s="136"/>
      <c r="AN763" s="199"/>
      <c r="AO763" s="199"/>
      <c r="AP763" s="199"/>
      <c r="AQ763" s="199"/>
      <c r="AR763" s="136"/>
      <c r="AS763" s="199"/>
      <c r="AT763" s="199"/>
      <c r="AU763" s="199"/>
      <c r="AV763" s="199"/>
      <c r="AW763" s="136"/>
      <c r="AX763" s="199"/>
      <c r="AY763" s="199"/>
      <c r="AZ763" s="199"/>
      <c r="BA763" s="199"/>
      <c r="BB763" s="136"/>
      <c r="BC763" s="199"/>
      <c r="BD763" s="199"/>
      <c r="BE763" s="199"/>
      <c r="BF763" s="199"/>
      <c r="BG763" s="136"/>
      <c r="BH763" s="199"/>
      <c r="BI763" s="199"/>
      <c r="BJ763" s="199"/>
    </row>
    <row r="764" spans="1:62" x14ac:dyDescent="0.25">
      <c r="A764" s="199"/>
      <c r="B764" s="136"/>
      <c r="C764" s="199"/>
      <c r="D764" s="199"/>
      <c r="E764" s="199"/>
      <c r="F764" s="199"/>
      <c r="G764" s="199"/>
      <c r="H764" s="199"/>
      <c r="I764" s="136"/>
      <c r="J764" s="199"/>
      <c r="K764" s="199"/>
      <c r="L764" s="199"/>
      <c r="M764" s="199"/>
      <c r="N764" s="136"/>
      <c r="O764" s="199"/>
      <c r="P764" s="199"/>
      <c r="Q764" s="199"/>
      <c r="R764" s="199"/>
      <c r="S764" s="136"/>
      <c r="T764" s="199"/>
      <c r="U764" s="199"/>
      <c r="V764" s="199"/>
      <c r="W764" s="199"/>
      <c r="X764" s="136"/>
      <c r="Y764" s="199"/>
      <c r="Z764" s="199"/>
      <c r="AA764" s="199"/>
      <c r="AB764" s="199"/>
      <c r="AC764" s="136"/>
      <c r="AD764" s="199"/>
      <c r="AE764" s="199"/>
      <c r="AF764" s="199"/>
      <c r="AG764" s="199"/>
      <c r="AH764" s="136"/>
      <c r="AI764" s="199"/>
      <c r="AJ764" s="199"/>
      <c r="AK764" s="199"/>
      <c r="AL764" s="199"/>
      <c r="AM764" s="136"/>
      <c r="AN764" s="199"/>
      <c r="AO764" s="199"/>
      <c r="AP764" s="199"/>
      <c r="AQ764" s="199"/>
      <c r="AR764" s="136"/>
      <c r="AS764" s="199"/>
      <c r="AT764" s="199"/>
      <c r="AU764" s="199"/>
      <c r="AV764" s="199"/>
      <c r="AW764" s="136"/>
      <c r="AX764" s="199"/>
      <c r="AY764" s="199"/>
      <c r="AZ764" s="199"/>
      <c r="BA764" s="199"/>
      <c r="BB764" s="136"/>
      <c r="BC764" s="199"/>
      <c r="BD764" s="199"/>
      <c r="BE764" s="199"/>
      <c r="BF764" s="199"/>
      <c r="BG764" s="136"/>
      <c r="BH764" s="199"/>
      <c r="BI764" s="199"/>
      <c r="BJ764" s="199"/>
    </row>
    <row r="765" spans="1:62" x14ac:dyDescent="0.25">
      <c r="A765" s="199"/>
      <c r="B765" s="136"/>
      <c r="C765" s="199"/>
      <c r="D765" s="199"/>
      <c r="E765" s="199"/>
      <c r="F765" s="199"/>
      <c r="G765" s="199"/>
      <c r="H765" s="199"/>
      <c r="I765" s="136"/>
      <c r="J765" s="199"/>
      <c r="K765" s="199"/>
      <c r="L765" s="199"/>
      <c r="M765" s="199"/>
      <c r="N765" s="136"/>
      <c r="O765" s="199"/>
      <c r="P765" s="199"/>
      <c r="Q765" s="199"/>
      <c r="R765" s="199"/>
      <c r="S765" s="136"/>
      <c r="T765" s="199"/>
      <c r="U765" s="199"/>
      <c r="V765" s="199"/>
      <c r="W765" s="199"/>
      <c r="X765" s="136"/>
      <c r="Y765" s="199"/>
      <c r="Z765" s="199"/>
      <c r="AA765" s="199"/>
      <c r="AB765" s="199"/>
      <c r="AC765" s="136"/>
      <c r="AD765" s="199"/>
      <c r="AE765" s="199"/>
      <c r="AF765" s="199"/>
      <c r="AG765" s="199"/>
      <c r="AH765" s="136"/>
      <c r="AI765" s="199"/>
      <c r="AJ765" s="199"/>
      <c r="AK765" s="199"/>
      <c r="AL765" s="199"/>
      <c r="AM765" s="136"/>
      <c r="AN765" s="199"/>
      <c r="AO765" s="199"/>
      <c r="AP765" s="199"/>
      <c r="AQ765" s="199"/>
      <c r="AR765" s="136"/>
      <c r="AS765" s="199"/>
      <c r="AT765" s="199"/>
      <c r="AU765" s="199"/>
      <c r="AV765" s="199"/>
      <c r="AW765" s="136"/>
      <c r="AX765" s="199"/>
      <c r="AY765" s="199"/>
      <c r="AZ765" s="199"/>
      <c r="BA765" s="199"/>
      <c r="BB765" s="136"/>
      <c r="BC765" s="199"/>
      <c r="BD765" s="199"/>
      <c r="BE765" s="199"/>
      <c r="BF765" s="199"/>
      <c r="BG765" s="136"/>
      <c r="BH765" s="199"/>
      <c r="BI765" s="199"/>
      <c r="BJ765" s="199"/>
    </row>
    <row r="769" spans="1:62" ht="36" x14ac:dyDescent="0.25">
      <c r="A769" s="169"/>
      <c r="B769" s="107"/>
      <c r="C769" s="107"/>
      <c r="D769" s="107"/>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row>
    <row r="770" spans="1:62" x14ac:dyDescent="0.25">
      <c r="A770" s="107"/>
      <c r="B770" s="107"/>
      <c r="C770" s="107"/>
      <c r="D770" s="107"/>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row>
    <row r="771" spans="1:62" x14ac:dyDescent="0.25">
      <c r="A771" s="107"/>
      <c r="B771" s="107"/>
      <c r="C771" s="107"/>
      <c r="D771" s="107"/>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row>
    <row r="772" spans="1:62" ht="36" x14ac:dyDescent="0.25">
      <c r="A772" s="169"/>
      <c r="B772" s="169"/>
      <c r="C772" s="169"/>
      <c r="D772" s="169"/>
      <c r="E772" s="169"/>
      <c r="F772" s="169"/>
      <c r="G772" s="169"/>
      <c r="H772" s="169"/>
      <c r="I772" s="169"/>
      <c r="J772" s="169"/>
      <c r="K772" s="169"/>
      <c r="L772" s="169"/>
      <c r="M772" s="169"/>
      <c r="N772" s="169"/>
      <c r="O772" s="169"/>
      <c r="P772" s="169"/>
      <c r="Q772" s="169"/>
      <c r="R772" s="169"/>
      <c r="S772" s="169"/>
      <c r="T772" s="169"/>
      <c r="U772" s="169"/>
      <c r="V772" s="169"/>
      <c r="W772" s="169"/>
      <c r="X772" s="169"/>
      <c r="Y772" s="169"/>
      <c r="Z772" s="169"/>
      <c r="AA772" s="169"/>
      <c r="AB772" s="169"/>
      <c r="AC772" s="169"/>
      <c r="AD772" s="169"/>
      <c r="AE772" s="169"/>
      <c r="AF772" s="169"/>
      <c r="AG772" s="169"/>
      <c r="AH772" s="169"/>
      <c r="AI772" s="169"/>
      <c r="AJ772" s="169"/>
      <c r="AK772" s="169"/>
      <c r="AL772" s="169"/>
      <c r="AM772" s="169"/>
      <c r="AN772" s="169"/>
      <c r="AO772" s="169"/>
      <c r="AP772" s="169"/>
      <c r="AQ772" s="169"/>
      <c r="AR772" s="169"/>
      <c r="AS772" s="169"/>
      <c r="AT772" s="169"/>
      <c r="AU772" s="169"/>
      <c r="AV772" s="169"/>
      <c r="AW772" s="169"/>
      <c r="AX772" s="169"/>
      <c r="AY772" s="169"/>
      <c r="AZ772" s="169"/>
      <c r="BA772" s="169"/>
      <c r="BB772" s="169"/>
      <c r="BC772" s="169"/>
      <c r="BD772" s="169"/>
      <c r="BE772" s="169"/>
      <c r="BF772" s="169"/>
      <c r="BG772" s="169"/>
      <c r="BH772" s="169"/>
      <c r="BI772" s="169"/>
      <c r="BJ772" s="169"/>
    </row>
    <row r="773" spans="1:62" ht="36" x14ac:dyDescent="0.25">
      <c r="A773" s="169"/>
      <c r="B773" s="169"/>
      <c r="C773" s="169"/>
      <c r="D773" s="169"/>
      <c r="E773" s="169"/>
      <c r="F773" s="169"/>
      <c r="G773" s="169"/>
      <c r="H773" s="169"/>
      <c r="I773" s="169"/>
      <c r="J773" s="169"/>
      <c r="K773" s="169"/>
      <c r="L773" s="169"/>
      <c r="M773" s="169"/>
      <c r="N773" s="169"/>
      <c r="O773" s="169"/>
      <c r="P773" s="169"/>
      <c r="Q773" s="169"/>
      <c r="R773" s="169"/>
      <c r="S773" s="169"/>
      <c r="T773" s="169"/>
      <c r="U773" s="169"/>
      <c r="V773" s="169"/>
      <c r="W773" s="169"/>
      <c r="X773" s="169"/>
      <c r="Y773" s="169"/>
      <c r="Z773" s="169"/>
      <c r="AA773" s="169"/>
      <c r="AB773" s="169"/>
      <c r="AC773" s="169"/>
      <c r="AD773" s="169"/>
      <c r="AE773" s="169"/>
      <c r="AF773" s="169"/>
      <c r="AG773" s="169"/>
      <c r="AH773" s="169"/>
      <c r="AI773" s="169"/>
      <c r="AJ773" s="169"/>
      <c r="AK773" s="169"/>
      <c r="AL773" s="169"/>
      <c r="AM773" s="169"/>
      <c r="AN773" s="169"/>
      <c r="AO773" s="169"/>
      <c r="AP773" s="169"/>
      <c r="AQ773" s="169"/>
      <c r="AR773" s="169"/>
      <c r="AS773" s="169"/>
      <c r="AT773" s="169"/>
      <c r="AU773" s="169"/>
      <c r="AV773" s="169"/>
      <c r="AW773" s="169"/>
      <c r="AX773" s="169"/>
      <c r="AY773" s="169"/>
      <c r="AZ773" s="169"/>
      <c r="BA773" s="169"/>
      <c r="BB773" s="169"/>
      <c r="BC773" s="169"/>
      <c r="BD773" s="169"/>
      <c r="BE773" s="169"/>
      <c r="BF773" s="169"/>
      <c r="BG773" s="169"/>
      <c r="BH773" s="169"/>
      <c r="BI773" s="169"/>
      <c r="BJ773" s="169"/>
    </row>
    <row r="774" spans="1:62" ht="36" x14ac:dyDescent="0.25">
      <c r="A774" s="169"/>
      <c r="B774" s="169"/>
      <c r="C774" s="169"/>
      <c r="D774" s="169"/>
      <c r="E774" s="169"/>
      <c r="F774" s="169"/>
      <c r="G774" s="169"/>
      <c r="H774" s="169"/>
      <c r="I774" s="169"/>
      <c r="J774" s="169"/>
      <c r="K774" s="169"/>
      <c r="L774" s="169"/>
      <c r="M774" s="169"/>
      <c r="N774" s="169"/>
      <c r="O774" s="169"/>
      <c r="P774" s="169"/>
      <c r="Q774" s="169"/>
      <c r="R774" s="169"/>
      <c r="S774" s="169"/>
      <c r="T774" s="169"/>
      <c r="U774" s="169"/>
      <c r="V774" s="169"/>
      <c r="W774" s="169"/>
      <c r="X774" s="169"/>
      <c r="Y774" s="169"/>
      <c r="Z774" s="169"/>
      <c r="AA774" s="169"/>
      <c r="AB774" s="169"/>
      <c r="AC774" s="169"/>
      <c r="AD774" s="169"/>
      <c r="AE774" s="169"/>
      <c r="AF774" s="169"/>
      <c r="AG774" s="169"/>
      <c r="AH774" s="169"/>
      <c r="AI774" s="169"/>
      <c r="AJ774" s="169"/>
      <c r="AK774" s="169"/>
      <c r="AL774" s="169"/>
      <c r="AM774" s="169"/>
      <c r="AN774" s="169"/>
      <c r="AO774" s="169"/>
      <c r="AP774" s="169"/>
      <c r="AQ774" s="169"/>
      <c r="AR774" s="169"/>
      <c r="AS774" s="169"/>
      <c r="AT774" s="169"/>
      <c r="AU774" s="169"/>
      <c r="AV774" s="169"/>
      <c r="AW774" s="169"/>
      <c r="AX774" s="169"/>
      <c r="AY774" s="169"/>
      <c r="AZ774" s="169"/>
      <c r="BA774" s="169"/>
      <c r="BB774" s="169"/>
      <c r="BC774" s="169"/>
      <c r="BD774" s="169"/>
      <c r="BE774" s="169"/>
      <c r="BF774" s="169"/>
      <c r="BG774" s="169"/>
      <c r="BH774" s="169"/>
      <c r="BI774" s="169"/>
      <c r="BJ774" s="169"/>
    </row>
    <row r="775" spans="1:62" x14ac:dyDescent="0.25">
      <c r="F775" s="194"/>
      <c r="G775" s="194"/>
    </row>
    <row r="777" spans="1:62" x14ac:dyDescent="0.25">
      <c r="A777" s="199"/>
      <c r="B777" s="136"/>
      <c r="C777" s="199"/>
      <c r="D777" s="199"/>
      <c r="E777" s="199"/>
      <c r="F777" s="199"/>
      <c r="G777" s="199"/>
      <c r="H777" s="199"/>
      <c r="I777" s="136"/>
      <c r="J777" s="199"/>
      <c r="K777" s="199"/>
      <c r="L777" s="199"/>
      <c r="M777" s="199"/>
      <c r="N777" s="136"/>
      <c r="O777" s="199"/>
      <c r="P777" s="199"/>
      <c r="Q777" s="199"/>
      <c r="R777" s="199"/>
      <c r="S777" s="136"/>
      <c r="T777" s="199"/>
      <c r="U777" s="199"/>
      <c r="V777" s="199"/>
      <c r="W777" s="199"/>
      <c r="X777" s="136"/>
      <c r="Y777" s="199"/>
      <c r="Z777" s="199"/>
      <c r="AA777" s="199"/>
      <c r="AB777" s="199"/>
      <c r="AC777" s="136"/>
      <c r="AD777" s="199"/>
      <c r="AE777" s="199"/>
      <c r="AF777" s="199"/>
      <c r="AG777" s="199"/>
      <c r="AH777" s="136"/>
      <c r="AI777" s="199"/>
      <c r="AJ777" s="199"/>
      <c r="AK777" s="199"/>
      <c r="AL777" s="199"/>
      <c r="AM777" s="136"/>
      <c r="AN777" s="199"/>
      <c r="AO777" s="199"/>
      <c r="AP777" s="199"/>
      <c r="AQ777" s="199"/>
      <c r="AR777" s="136"/>
      <c r="AS777" s="199"/>
      <c r="AT777" s="199"/>
      <c r="AU777" s="199"/>
      <c r="AV777" s="199"/>
      <c r="AW777" s="136"/>
      <c r="AX777" s="199"/>
      <c r="AY777" s="199"/>
      <c r="AZ777" s="199"/>
      <c r="BA777" s="199"/>
      <c r="BB777" s="136"/>
      <c r="BC777" s="199"/>
      <c r="BD777" s="199"/>
      <c r="BE777" s="199"/>
      <c r="BF777" s="199"/>
      <c r="BG777" s="136"/>
      <c r="BH777" s="199"/>
      <c r="BI777" s="199"/>
      <c r="BJ777" s="199"/>
    </row>
    <row r="778" spans="1:62" x14ac:dyDescent="0.25">
      <c r="A778" s="199"/>
      <c r="B778" s="136"/>
      <c r="C778" s="199"/>
      <c r="D778" s="199"/>
      <c r="E778" s="199"/>
      <c r="F778" s="199"/>
      <c r="G778" s="199"/>
      <c r="H778" s="199"/>
      <c r="I778" s="136"/>
      <c r="J778" s="199"/>
      <c r="K778" s="199"/>
      <c r="L778" s="199"/>
      <c r="M778" s="199"/>
      <c r="N778" s="136"/>
      <c r="O778" s="199"/>
      <c r="P778" s="199"/>
      <c r="Q778" s="199"/>
      <c r="R778" s="199"/>
      <c r="S778" s="136"/>
      <c r="T778" s="199"/>
      <c r="U778" s="199"/>
      <c r="V778" s="199"/>
      <c r="W778" s="199"/>
      <c r="X778" s="136"/>
      <c r="Y778" s="199"/>
      <c r="Z778" s="199"/>
      <c r="AA778" s="199"/>
      <c r="AB778" s="199"/>
      <c r="AC778" s="136"/>
      <c r="AD778" s="199"/>
      <c r="AE778" s="199"/>
      <c r="AF778" s="199"/>
      <c r="AG778" s="199"/>
      <c r="AH778" s="136"/>
      <c r="AI778" s="199"/>
      <c r="AJ778" s="199"/>
      <c r="AK778" s="199"/>
      <c r="AL778" s="199"/>
      <c r="AM778" s="136"/>
      <c r="AN778" s="199"/>
      <c r="AO778" s="199"/>
      <c r="AP778" s="199"/>
      <c r="AQ778" s="199"/>
      <c r="AR778" s="136"/>
      <c r="AS778" s="199"/>
      <c r="AT778" s="199"/>
      <c r="AU778" s="199"/>
      <c r="AV778" s="199"/>
      <c r="AW778" s="136"/>
      <c r="AX778" s="199"/>
      <c r="AY778" s="199"/>
      <c r="AZ778" s="199"/>
      <c r="BA778" s="199"/>
      <c r="BB778" s="136"/>
      <c r="BC778" s="199"/>
      <c r="BD778" s="199"/>
      <c r="BE778" s="199"/>
      <c r="BF778" s="199"/>
      <c r="BG778" s="136"/>
      <c r="BH778" s="199"/>
      <c r="BI778" s="199"/>
      <c r="BJ778" s="199"/>
    </row>
    <row r="779" spans="1:62" x14ac:dyDescent="0.25">
      <c r="A779" s="199"/>
      <c r="B779" s="136"/>
      <c r="C779" s="199"/>
      <c r="D779" s="199"/>
      <c r="E779" s="199"/>
      <c r="F779" s="199"/>
      <c r="G779" s="199"/>
      <c r="H779" s="199"/>
      <c r="I779" s="136"/>
      <c r="J779" s="199"/>
      <c r="K779" s="199"/>
      <c r="L779" s="199"/>
      <c r="M779" s="199"/>
      <c r="N779" s="136"/>
      <c r="O779" s="199"/>
      <c r="P779" s="199"/>
      <c r="Q779" s="199"/>
      <c r="R779" s="199"/>
      <c r="S779" s="136"/>
      <c r="T779" s="199"/>
      <c r="U779" s="199"/>
      <c r="V779" s="199"/>
      <c r="W779" s="199"/>
      <c r="X779" s="136"/>
      <c r="Y779" s="199"/>
      <c r="Z779" s="199"/>
      <c r="AA779" s="199"/>
      <c r="AB779" s="199"/>
      <c r="AC779" s="136"/>
      <c r="AD779" s="199"/>
      <c r="AE779" s="199"/>
      <c r="AF779" s="199"/>
      <c r="AG779" s="199"/>
      <c r="AH779" s="136"/>
      <c r="AI779" s="199"/>
      <c r="AJ779" s="199"/>
      <c r="AK779" s="199"/>
      <c r="AL779" s="199"/>
      <c r="AM779" s="136"/>
      <c r="AN779" s="199"/>
      <c r="AO779" s="199"/>
      <c r="AP779" s="199"/>
      <c r="AQ779" s="199"/>
      <c r="AR779" s="136"/>
      <c r="AS779" s="199"/>
      <c r="AT779" s="199"/>
      <c r="AU779" s="199"/>
      <c r="AV779" s="199"/>
      <c r="AW779" s="136"/>
      <c r="AX779" s="199"/>
      <c r="AY779" s="199"/>
      <c r="AZ779" s="199"/>
      <c r="BA779" s="199"/>
      <c r="BB779" s="136"/>
      <c r="BC779" s="199"/>
      <c r="BD779" s="199"/>
      <c r="BE779" s="199"/>
      <c r="BF779" s="199"/>
      <c r="BG779" s="136"/>
      <c r="BH779" s="199"/>
      <c r="BI779" s="199"/>
      <c r="BJ779" s="199"/>
    </row>
    <row r="780" spans="1:62" x14ac:dyDescent="0.25">
      <c r="A780" s="199"/>
      <c r="B780" s="136"/>
      <c r="C780" s="199"/>
      <c r="D780" s="199"/>
      <c r="E780" s="199"/>
      <c r="F780" s="199"/>
      <c r="G780" s="199"/>
      <c r="H780" s="199"/>
      <c r="I780" s="136"/>
      <c r="J780" s="199"/>
      <c r="K780" s="199"/>
      <c r="L780" s="199"/>
      <c r="M780" s="199"/>
      <c r="N780" s="136"/>
      <c r="O780" s="199"/>
      <c r="P780" s="199"/>
      <c r="Q780" s="199"/>
      <c r="R780" s="199"/>
      <c r="S780" s="136"/>
      <c r="T780" s="199"/>
      <c r="U780" s="199"/>
      <c r="V780" s="199"/>
      <c r="W780" s="199"/>
      <c r="X780" s="136"/>
      <c r="Y780" s="199"/>
      <c r="Z780" s="199"/>
      <c r="AA780" s="199"/>
      <c r="AB780" s="199"/>
      <c r="AC780" s="136"/>
      <c r="AD780" s="199"/>
      <c r="AE780" s="199"/>
      <c r="AF780" s="199"/>
      <c r="AG780" s="199"/>
      <c r="AH780" s="136"/>
      <c r="AI780" s="199"/>
      <c r="AJ780" s="199"/>
      <c r="AK780" s="199"/>
      <c r="AL780" s="199"/>
      <c r="AM780" s="136"/>
      <c r="AN780" s="199"/>
      <c r="AO780" s="199"/>
      <c r="AP780" s="199"/>
      <c r="AQ780" s="199"/>
      <c r="AR780" s="136"/>
      <c r="AS780" s="199"/>
      <c r="AT780" s="199"/>
      <c r="AU780" s="199"/>
      <c r="AV780" s="199"/>
      <c r="AW780" s="136"/>
      <c r="AX780" s="199"/>
      <c r="AY780" s="199"/>
      <c r="AZ780" s="199"/>
      <c r="BA780" s="199"/>
      <c r="BB780" s="136"/>
      <c r="BC780" s="199"/>
      <c r="BD780" s="199"/>
      <c r="BE780" s="199"/>
      <c r="BF780" s="199"/>
      <c r="BG780" s="136"/>
      <c r="BH780" s="199"/>
      <c r="BI780" s="199"/>
      <c r="BJ780" s="199"/>
    </row>
    <row r="781" spans="1:62" x14ac:dyDescent="0.25">
      <c r="A781" s="199"/>
      <c r="B781" s="136"/>
      <c r="C781" s="199"/>
      <c r="D781" s="199"/>
      <c r="E781" s="199"/>
      <c r="F781" s="199"/>
      <c r="G781" s="199"/>
      <c r="H781" s="199"/>
      <c r="I781" s="136"/>
      <c r="J781" s="199"/>
      <c r="K781" s="199"/>
      <c r="L781" s="199"/>
      <c r="M781" s="199"/>
      <c r="N781" s="136"/>
      <c r="O781" s="199"/>
      <c r="P781" s="199"/>
      <c r="Q781" s="199"/>
      <c r="R781" s="199"/>
      <c r="S781" s="136"/>
      <c r="T781" s="199"/>
      <c r="U781" s="199"/>
      <c r="V781" s="199"/>
      <c r="W781" s="199"/>
      <c r="X781" s="136"/>
      <c r="Y781" s="199"/>
      <c r="Z781" s="199"/>
      <c r="AA781" s="199"/>
      <c r="AB781" s="199"/>
      <c r="AC781" s="136"/>
      <c r="AD781" s="199"/>
      <c r="AE781" s="199"/>
      <c r="AF781" s="199"/>
      <c r="AG781" s="199"/>
      <c r="AH781" s="136"/>
      <c r="AI781" s="199"/>
      <c r="AJ781" s="199"/>
      <c r="AK781" s="199"/>
      <c r="AL781" s="199"/>
      <c r="AM781" s="136"/>
      <c r="AN781" s="199"/>
      <c r="AO781" s="199"/>
      <c r="AP781" s="199"/>
      <c r="AQ781" s="199"/>
      <c r="AR781" s="136"/>
      <c r="AS781" s="199"/>
      <c r="AT781" s="199"/>
      <c r="AU781" s="199"/>
      <c r="AV781" s="199"/>
      <c r="AW781" s="136"/>
      <c r="AX781" s="199"/>
      <c r="AY781" s="199"/>
      <c r="AZ781" s="199"/>
      <c r="BA781" s="199"/>
      <c r="BB781" s="136"/>
      <c r="BC781" s="199"/>
      <c r="BD781" s="199"/>
      <c r="BE781" s="199"/>
      <c r="BF781" s="199"/>
      <c r="BG781" s="136"/>
      <c r="BH781" s="199"/>
      <c r="BI781" s="199"/>
      <c r="BJ781" s="199"/>
    </row>
    <row r="782" spans="1:62" x14ac:dyDescent="0.25">
      <c r="A782" s="199"/>
      <c r="B782" s="136"/>
      <c r="C782" s="199"/>
      <c r="D782" s="199"/>
      <c r="E782" s="199"/>
      <c r="F782" s="199"/>
      <c r="G782" s="199"/>
      <c r="H782" s="199"/>
      <c r="I782" s="136"/>
      <c r="J782" s="199"/>
      <c r="K782" s="199"/>
      <c r="L782" s="199"/>
      <c r="M782" s="199"/>
      <c r="N782" s="136"/>
      <c r="O782" s="199"/>
      <c r="P782" s="199"/>
      <c r="Q782" s="199"/>
      <c r="R782" s="199"/>
      <c r="S782" s="136"/>
      <c r="T782" s="199"/>
      <c r="U782" s="199"/>
      <c r="V782" s="199"/>
      <c r="W782" s="199"/>
      <c r="X782" s="136"/>
      <c r="Y782" s="199"/>
      <c r="Z782" s="199"/>
      <c r="AA782" s="199"/>
      <c r="AB782" s="199"/>
      <c r="AC782" s="136"/>
      <c r="AD782" s="199"/>
      <c r="AE782" s="199"/>
      <c r="AF782" s="199"/>
      <c r="AG782" s="199"/>
      <c r="AH782" s="136"/>
      <c r="AI782" s="199"/>
      <c r="AJ782" s="199"/>
      <c r="AK782" s="199"/>
      <c r="AL782" s="199"/>
      <c r="AM782" s="136"/>
      <c r="AN782" s="199"/>
      <c r="AO782" s="199"/>
      <c r="AP782" s="199"/>
      <c r="AQ782" s="199"/>
      <c r="AR782" s="136"/>
      <c r="AS782" s="199"/>
      <c r="AT782" s="199"/>
      <c r="AU782" s="199"/>
      <c r="AV782" s="199"/>
      <c r="AW782" s="136"/>
      <c r="AX782" s="199"/>
      <c r="AY782" s="199"/>
      <c r="AZ782" s="199"/>
      <c r="BA782" s="199"/>
      <c r="BB782" s="136"/>
      <c r="BC782" s="199"/>
      <c r="BD782" s="199"/>
      <c r="BE782" s="199"/>
      <c r="BF782" s="199"/>
      <c r="BG782" s="136"/>
      <c r="BH782" s="199"/>
      <c r="BI782" s="199"/>
      <c r="BJ782" s="199"/>
    </row>
    <row r="783" spans="1:62" x14ac:dyDescent="0.25">
      <c r="A783" s="199"/>
      <c r="B783" s="136"/>
      <c r="C783" s="199"/>
      <c r="D783" s="199"/>
      <c r="E783" s="199"/>
      <c r="F783" s="199"/>
      <c r="G783" s="199"/>
      <c r="H783" s="199"/>
      <c r="I783" s="136"/>
      <c r="J783" s="199"/>
      <c r="K783" s="199"/>
      <c r="L783" s="199"/>
      <c r="M783" s="199"/>
      <c r="N783" s="136"/>
      <c r="O783" s="199"/>
      <c r="P783" s="199"/>
      <c r="Q783" s="199"/>
      <c r="R783" s="199"/>
      <c r="S783" s="136"/>
      <c r="T783" s="199"/>
      <c r="U783" s="199"/>
      <c r="V783" s="199"/>
      <c r="W783" s="199"/>
      <c r="X783" s="136"/>
      <c r="Y783" s="199"/>
      <c r="Z783" s="199"/>
      <c r="AA783" s="199"/>
      <c r="AB783" s="199"/>
      <c r="AC783" s="136"/>
      <c r="AD783" s="199"/>
      <c r="AE783" s="199"/>
      <c r="AF783" s="199"/>
      <c r="AG783" s="199"/>
      <c r="AH783" s="136"/>
      <c r="AI783" s="199"/>
      <c r="AJ783" s="199"/>
      <c r="AK783" s="199"/>
      <c r="AL783" s="199"/>
      <c r="AM783" s="136"/>
      <c r="AN783" s="199"/>
      <c r="AO783" s="199"/>
      <c r="AP783" s="199"/>
      <c r="AQ783" s="199"/>
      <c r="AR783" s="136"/>
      <c r="AS783" s="199"/>
      <c r="AT783" s="199"/>
      <c r="AU783" s="199"/>
      <c r="AV783" s="199"/>
      <c r="AW783" s="136"/>
      <c r="AX783" s="199"/>
      <c r="AY783" s="199"/>
      <c r="AZ783" s="199"/>
      <c r="BA783" s="199"/>
      <c r="BB783" s="136"/>
      <c r="BC783" s="199"/>
      <c r="BD783" s="199"/>
      <c r="BE783" s="199"/>
      <c r="BF783" s="199"/>
      <c r="BG783" s="136"/>
      <c r="BH783" s="199"/>
      <c r="BI783" s="199"/>
      <c r="BJ783" s="199"/>
    </row>
    <row r="784" spans="1:62" x14ac:dyDescent="0.25">
      <c r="A784" s="199"/>
      <c r="B784" s="136"/>
      <c r="C784" s="199"/>
      <c r="D784" s="199"/>
      <c r="E784" s="199"/>
      <c r="F784" s="199"/>
      <c r="G784" s="199"/>
      <c r="H784" s="199"/>
      <c r="I784" s="136"/>
      <c r="J784" s="199"/>
      <c r="K784" s="199"/>
      <c r="L784" s="199"/>
      <c r="M784" s="199"/>
      <c r="N784" s="136"/>
      <c r="O784" s="199"/>
      <c r="P784" s="199"/>
      <c r="Q784" s="199"/>
      <c r="R784" s="199"/>
      <c r="S784" s="136"/>
      <c r="T784" s="199"/>
      <c r="U784" s="199"/>
      <c r="V784" s="199"/>
      <c r="W784" s="199"/>
      <c r="X784" s="136"/>
      <c r="Y784" s="199"/>
      <c r="Z784" s="199"/>
      <c r="AA784" s="199"/>
      <c r="AB784" s="199"/>
      <c r="AC784" s="136"/>
      <c r="AD784" s="199"/>
      <c r="AE784" s="199"/>
      <c r="AF784" s="199"/>
      <c r="AG784" s="199"/>
      <c r="AH784" s="136"/>
      <c r="AI784" s="199"/>
      <c r="AJ784" s="199"/>
      <c r="AK784" s="199"/>
      <c r="AL784" s="199"/>
      <c r="AM784" s="136"/>
      <c r="AN784" s="199"/>
      <c r="AO784" s="199"/>
      <c r="AP784" s="199"/>
      <c r="AQ784" s="199"/>
      <c r="AR784" s="136"/>
      <c r="AS784" s="199"/>
      <c r="AT784" s="199"/>
      <c r="AU784" s="199"/>
      <c r="AV784" s="199"/>
      <c r="AW784" s="136"/>
      <c r="AX784" s="199"/>
      <c r="AY784" s="199"/>
      <c r="AZ784" s="199"/>
      <c r="BA784" s="199"/>
      <c r="BB784" s="136"/>
      <c r="BC784" s="199"/>
      <c r="BD784" s="199"/>
      <c r="BE784" s="199"/>
      <c r="BF784" s="199"/>
      <c r="BG784" s="136"/>
      <c r="BH784" s="199"/>
      <c r="BI784" s="199"/>
      <c r="BJ784" s="199"/>
    </row>
    <row r="788" spans="1:62" ht="36" x14ac:dyDescent="0.25">
      <c r="A788" s="169"/>
      <c r="B788" s="107"/>
      <c r="C788" s="107"/>
      <c r="D788" s="107"/>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row>
    <row r="789" spans="1:62" x14ac:dyDescent="0.25">
      <c r="A789" s="107"/>
      <c r="B789" s="107"/>
      <c r="C789" s="107"/>
      <c r="D789" s="107"/>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row>
    <row r="790" spans="1:62" x14ac:dyDescent="0.25">
      <c r="A790" s="107"/>
      <c r="B790" s="107"/>
      <c r="C790" s="107"/>
      <c r="D790" s="107"/>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row>
    <row r="791" spans="1:62" ht="36" x14ac:dyDescent="0.25">
      <c r="A791" s="169"/>
      <c r="B791" s="169"/>
      <c r="C791" s="169"/>
      <c r="D791" s="169"/>
      <c r="E791" s="169"/>
      <c r="F791" s="169"/>
      <c r="G791" s="169"/>
      <c r="H791" s="169"/>
      <c r="I791" s="169"/>
      <c r="J791" s="169"/>
      <c r="K791" s="169"/>
      <c r="L791" s="169"/>
      <c r="M791" s="169"/>
      <c r="N791" s="169"/>
      <c r="O791" s="169"/>
      <c r="P791" s="169"/>
      <c r="Q791" s="169"/>
      <c r="R791" s="169"/>
      <c r="S791" s="169"/>
      <c r="T791" s="169"/>
      <c r="U791" s="169"/>
      <c r="V791" s="169"/>
      <c r="W791" s="169"/>
      <c r="X791" s="169"/>
      <c r="Y791" s="169"/>
      <c r="Z791" s="169"/>
      <c r="AA791" s="169"/>
      <c r="AB791" s="169"/>
      <c r="AC791" s="169"/>
      <c r="AD791" s="169"/>
      <c r="AE791" s="169"/>
      <c r="AF791" s="169"/>
      <c r="AG791" s="169"/>
      <c r="AH791" s="169"/>
      <c r="AI791" s="169"/>
      <c r="AJ791" s="169"/>
      <c r="AK791" s="169"/>
      <c r="AL791" s="169"/>
      <c r="AM791" s="169"/>
      <c r="AN791" s="169"/>
      <c r="AO791" s="169"/>
      <c r="AP791" s="169"/>
      <c r="AQ791" s="169"/>
      <c r="AR791" s="169"/>
      <c r="AS791" s="169"/>
      <c r="AT791" s="169"/>
      <c r="AU791" s="169"/>
      <c r="AV791" s="169"/>
      <c r="AW791" s="169"/>
      <c r="AX791" s="169"/>
      <c r="AY791" s="169"/>
      <c r="AZ791" s="169"/>
      <c r="BA791" s="169"/>
      <c r="BB791" s="169"/>
      <c r="BC791" s="169"/>
      <c r="BD791" s="169"/>
      <c r="BE791" s="169"/>
      <c r="BF791" s="169"/>
      <c r="BG791" s="169"/>
      <c r="BH791" s="169"/>
      <c r="BI791" s="169"/>
      <c r="BJ791" s="169"/>
    </row>
    <row r="792" spans="1:62" ht="36" x14ac:dyDescent="0.25">
      <c r="A792" s="169"/>
      <c r="B792" s="169"/>
      <c r="C792" s="169"/>
      <c r="D792" s="169"/>
      <c r="E792" s="169"/>
      <c r="F792" s="169"/>
      <c r="G792" s="169"/>
      <c r="H792" s="169"/>
      <c r="I792" s="169"/>
      <c r="J792" s="169"/>
      <c r="K792" s="169"/>
      <c r="L792" s="169"/>
      <c r="M792" s="169"/>
      <c r="N792" s="169"/>
      <c r="O792" s="169"/>
      <c r="P792" s="169"/>
      <c r="Q792" s="169"/>
      <c r="R792" s="169"/>
      <c r="S792" s="169"/>
      <c r="T792" s="169"/>
      <c r="U792" s="169"/>
      <c r="V792" s="169"/>
      <c r="W792" s="169"/>
      <c r="X792" s="169"/>
      <c r="Y792" s="169"/>
      <c r="Z792" s="169"/>
      <c r="AA792" s="169"/>
      <c r="AB792" s="169"/>
      <c r="AC792" s="169"/>
      <c r="AD792" s="169"/>
      <c r="AE792" s="169"/>
      <c r="AF792" s="169"/>
      <c r="AG792" s="169"/>
      <c r="AH792" s="169"/>
      <c r="AI792" s="169"/>
      <c r="AJ792" s="169"/>
      <c r="AK792" s="169"/>
      <c r="AL792" s="169"/>
      <c r="AM792" s="169"/>
      <c r="AN792" s="169"/>
      <c r="AO792" s="169"/>
      <c r="AP792" s="169"/>
      <c r="AQ792" s="169"/>
      <c r="AR792" s="169"/>
      <c r="AS792" s="169"/>
      <c r="AT792" s="169"/>
      <c r="AU792" s="169"/>
      <c r="AV792" s="169"/>
      <c r="AW792" s="169"/>
      <c r="AX792" s="169"/>
      <c r="AY792" s="169"/>
      <c r="AZ792" s="169"/>
      <c r="BA792" s="169"/>
      <c r="BB792" s="169"/>
      <c r="BC792" s="169"/>
      <c r="BD792" s="169"/>
      <c r="BE792" s="169"/>
      <c r="BF792" s="169"/>
      <c r="BG792" s="169"/>
      <c r="BH792" s="169"/>
      <c r="BI792" s="169"/>
      <c r="BJ792" s="169"/>
    </row>
    <row r="793" spans="1:62" ht="36" x14ac:dyDescent="0.25">
      <c r="A793" s="169"/>
      <c r="B793" s="169"/>
      <c r="C793" s="169"/>
      <c r="D793" s="169"/>
      <c r="E793" s="169"/>
      <c r="F793" s="169"/>
      <c r="G793" s="169"/>
      <c r="H793" s="169"/>
      <c r="I793" s="169"/>
      <c r="J793" s="169"/>
      <c r="K793" s="169"/>
      <c r="L793" s="169"/>
      <c r="M793" s="169"/>
      <c r="N793" s="169"/>
      <c r="O793" s="169"/>
      <c r="P793" s="169"/>
      <c r="Q793" s="169"/>
      <c r="R793" s="169"/>
      <c r="S793" s="169"/>
      <c r="T793" s="169"/>
      <c r="U793" s="169"/>
      <c r="V793" s="169"/>
      <c r="W793" s="169"/>
      <c r="X793" s="169"/>
      <c r="Y793" s="169"/>
      <c r="Z793" s="169"/>
      <c r="AA793" s="169"/>
      <c r="AB793" s="169"/>
      <c r="AC793" s="169"/>
      <c r="AD793" s="169"/>
      <c r="AE793" s="169"/>
      <c r="AF793" s="169"/>
      <c r="AG793" s="169"/>
      <c r="AH793" s="169"/>
      <c r="AI793" s="169"/>
      <c r="AJ793" s="169"/>
      <c r="AK793" s="169"/>
      <c r="AL793" s="169"/>
      <c r="AM793" s="169"/>
      <c r="AN793" s="169"/>
      <c r="AO793" s="169"/>
      <c r="AP793" s="169"/>
      <c r="AQ793" s="169"/>
      <c r="AR793" s="169"/>
      <c r="AS793" s="169"/>
      <c r="AT793" s="169"/>
      <c r="AU793" s="169"/>
      <c r="AV793" s="169"/>
      <c r="AW793" s="169"/>
      <c r="AX793" s="169"/>
      <c r="AY793" s="169"/>
      <c r="AZ793" s="169"/>
      <c r="BA793" s="169"/>
      <c r="BB793" s="169"/>
      <c r="BC793" s="169"/>
      <c r="BD793" s="169"/>
      <c r="BE793" s="169"/>
      <c r="BF793" s="169"/>
      <c r="BG793" s="169"/>
      <c r="BH793" s="169"/>
      <c r="BI793" s="169"/>
      <c r="BJ793" s="169"/>
    </row>
    <row r="794" spans="1:62" x14ac:dyDescent="0.25">
      <c r="F794" s="194"/>
      <c r="G794" s="194"/>
    </row>
    <row r="796" spans="1:62" x14ac:dyDescent="0.25">
      <c r="A796" s="199"/>
      <c r="B796" s="136"/>
      <c r="C796" s="199"/>
      <c r="D796" s="199"/>
      <c r="E796" s="199"/>
      <c r="F796" s="199"/>
      <c r="G796" s="199"/>
      <c r="H796" s="199"/>
      <c r="I796" s="136"/>
      <c r="J796" s="199"/>
      <c r="K796" s="199"/>
      <c r="L796" s="199"/>
      <c r="M796" s="199"/>
      <c r="N796" s="136"/>
      <c r="O796" s="199"/>
      <c r="P796" s="199"/>
      <c r="Q796" s="199"/>
      <c r="R796" s="199"/>
      <c r="S796" s="136"/>
      <c r="T796" s="199"/>
      <c r="U796" s="199"/>
      <c r="V796" s="199"/>
      <c r="W796" s="199"/>
      <c r="X796" s="136"/>
      <c r="Y796" s="199"/>
      <c r="Z796" s="199"/>
      <c r="AA796" s="199"/>
      <c r="AB796" s="199"/>
      <c r="AC796" s="136"/>
      <c r="AD796" s="199"/>
      <c r="AE796" s="199"/>
      <c r="AF796" s="199"/>
      <c r="AG796" s="199"/>
      <c r="AH796" s="136"/>
      <c r="AI796" s="199"/>
      <c r="AJ796" s="199"/>
      <c r="AK796" s="199"/>
      <c r="AL796" s="199"/>
      <c r="AM796" s="136"/>
      <c r="AN796" s="199"/>
      <c r="AO796" s="199"/>
      <c r="AP796" s="199"/>
      <c r="AQ796" s="199"/>
      <c r="AR796" s="136"/>
      <c r="AS796" s="199"/>
      <c r="AT796" s="199"/>
      <c r="AU796" s="199"/>
      <c r="AV796" s="199"/>
      <c r="AW796" s="136"/>
      <c r="AX796" s="199"/>
      <c r="AY796" s="199"/>
      <c r="AZ796" s="199"/>
      <c r="BA796" s="199"/>
      <c r="BB796" s="136"/>
      <c r="BC796" s="199"/>
      <c r="BD796" s="199"/>
      <c r="BE796" s="199"/>
      <c r="BF796" s="199"/>
      <c r="BG796" s="136"/>
      <c r="BH796" s="199"/>
      <c r="BI796" s="199"/>
      <c r="BJ796" s="199"/>
    </row>
    <row r="797" spans="1:62" x14ac:dyDescent="0.25">
      <c r="A797" s="199"/>
      <c r="B797" s="136"/>
      <c r="C797" s="199"/>
      <c r="D797" s="199"/>
      <c r="E797" s="199"/>
      <c r="F797" s="199"/>
      <c r="G797" s="199"/>
      <c r="H797" s="199"/>
      <c r="I797" s="136"/>
      <c r="J797" s="199"/>
      <c r="K797" s="199"/>
      <c r="L797" s="199"/>
      <c r="M797" s="199"/>
      <c r="N797" s="136"/>
      <c r="O797" s="199"/>
      <c r="P797" s="199"/>
      <c r="Q797" s="199"/>
      <c r="R797" s="199"/>
      <c r="S797" s="136"/>
      <c r="T797" s="199"/>
      <c r="U797" s="199"/>
      <c r="V797" s="199"/>
      <c r="W797" s="199"/>
      <c r="X797" s="136"/>
      <c r="Y797" s="199"/>
      <c r="Z797" s="199"/>
      <c r="AA797" s="199"/>
      <c r="AB797" s="199"/>
      <c r="AC797" s="136"/>
      <c r="AD797" s="199"/>
      <c r="AE797" s="199"/>
      <c r="AF797" s="199"/>
      <c r="AG797" s="199"/>
      <c r="AH797" s="136"/>
      <c r="AI797" s="199"/>
      <c r="AJ797" s="199"/>
      <c r="AK797" s="199"/>
      <c r="AL797" s="199"/>
      <c r="AM797" s="136"/>
      <c r="AN797" s="199"/>
      <c r="AO797" s="199"/>
      <c r="AP797" s="199"/>
      <c r="AQ797" s="199"/>
      <c r="AR797" s="136"/>
      <c r="AS797" s="199"/>
      <c r="AT797" s="199"/>
      <c r="AU797" s="199"/>
      <c r="AV797" s="199"/>
      <c r="AW797" s="136"/>
      <c r="AX797" s="199"/>
      <c r="AY797" s="199"/>
      <c r="AZ797" s="199"/>
      <c r="BA797" s="199"/>
      <c r="BB797" s="136"/>
      <c r="BC797" s="199"/>
      <c r="BD797" s="199"/>
      <c r="BE797" s="199"/>
      <c r="BF797" s="199"/>
      <c r="BG797" s="136"/>
      <c r="BH797" s="199"/>
      <c r="BI797" s="199"/>
      <c r="BJ797" s="199"/>
    </row>
    <row r="798" spans="1:62" x14ac:dyDescent="0.25">
      <c r="A798" s="199"/>
      <c r="B798" s="136"/>
      <c r="C798" s="199"/>
      <c r="D798" s="199"/>
      <c r="E798" s="199"/>
      <c r="F798" s="199"/>
      <c r="G798" s="199"/>
      <c r="H798" s="199"/>
      <c r="I798" s="136"/>
      <c r="J798" s="199"/>
      <c r="K798" s="199"/>
      <c r="L798" s="199"/>
      <c r="M798" s="199"/>
      <c r="N798" s="136"/>
      <c r="O798" s="199"/>
      <c r="P798" s="199"/>
      <c r="Q798" s="199"/>
      <c r="R798" s="199"/>
      <c r="S798" s="136"/>
      <c r="T798" s="199"/>
      <c r="U798" s="199"/>
      <c r="V798" s="199"/>
      <c r="W798" s="199"/>
      <c r="X798" s="136"/>
      <c r="Y798" s="199"/>
      <c r="Z798" s="199"/>
      <c r="AA798" s="199"/>
      <c r="AB798" s="199"/>
      <c r="AC798" s="136"/>
      <c r="AD798" s="199"/>
      <c r="AE798" s="199"/>
      <c r="AF798" s="199"/>
      <c r="AG798" s="199"/>
      <c r="AH798" s="136"/>
      <c r="AI798" s="199"/>
      <c r="AJ798" s="199"/>
      <c r="AK798" s="199"/>
      <c r="AL798" s="199"/>
      <c r="AM798" s="136"/>
      <c r="AN798" s="199"/>
      <c r="AO798" s="199"/>
      <c r="AP798" s="199"/>
      <c r="AQ798" s="199"/>
      <c r="AR798" s="136"/>
      <c r="AS798" s="199"/>
      <c r="AT798" s="199"/>
      <c r="AU798" s="199"/>
      <c r="AV798" s="199"/>
      <c r="AW798" s="136"/>
      <c r="AX798" s="199"/>
      <c r="AY798" s="199"/>
      <c r="AZ798" s="199"/>
      <c r="BA798" s="199"/>
      <c r="BB798" s="136"/>
      <c r="BC798" s="199"/>
      <c r="BD798" s="199"/>
      <c r="BE798" s="199"/>
      <c r="BF798" s="199"/>
      <c r="BG798" s="136"/>
      <c r="BH798" s="199"/>
      <c r="BI798" s="199"/>
      <c r="BJ798" s="199"/>
    </row>
    <row r="799" spans="1:62" x14ac:dyDescent="0.25">
      <c r="A799" s="199"/>
      <c r="B799" s="136"/>
      <c r="C799" s="199"/>
      <c r="D799" s="199"/>
      <c r="E799" s="199"/>
      <c r="F799" s="199"/>
      <c r="G799" s="199"/>
      <c r="H799" s="199"/>
      <c r="I799" s="136"/>
      <c r="J799" s="199"/>
      <c r="K799" s="199"/>
      <c r="L799" s="199"/>
      <c r="M799" s="199"/>
      <c r="N799" s="136"/>
      <c r="O799" s="199"/>
      <c r="P799" s="199"/>
      <c r="Q799" s="199"/>
      <c r="R799" s="199"/>
      <c r="S799" s="136"/>
      <c r="T799" s="199"/>
      <c r="U799" s="199"/>
      <c r="V799" s="199"/>
      <c r="W799" s="199"/>
      <c r="X799" s="136"/>
      <c r="Y799" s="199"/>
      <c r="Z799" s="199"/>
      <c r="AA799" s="199"/>
      <c r="AB799" s="199"/>
      <c r="AC799" s="136"/>
      <c r="AD799" s="199"/>
      <c r="AE799" s="199"/>
      <c r="AF799" s="199"/>
      <c r="AG799" s="199"/>
      <c r="AH799" s="136"/>
      <c r="AI799" s="199"/>
      <c r="AJ799" s="199"/>
      <c r="AK799" s="199"/>
      <c r="AL799" s="199"/>
      <c r="AM799" s="136"/>
      <c r="AN799" s="199"/>
      <c r="AO799" s="199"/>
      <c r="AP799" s="199"/>
      <c r="AQ799" s="199"/>
      <c r="AR799" s="136"/>
      <c r="AS799" s="199"/>
      <c r="AT799" s="199"/>
      <c r="AU799" s="199"/>
      <c r="AV799" s="199"/>
      <c r="AW799" s="136"/>
      <c r="AX799" s="199"/>
      <c r="AY799" s="199"/>
      <c r="AZ799" s="199"/>
      <c r="BA799" s="199"/>
      <c r="BB799" s="136"/>
      <c r="BC799" s="199"/>
      <c r="BD799" s="199"/>
      <c r="BE799" s="199"/>
      <c r="BF799" s="199"/>
      <c r="BG799" s="136"/>
      <c r="BH799" s="199"/>
      <c r="BI799" s="199"/>
      <c r="BJ799" s="199"/>
    </row>
    <row r="800" spans="1:62" x14ac:dyDescent="0.25">
      <c r="A800" s="199"/>
      <c r="B800" s="136"/>
      <c r="C800" s="199"/>
      <c r="D800" s="199"/>
      <c r="E800" s="199"/>
      <c r="F800" s="199"/>
      <c r="G800" s="199"/>
      <c r="H800" s="199"/>
      <c r="I800" s="136"/>
      <c r="J800" s="199"/>
      <c r="K800" s="199"/>
      <c r="L800" s="199"/>
      <c r="M800" s="199"/>
      <c r="N800" s="136"/>
      <c r="O800" s="199"/>
      <c r="P800" s="199"/>
      <c r="Q800" s="199"/>
      <c r="R800" s="199"/>
      <c r="S800" s="136"/>
      <c r="T800" s="199"/>
      <c r="U800" s="199"/>
      <c r="V800" s="199"/>
      <c r="W800" s="199"/>
      <c r="X800" s="136"/>
      <c r="Y800" s="199"/>
      <c r="Z800" s="199"/>
      <c r="AA800" s="199"/>
      <c r="AB800" s="199"/>
      <c r="AC800" s="136"/>
      <c r="AD800" s="199"/>
      <c r="AE800" s="199"/>
      <c r="AF800" s="199"/>
      <c r="AG800" s="199"/>
      <c r="AH800" s="136"/>
      <c r="AI800" s="199"/>
      <c r="AJ800" s="199"/>
      <c r="AK800" s="199"/>
      <c r="AL800" s="199"/>
      <c r="AM800" s="136"/>
      <c r="AN800" s="199"/>
      <c r="AO800" s="199"/>
      <c r="AP800" s="199"/>
      <c r="AQ800" s="199"/>
      <c r="AR800" s="136"/>
      <c r="AS800" s="199"/>
      <c r="AT800" s="199"/>
      <c r="AU800" s="199"/>
      <c r="AV800" s="199"/>
      <c r="AW800" s="136"/>
      <c r="AX800" s="199"/>
      <c r="AY800" s="199"/>
      <c r="AZ800" s="199"/>
      <c r="BA800" s="199"/>
      <c r="BB800" s="136"/>
      <c r="BC800" s="199"/>
      <c r="BD800" s="199"/>
      <c r="BE800" s="199"/>
      <c r="BF800" s="199"/>
      <c r="BG800" s="136"/>
      <c r="BH800" s="199"/>
      <c r="BI800" s="199"/>
      <c r="BJ800" s="199"/>
    </row>
    <row r="801" spans="1:62" x14ac:dyDescent="0.25">
      <c r="A801" s="199"/>
      <c r="B801" s="136"/>
      <c r="C801" s="199"/>
      <c r="D801" s="199"/>
      <c r="E801" s="199"/>
      <c r="F801" s="199"/>
      <c r="G801" s="199"/>
      <c r="H801" s="199"/>
      <c r="I801" s="136"/>
      <c r="J801" s="199"/>
      <c r="K801" s="199"/>
      <c r="L801" s="199"/>
      <c r="M801" s="199"/>
      <c r="N801" s="136"/>
      <c r="O801" s="199"/>
      <c r="P801" s="199"/>
      <c r="Q801" s="199"/>
      <c r="R801" s="199"/>
      <c r="S801" s="136"/>
      <c r="T801" s="199"/>
      <c r="U801" s="199"/>
      <c r="V801" s="199"/>
      <c r="W801" s="199"/>
      <c r="X801" s="136"/>
      <c r="Y801" s="199"/>
      <c r="Z801" s="199"/>
      <c r="AA801" s="199"/>
      <c r="AB801" s="199"/>
      <c r="AC801" s="136"/>
      <c r="AD801" s="199"/>
      <c r="AE801" s="199"/>
      <c r="AF801" s="199"/>
      <c r="AG801" s="199"/>
      <c r="AH801" s="136"/>
      <c r="AI801" s="199"/>
      <c r="AJ801" s="199"/>
      <c r="AK801" s="199"/>
      <c r="AL801" s="199"/>
      <c r="AM801" s="136"/>
      <c r="AN801" s="199"/>
      <c r="AO801" s="199"/>
      <c r="AP801" s="199"/>
      <c r="AQ801" s="199"/>
      <c r="AR801" s="136"/>
      <c r="AS801" s="199"/>
      <c r="AT801" s="199"/>
      <c r="AU801" s="199"/>
      <c r="AV801" s="199"/>
      <c r="AW801" s="136"/>
      <c r="AX801" s="199"/>
      <c r="AY801" s="199"/>
      <c r="AZ801" s="199"/>
      <c r="BA801" s="199"/>
      <c r="BB801" s="136"/>
      <c r="BC801" s="199"/>
      <c r="BD801" s="199"/>
      <c r="BE801" s="199"/>
      <c r="BF801" s="199"/>
      <c r="BG801" s="136"/>
      <c r="BH801" s="199"/>
      <c r="BI801" s="199"/>
      <c r="BJ801" s="199"/>
    </row>
    <row r="802" spans="1:62" x14ac:dyDescent="0.25">
      <c r="A802" s="199"/>
      <c r="B802" s="136"/>
      <c r="C802" s="199"/>
      <c r="D802" s="199"/>
      <c r="E802" s="199"/>
      <c r="F802" s="199"/>
      <c r="G802" s="199"/>
      <c r="H802" s="199"/>
      <c r="I802" s="136"/>
      <c r="J802" s="199"/>
      <c r="K802" s="199"/>
      <c r="L802" s="199"/>
      <c r="M802" s="199"/>
      <c r="N802" s="136"/>
      <c r="O802" s="199"/>
      <c r="P802" s="199"/>
      <c r="Q802" s="199"/>
      <c r="R802" s="199"/>
      <c r="S802" s="136"/>
      <c r="T802" s="199"/>
      <c r="U802" s="199"/>
      <c r="V802" s="199"/>
      <c r="W802" s="199"/>
      <c r="X802" s="136"/>
      <c r="Y802" s="199"/>
      <c r="Z802" s="199"/>
      <c r="AA802" s="199"/>
      <c r="AB802" s="199"/>
      <c r="AC802" s="136"/>
      <c r="AD802" s="199"/>
      <c r="AE802" s="199"/>
      <c r="AF802" s="199"/>
      <c r="AG802" s="199"/>
      <c r="AH802" s="136"/>
      <c r="AI802" s="199"/>
      <c r="AJ802" s="199"/>
      <c r="AK802" s="199"/>
      <c r="AL802" s="199"/>
      <c r="AM802" s="136"/>
      <c r="AN802" s="199"/>
      <c r="AO802" s="199"/>
      <c r="AP802" s="199"/>
      <c r="AQ802" s="199"/>
      <c r="AR802" s="136"/>
      <c r="AS802" s="199"/>
      <c r="AT802" s="199"/>
      <c r="AU802" s="199"/>
      <c r="AV802" s="199"/>
      <c r="AW802" s="136"/>
      <c r="AX802" s="199"/>
      <c r="AY802" s="199"/>
      <c r="AZ802" s="199"/>
      <c r="BA802" s="199"/>
      <c r="BB802" s="136"/>
      <c r="BC802" s="199"/>
      <c r="BD802" s="199"/>
      <c r="BE802" s="199"/>
      <c r="BF802" s="199"/>
      <c r="BG802" s="136"/>
      <c r="BH802" s="199"/>
      <c r="BI802" s="199"/>
      <c r="BJ802" s="199"/>
    </row>
    <row r="803" spans="1:62" x14ac:dyDescent="0.25">
      <c r="A803" s="199"/>
      <c r="B803" s="136"/>
      <c r="C803" s="199"/>
      <c r="D803" s="199"/>
      <c r="E803" s="199"/>
      <c r="F803" s="199"/>
      <c r="G803" s="199"/>
      <c r="H803" s="199"/>
      <c r="I803" s="136"/>
      <c r="J803" s="199"/>
      <c r="K803" s="199"/>
      <c r="L803" s="199"/>
      <c r="M803" s="199"/>
      <c r="N803" s="136"/>
      <c r="O803" s="199"/>
      <c r="P803" s="199"/>
      <c r="Q803" s="199"/>
      <c r="R803" s="199"/>
      <c r="S803" s="136"/>
      <c r="T803" s="199"/>
      <c r="U803" s="199"/>
      <c r="V803" s="199"/>
      <c r="W803" s="199"/>
      <c r="X803" s="136"/>
      <c r="Y803" s="199"/>
      <c r="Z803" s="199"/>
      <c r="AA803" s="199"/>
      <c r="AB803" s="199"/>
      <c r="AC803" s="136"/>
      <c r="AD803" s="199"/>
      <c r="AE803" s="199"/>
      <c r="AF803" s="199"/>
      <c r="AG803" s="199"/>
      <c r="AH803" s="136"/>
      <c r="AI803" s="199"/>
      <c r="AJ803" s="199"/>
      <c r="AK803" s="199"/>
      <c r="AL803" s="199"/>
      <c r="AM803" s="136"/>
      <c r="AN803" s="199"/>
      <c r="AO803" s="199"/>
      <c r="AP803" s="199"/>
      <c r="AQ803" s="199"/>
      <c r="AR803" s="136"/>
      <c r="AS803" s="199"/>
      <c r="AT803" s="199"/>
      <c r="AU803" s="199"/>
      <c r="AV803" s="199"/>
      <c r="AW803" s="136"/>
      <c r="AX803" s="199"/>
      <c r="AY803" s="199"/>
      <c r="AZ803" s="199"/>
      <c r="BA803" s="199"/>
      <c r="BB803" s="136"/>
      <c r="BC803" s="199"/>
      <c r="BD803" s="199"/>
      <c r="BE803" s="199"/>
      <c r="BF803" s="199"/>
      <c r="BG803" s="136"/>
      <c r="BH803" s="199"/>
      <c r="BI803" s="199"/>
      <c r="BJ803" s="199"/>
    </row>
    <row r="807" spans="1:62" ht="36" x14ac:dyDescent="0.25">
      <c r="A807" s="169"/>
      <c r="B807" s="107"/>
      <c r="C807" s="107"/>
      <c r="D807" s="107"/>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c r="AA807" s="107"/>
      <c r="AB807" s="107"/>
      <c r="AC807" s="107"/>
      <c r="AD807" s="107"/>
      <c r="AE807" s="107"/>
      <c r="AF807" s="107"/>
      <c r="AG807" s="107"/>
      <c r="AH807" s="107"/>
      <c r="AI807" s="107"/>
      <c r="AJ807" s="107"/>
      <c r="AK807" s="107"/>
      <c r="AL807" s="107"/>
      <c r="AM807" s="107"/>
      <c r="AN807" s="107"/>
      <c r="AO807" s="107"/>
      <c r="AP807" s="107"/>
      <c r="AQ807" s="107"/>
      <c r="AR807" s="107"/>
      <c r="AS807" s="107"/>
      <c r="AT807" s="107"/>
      <c r="AU807" s="107"/>
      <c r="AV807" s="107"/>
      <c r="AW807" s="107"/>
      <c r="AX807" s="107"/>
      <c r="AY807" s="107"/>
      <c r="AZ807" s="107"/>
      <c r="BA807" s="107"/>
      <c r="BB807" s="107"/>
      <c r="BC807" s="107"/>
      <c r="BD807" s="107"/>
      <c r="BE807" s="107"/>
      <c r="BF807" s="107"/>
      <c r="BG807" s="107"/>
      <c r="BH807" s="107"/>
      <c r="BI807" s="107"/>
      <c r="BJ807" s="107"/>
    </row>
    <row r="808" spans="1:62" x14ac:dyDescent="0.25">
      <c r="A808" s="107"/>
      <c r="B808" s="107"/>
      <c r="C808" s="107"/>
      <c r="D808" s="107"/>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c r="AA808" s="107"/>
      <c r="AB808" s="107"/>
      <c r="AC808" s="107"/>
      <c r="AD808" s="107"/>
      <c r="AE808" s="107"/>
      <c r="AF808" s="107"/>
      <c r="AG808" s="107"/>
      <c r="AH808" s="107"/>
      <c r="AI808" s="107"/>
      <c r="AJ808" s="107"/>
      <c r="AK808" s="107"/>
      <c r="AL808" s="107"/>
      <c r="AM808" s="107"/>
      <c r="AN808" s="107"/>
      <c r="AO808" s="107"/>
      <c r="AP808" s="107"/>
      <c r="AQ808" s="107"/>
      <c r="AR808" s="107"/>
      <c r="AS808" s="107"/>
      <c r="AT808" s="107"/>
      <c r="AU808" s="107"/>
      <c r="AV808" s="107"/>
      <c r="AW808" s="107"/>
      <c r="AX808" s="107"/>
      <c r="AY808" s="107"/>
      <c r="AZ808" s="107"/>
      <c r="BA808" s="107"/>
      <c r="BB808" s="107"/>
      <c r="BC808" s="107"/>
      <c r="BD808" s="107"/>
      <c r="BE808" s="107"/>
      <c r="BF808" s="107"/>
      <c r="BG808" s="107"/>
      <c r="BH808" s="107"/>
      <c r="BI808" s="107"/>
      <c r="BJ808" s="107"/>
    </row>
    <row r="809" spans="1:62" x14ac:dyDescent="0.25">
      <c r="A809" s="107"/>
      <c r="B809" s="107"/>
      <c r="C809" s="107"/>
      <c r="D809" s="107"/>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AQ809" s="107"/>
      <c r="AR809" s="107"/>
      <c r="AS809" s="107"/>
      <c r="AT809" s="107"/>
      <c r="AU809" s="107"/>
      <c r="AV809" s="107"/>
      <c r="AW809" s="107"/>
      <c r="AX809" s="107"/>
      <c r="AY809" s="107"/>
      <c r="AZ809" s="107"/>
      <c r="BA809" s="107"/>
      <c r="BB809" s="107"/>
      <c r="BC809" s="107"/>
      <c r="BD809" s="107"/>
      <c r="BE809" s="107"/>
      <c r="BF809" s="107"/>
      <c r="BG809" s="107"/>
      <c r="BH809" s="107"/>
      <c r="BI809" s="107"/>
      <c r="BJ809" s="107"/>
    </row>
    <row r="810" spans="1:62" ht="36" x14ac:dyDescent="0.25">
      <c r="A810" s="169"/>
      <c r="B810" s="169"/>
      <c r="C810" s="169"/>
      <c r="D810" s="169"/>
      <c r="E810" s="169"/>
      <c r="F810" s="169"/>
      <c r="G810" s="169"/>
      <c r="H810" s="169"/>
      <c r="I810" s="169"/>
      <c r="J810" s="169"/>
      <c r="K810" s="169"/>
      <c r="L810" s="169"/>
      <c r="M810" s="169"/>
      <c r="N810" s="169"/>
      <c r="O810" s="169"/>
      <c r="P810" s="169"/>
      <c r="Q810" s="169"/>
      <c r="R810" s="169"/>
      <c r="S810" s="169"/>
      <c r="T810" s="169"/>
      <c r="U810" s="169"/>
      <c r="V810" s="169"/>
      <c r="W810" s="169"/>
      <c r="X810" s="169"/>
      <c r="Y810" s="169"/>
      <c r="Z810" s="169"/>
      <c r="AA810" s="169"/>
      <c r="AB810" s="169"/>
      <c r="AC810" s="169"/>
      <c r="AD810" s="169"/>
      <c r="AE810" s="169"/>
      <c r="AF810" s="169"/>
      <c r="AG810" s="169"/>
      <c r="AH810" s="169"/>
      <c r="AI810" s="169"/>
      <c r="AJ810" s="169"/>
      <c r="AK810" s="169"/>
      <c r="AL810" s="169"/>
      <c r="AM810" s="169"/>
      <c r="AN810" s="169"/>
      <c r="AO810" s="169"/>
      <c r="AP810" s="169"/>
      <c r="AQ810" s="169"/>
      <c r="AR810" s="169"/>
      <c r="AS810" s="169"/>
      <c r="AT810" s="169"/>
      <c r="AU810" s="169"/>
      <c r="AV810" s="169"/>
      <c r="AW810" s="169"/>
      <c r="AX810" s="169"/>
      <c r="AY810" s="169"/>
      <c r="AZ810" s="169"/>
      <c r="BA810" s="169"/>
      <c r="BB810" s="169"/>
      <c r="BC810" s="169"/>
      <c r="BD810" s="169"/>
      <c r="BE810" s="169"/>
      <c r="BF810" s="169"/>
      <c r="BG810" s="169"/>
      <c r="BH810" s="169"/>
      <c r="BI810" s="169"/>
      <c r="BJ810" s="169"/>
    </row>
    <row r="811" spans="1:62" ht="36" x14ac:dyDescent="0.25">
      <c r="A811" s="169"/>
      <c r="B811" s="169"/>
      <c r="C811" s="169"/>
      <c r="D811" s="169"/>
      <c r="E811" s="169"/>
      <c r="F811" s="169"/>
      <c r="G811" s="169"/>
      <c r="H811" s="169"/>
      <c r="I811" s="169"/>
      <c r="J811" s="169"/>
      <c r="K811" s="169"/>
      <c r="L811" s="169"/>
      <c r="M811" s="169"/>
      <c r="N811" s="169"/>
      <c r="O811" s="169"/>
      <c r="P811" s="169"/>
      <c r="Q811" s="169"/>
      <c r="R811" s="169"/>
      <c r="S811" s="169"/>
      <c r="T811" s="169"/>
      <c r="U811" s="169"/>
      <c r="V811" s="169"/>
      <c r="W811" s="169"/>
      <c r="X811" s="169"/>
      <c r="Y811" s="169"/>
      <c r="Z811" s="169"/>
      <c r="AA811" s="169"/>
      <c r="AB811" s="169"/>
      <c r="AC811" s="169"/>
      <c r="AD811" s="169"/>
      <c r="AE811" s="169"/>
      <c r="AF811" s="169"/>
      <c r="AG811" s="169"/>
      <c r="AH811" s="169"/>
      <c r="AI811" s="169"/>
      <c r="AJ811" s="169"/>
      <c r="AK811" s="169"/>
      <c r="AL811" s="169"/>
      <c r="AM811" s="169"/>
      <c r="AN811" s="169"/>
      <c r="AO811" s="169"/>
      <c r="AP811" s="169"/>
      <c r="AQ811" s="169"/>
      <c r="AR811" s="169"/>
      <c r="AS811" s="169"/>
      <c r="AT811" s="169"/>
      <c r="AU811" s="169"/>
      <c r="AV811" s="169"/>
      <c r="AW811" s="169"/>
      <c r="AX811" s="169"/>
      <c r="AY811" s="169"/>
      <c r="AZ811" s="169"/>
      <c r="BA811" s="169"/>
      <c r="BB811" s="169"/>
      <c r="BC811" s="169"/>
      <c r="BD811" s="169"/>
      <c r="BE811" s="169"/>
      <c r="BF811" s="169"/>
      <c r="BG811" s="169"/>
      <c r="BH811" s="169"/>
      <c r="BI811" s="169"/>
      <c r="BJ811" s="169"/>
    </row>
    <row r="812" spans="1:62" ht="36" x14ac:dyDescent="0.25">
      <c r="A812" s="169"/>
      <c r="B812" s="169"/>
      <c r="C812" s="169"/>
      <c r="D812" s="169"/>
      <c r="E812" s="169"/>
      <c r="F812" s="169"/>
      <c r="G812" s="169"/>
      <c r="H812" s="169"/>
      <c r="I812" s="169"/>
      <c r="J812" s="169"/>
      <c r="K812" s="169"/>
      <c r="L812" s="169"/>
      <c r="M812" s="169"/>
      <c r="N812" s="169"/>
      <c r="O812" s="169"/>
      <c r="P812" s="169"/>
      <c r="Q812" s="169"/>
      <c r="R812" s="169"/>
      <c r="S812" s="169"/>
      <c r="T812" s="169"/>
      <c r="U812" s="169"/>
      <c r="V812" s="169"/>
      <c r="W812" s="169"/>
      <c r="X812" s="169"/>
      <c r="Y812" s="169"/>
      <c r="Z812" s="169"/>
      <c r="AA812" s="169"/>
      <c r="AB812" s="169"/>
      <c r="AC812" s="169"/>
      <c r="AD812" s="169"/>
      <c r="AE812" s="169"/>
      <c r="AF812" s="169"/>
      <c r="AG812" s="169"/>
      <c r="AH812" s="169"/>
      <c r="AI812" s="169"/>
      <c r="AJ812" s="169"/>
      <c r="AK812" s="169"/>
      <c r="AL812" s="169"/>
      <c r="AM812" s="169"/>
      <c r="AN812" s="169"/>
      <c r="AO812" s="169"/>
      <c r="AP812" s="169"/>
      <c r="AQ812" s="169"/>
      <c r="AR812" s="169"/>
      <c r="AS812" s="169"/>
      <c r="AT812" s="169"/>
      <c r="AU812" s="169"/>
      <c r="AV812" s="169"/>
      <c r="AW812" s="169"/>
      <c r="AX812" s="169"/>
      <c r="AY812" s="169"/>
      <c r="AZ812" s="169"/>
      <c r="BA812" s="169"/>
      <c r="BB812" s="169"/>
      <c r="BC812" s="169"/>
      <c r="BD812" s="169"/>
      <c r="BE812" s="169"/>
      <c r="BF812" s="169"/>
      <c r="BG812" s="169"/>
      <c r="BH812" s="169"/>
      <c r="BI812" s="169"/>
      <c r="BJ812" s="169"/>
    </row>
    <row r="813" spans="1:62" x14ac:dyDescent="0.25">
      <c r="F813" s="194"/>
      <c r="G813" s="194"/>
    </row>
    <row r="815" spans="1:62" x14ac:dyDescent="0.25">
      <c r="A815" s="199"/>
      <c r="B815" s="136"/>
      <c r="C815" s="199"/>
      <c r="D815" s="199"/>
      <c r="E815" s="199"/>
      <c r="F815" s="199"/>
      <c r="G815" s="199"/>
      <c r="H815" s="199"/>
      <c r="I815" s="136"/>
      <c r="J815" s="199"/>
      <c r="K815" s="199"/>
      <c r="L815" s="199"/>
      <c r="M815" s="199"/>
      <c r="N815" s="136"/>
      <c r="O815" s="199"/>
      <c r="P815" s="199"/>
      <c r="Q815" s="199"/>
      <c r="R815" s="199"/>
      <c r="S815" s="136"/>
      <c r="T815" s="199"/>
      <c r="U815" s="199"/>
      <c r="V815" s="199"/>
      <c r="W815" s="199"/>
      <c r="X815" s="136"/>
      <c r="Y815" s="199"/>
      <c r="Z815" s="199"/>
      <c r="AA815" s="199"/>
      <c r="AB815" s="199"/>
      <c r="AC815" s="136"/>
      <c r="AD815" s="199"/>
      <c r="AE815" s="199"/>
      <c r="AF815" s="199"/>
      <c r="AG815" s="199"/>
      <c r="AH815" s="136"/>
      <c r="AI815" s="199"/>
      <c r="AJ815" s="199"/>
      <c r="AK815" s="199"/>
      <c r="AL815" s="199"/>
      <c r="AM815" s="136"/>
      <c r="AN815" s="199"/>
      <c r="AO815" s="199"/>
      <c r="AP815" s="199"/>
      <c r="AQ815" s="199"/>
      <c r="AR815" s="136"/>
      <c r="AS815" s="199"/>
      <c r="AT815" s="199"/>
      <c r="AU815" s="199"/>
      <c r="AV815" s="199"/>
      <c r="AW815" s="136"/>
      <c r="AX815" s="199"/>
      <c r="AY815" s="199"/>
      <c r="AZ815" s="199"/>
      <c r="BA815" s="199"/>
      <c r="BB815" s="136"/>
      <c r="BC815" s="199"/>
      <c r="BD815" s="199"/>
      <c r="BE815" s="199"/>
      <c r="BF815" s="199"/>
      <c r="BG815" s="136"/>
      <c r="BH815" s="199"/>
      <c r="BI815" s="199"/>
      <c r="BJ815" s="199"/>
    </row>
    <row r="816" spans="1:62" x14ac:dyDescent="0.25">
      <c r="A816" s="199"/>
      <c r="B816" s="136"/>
      <c r="C816" s="199"/>
      <c r="D816" s="199"/>
      <c r="E816" s="199"/>
      <c r="F816" s="199"/>
      <c r="G816" s="199"/>
      <c r="H816" s="199"/>
      <c r="I816" s="136"/>
      <c r="J816" s="199"/>
      <c r="K816" s="199"/>
      <c r="L816" s="199"/>
      <c r="M816" s="199"/>
      <c r="N816" s="136"/>
      <c r="O816" s="199"/>
      <c r="P816" s="199"/>
      <c r="Q816" s="199"/>
      <c r="R816" s="199"/>
      <c r="S816" s="136"/>
      <c r="T816" s="199"/>
      <c r="U816" s="199"/>
      <c r="V816" s="199"/>
      <c r="W816" s="199"/>
      <c r="X816" s="136"/>
      <c r="Y816" s="199"/>
      <c r="Z816" s="199"/>
      <c r="AA816" s="199"/>
      <c r="AB816" s="199"/>
      <c r="AC816" s="136"/>
      <c r="AD816" s="199"/>
      <c r="AE816" s="199"/>
      <c r="AF816" s="199"/>
      <c r="AG816" s="199"/>
      <c r="AH816" s="136"/>
      <c r="AI816" s="199"/>
      <c r="AJ816" s="199"/>
      <c r="AK816" s="199"/>
      <c r="AL816" s="199"/>
      <c r="AM816" s="136"/>
      <c r="AN816" s="199"/>
      <c r="AO816" s="199"/>
      <c r="AP816" s="199"/>
      <c r="AQ816" s="199"/>
      <c r="AR816" s="136"/>
      <c r="AS816" s="199"/>
      <c r="AT816" s="199"/>
      <c r="AU816" s="199"/>
      <c r="AV816" s="199"/>
      <c r="AW816" s="136"/>
      <c r="AX816" s="199"/>
      <c r="AY816" s="199"/>
      <c r="AZ816" s="199"/>
      <c r="BA816" s="199"/>
      <c r="BB816" s="136"/>
      <c r="BC816" s="199"/>
      <c r="BD816" s="199"/>
      <c r="BE816" s="199"/>
      <c r="BF816" s="199"/>
      <c r="BG816" s="136"/>
      <c r="BH816" s="199"/>
      <c r="BI816" s="199"/>
      <c r="BJ816" s="199"/>
    </row>
    <row r="817" spans="1:62" x14ac:dyDescent="0.25">
      <c r="A817" s="199"/>
      <c r="B817" s="136"/>
      <c r="C817" s="199"/>
      <c r="D817" s="199"/>
      <c r="E817" s="199"/>
      <c r="F817" s="199"/>
      <c r="G817" s="199"/>
      <c r="H817" s="199"/>
      <c r="I817" s="136"/>
      <c r="J817" s="199"/>
      <c r="K817" s="199"/>
      <c r="L817" s="199"/>
      <c r="M817" s="199"/>
      <c r="N817" s="136"/>
      <c r="O817" s="199"/>
      <c r="P817" s="199"/>
      <c r="Q817" s="199"/>
      <c r="R817" s="199"/>
      <c r="S817" s="136"/>
      <c r="T817" s="199"/>
      <c r="U817" s="199"/>
      <c r="V817" s="199"/>
      <c r="W817" s="199"/>
      <c r="X817" s="136"/>
      <c r="Y817" s="199"/>
      <c r="Z817" s="199"/>
      <c r="AA817" s="199"/>
      <c r="AB817" s="199"/>
      <c r="AC817" s="136"/>
      <c r="AD817" s="199"/>
      <c r="AE817" s="199"/>
      <c r="AF817" s="199"/>
      <c r="AG817" s="199"/>
      <c r="AH817" s="136"/>
      <c r="AI817" s="199"/>
      <c r="AJ817" s="199"/>
      <c r="AK817" s="199"/>
      <c r="AL817" s="199"/>
      <c r="AM817" s="136"/>
      <c r="AN817" s="199"/>
      <c r="AO817" s="199"/>
      <c r="AP817" s="199"/>
      <c r="AQ817" s="199"/>
      <c r="AR817" s="136"/>
      <c r="AS817" s="199"/>
      <c r="AT817" s="199"/>
      <c r="AU817" s="199"/>
      <c r="AV817" s="199"/>
      <c r="AW817" s="136"/>
      <c r="AX817" s="199"/>
      <c r="AY817" s="199"/>
      <c r="AZ817" s="199"/>
      <c r="BA817" s="199"/>
      <c r="BB817" s="136"/>
      <c r="BC817" s="199"/>
      <c r="BD817" s="199"/>
      <c r="BE817" s="199"/>
      <c r="BF817" s="199"/>
      <c r="BG817" s="136"/>
      <c r="BH817" s="199"/>
      <c r="BI817" s="199"/>
      <c r="BJ817" s="199"/>
    </row>
    <row r="818" spans="1:62" x14ac:dyDescent="0.25">
      <c r="A818" s="199"/>
      <c r="B818" s="136"/>
      <c r="C818" s="199"/>
      <c r="D818" s="199"/>
      <c r="E818" s="199"/>
      <c r="F818" s="199"/>
      <c r="G818" s="199"/>
      <c r="H818" s="199"/>
      <c r="I818" s="136"/>
      <c r="J818" s="199"/>
      <c r="K818" s="199"/>
      <c r="L818" s="199"/>
      <c r="M818" s="199"/>
      <c r="N818" s="136"/>
      <c r="O818" s="199"/>
      <c r="P818" s="199"/>
      <c r="Q818" s="199"/>
      <c r="R818" s="199"/>
      <c r="S818" s="136"/>
      <c r="T818" s="199"/>
      <c r="U818" s="199"/>
      <c r="V818" s="199"/>
      <c r="W818" s="199"/>
      <c r="X818" s="136"/>
      <c r="Y818" s="199"/>
      <c r="Z818" s="199"/>
      <c r="AA818" s="199"/>
      <c r="AB818" s="199"/>
      <c r="AC818" s="136"/>
      <c r="AD818" s="199"/>
      <c r="AE818" s="199"/>
      <c r="AF818" s="199"/>
      <c r="AG818" s="199"/>
      <c r="AH818" s="136"/>
      <c r="AI818" s="199"/>
      <c r="AJ818" s="199"/>
      <c r="AK818" s="199"/>
      <c r="AL818" s="199"/>
      <c r="AM818" s="136"/>
      <c r="AN818" s="199"/>
      <c r="AO818" s="199"/>
      <c r="AP818" s="199"/>
      <c r="AQ818" s="199"/>
      <c r="AR818" s="136"/>
      <c r="AS818" s="199"/>
      <c r="AT818" s="199"/>
      <c r="AU818" s="199"/>
      <c r="AV818" s="199"/>
      <c r="AW818" s="136"/>
      <c r="AX818" s="199"/>
      <c r="AY818" s="199"/>
      <c r="AZ818" s="199"/>
      <c r="BA818" s="199"/>
      <c r="BB818" s="136"/>
      <c r="BC818" s="199"/>
      <c r="BD818" s="199"/>
      <c r="BE818" s="199"/>
      <c r="BF818" s="199"/>
      <c r="BG818" s="136"/>
      <c r="BH818" s="199"/>
      <c r="BI818" s="199"/>
      <c r="BJ818" s="199"/>
    </row>
    <row r="819" spans="1:62" x14ac:dyDescent="0.25">
      <c r="A819" s="199"/>
      <c r="B819" s="136"/>
      <c r="C819" s="199"/>
      <c r="D819" s="199"/>
      <c r="E819" s="199"/>
      <c r="F819" s="199"/>
      <c r="G819" s="199"/>
      <c r="H819" s="199"/>
      <c r="I819" s="136"/>
      <c r="J819" s="199"/>
      <c r="K819" s="199"/>
      <c r="L819" s="199"/>
      <c r="M819" s="199"/>
      <c r="N819" s="136"/>
      <c r="O819" s="199"/>
      <c r="P819" s="199"/>
      <c r="Q819" s="199"/>
      <c r="R819" s="199"/>
      <c r="S819" s="136"/>
      <c r="T819" s="199"/>
      <c r="U819" s="199"/>
      <c r="V819" s="199"/>
      <c r="W819" s="199"/>
      <c r="X819" s="136"/>
      <c r="Y819" s="199"/>
      <c r="Z819" s="199"/>
      <c r="AA819" s="199"/>
      <c r="AB819" s="199"/>
      <c r="AC819" s="136"/>
      <c r="AD819" s="199"/>
      <c r="AE819" s="199"/>
      <c r="AF819" s="199"/>
      <c r="AG819" s="199"/>
      <c r="AH819" s="136"/>
      <c r="AI819" s="199"/>
      <c r="AJ819" s="199"/>
      <c r="AK819" s="199"/>
      <c r="AL819" s="199"/>
      <c r="AM819" s="136"/>
      <c r="AN819" s="199"/>
      <c r="AO819" s="199"/>
      <c r="AP819" s="199"/>
      <c r="AQ819" s="199"/>
      <c r="AR819" s="136"/>
      <c r="AS819" s="199"/>
      <c r="AT819" s="199"/>
      <c r="AU819" s="199"/>
      <c r="AV819" s="199"/>
      <c r="AW819" s="136"/>
      <c r="AX819" s="199"/>
      <c r="AY819" s="199"/>
      <c r="AZ819" s="199"/>
      <c r="BA819" s="199"/>
      <c r="BB819" s="136"/>
      <c r="BC819" s="199"/>
      <c r="BD819" s="199"/>
      <c r="BE819" s="199"/>
      <c r="BF819" s="199"/>
      <c r="BG819" s="136"/>
      <c r="BH819" s="199"/>
      <c r="BI819" s="199"/>
      <c r="BJ819" s="199"/>
    </row>
    <row r="820" spans="1:62" x14ac:dyDescent="0.25">
      <c r="A820" s="199"/>
      <c r="B820" s="136"/>
      <c r="C820" s="199"/>
      <c r="D820" s="199"/>
      <c r="E820" s="199"/>
      <c r="F820" s="199"/>
      <c r="G820" s="199"/>
      <c r="H820" s="199"/>
      <c r="I820" s="136"/>
      <c r="J820" s="199"/>
      <c r="K820" s="199"/>
      <c r="L820" s="199"/>
      <c r="M820" s="199"/>
      <c r="N820" s="136"/>
      <c r="O820" s="199"/>
      <c r="P820" s="199"/>
      <c r="Q820" s="199"/>
      <c r="R820" s="199"/>
      <c r="S820" s="136"/>
      <c r="T820" s="199"/>
      <c r="U820" s="199"/>
      <c r="V820" s="199"/>
      <c r="W820" s="199"/>
      <c r="X820" s="136"/>
      <c r="Y820" s="199"/>
      <c r="Z820" s="199"/>
      <c r="AA820" s="199"/>
      <c r="AB820" s="199"/>
      <c r="AC820" s="136"/>
      <c r="AD820" s="199"/>
      <c r="AE820" s="199"/>
      <c r="AF820" s="199"/>
      <c r="AG820" s="199"/>
      <c r="AH820" s="136"/>
      <c r="AI820" s="199"/>
      <c r="AJ820" s="199"/>
      <c r="AK820" s="199"/>
      <c r="AL820" s="199"/>
      <c r="AM820" s="136"/>
      <c r="AN820" s="199"/>
      <c r="AO820" s="199"/>
      <c r="AP820" s="199"/>
      <c r="AQ820" s="199"/>
      <c r="AR820" s="136"/>
      <c r="AS820" s="199"/>
      <c r="AT820" s="199"/>
      <c r="AU820" s="199"/>
      <c r="AV820" s="199"/>
      <c r="AW820" s="136"/>
      <c r="AX820" s="199"/>
      <c r="AY820" s="199"/>
      <c r="AZ820" s="199"/>
      <c r="BA820" s="199"/>
      <c r="BB820" s="136"/>
      <c r="BC820" s="199"/>
      <c r="BD820" s="199"/>
      <c r="BE820" s="199"/>
      <c r="BF820" s="199"/>
      <c r="BG820" s="136"/>
      <c r="BH820" s="199"/>
      <c r="BI820" s="199"/>
      <c r="BJ820" s="199"/>
    </row>
    <row r="821" spans="1:62" x14ac:dyDescent="0.25">
      <c r="A821" s="199"/>
      <c r="B821" s="136"/>
      <c r="C821" s="199"/>
      <c r="D821" s="199"/>
      <c r="E821" s="199"/>
      <c r="F821" s="199"/>
      <c r="G821" s="199"/>
      <c r="H821" s="199"/>
      <c r="I821" s="136"/>
      <c r="J821" s="199"/>
      <c r="K821" s="199"/>
      <c r="L821" s="199"/>
      <c r="M821" s="199"/>
      <c r="N821" s="136"/>
      <c r="O821" s="199"/>
      <c r="P821" s="199"/>
      <c r="Q821" s="199"/>
      <c r="R821" s="199"/>
      <c r="S821" s="136"/>
      <c r="T821" s="199"/>
      <c r="U821" s="199"/>
      <c r="V821" s="199"/>
      <c r="W821" s="199"/>
      <c r="X821" s="136"/>
      <c r="Y821" s="199"/>
      <c r="Z821" s="199"/>
      <c r="AA821" s="199"/>
      <c r="AB821" s="199"/>
      <c r="AC821" s="136"/>
      <c r="AD821" s="199"/>
      <c r="AE821" s="199"/>
      <c r="AF821" s="199"/>
      <c r="AG821" s="199"/>
      <c r="AH821" s="136"/>
      <c r="AI821" s="199"/>
      <c r="AJ821" s="199"/>
      <c r="AK821" s="199"/>
      <c r="AL821" s="199"/>
      <c r="AM821" s="136"/>
      <c r="AN821" s="199"/>
      <c r="AO821" s="199"/>
      <c r="AP821" s="199"/>
      <c r="AQ821" s="199"/>
      <c r="AR821" s="136"/>
      <c r="AS821" s="199"/>
      <c r="AT821" s="199"/>
      <c r="AU821" s="199"/>
      <c r="AV821" s="199"/>
      <c r="AW821" s="136"/>
      <c r="AX821" s="199"/>
      <c r="AY821" s="199"/>
      <c r="AZ821" s="199"/>
      <c r="BA821" s="199"/>
      <c r="BB821" s="136"/>
      <c r="BC821" s="199"/>
      <c r="BD821" s="199"/>
      <c r="BE821" s="199"/>
      <c r="BF821" s="199"/>
      <c r="BG821" s="136"/>
      <c r="BH821" s="199"/>
      <c r="BI821" s="199"/>
      <c r="BJ821" s="199"/>
    </row>
    <row r="822" spans="1:62" x14ac:dyDescent="0.25">
      <c r="A822" s="199"/>
      <c r="B822" s="136"/>
      <c r="C822" s="199"/>
      <c r="D822" s="199"/>
      <c r="E822" s="199"/>
      <c r="F822" s="199"/>
      <c r="G822" s="199"/>
      <c r="H822" s="199"/>
      <c r="I822" s="136"/>
      <c r="J822" s="199"/>
      <c r="K822" s="199"/>
      <c r="L822" s="199"/>
      <c r="M822" s="199"/>
      <c r="N822" s="136"/>
      <c r="O822" s="199"/>
      <c r="P822" s="199"/>
      <c r="Q822" s="199"/>
      <c r="R822" s="199"/>
      <c r="S822" s="136"/>
      <c r="T822" s="199"/>
      <c r="U822" s="199"/>
      <c r="V822" s="199"/>
      <c r="W822" s="199"/>
      <c r="X822" s="136"/>
      <c r="Y822" s="199"/>
      <c r="Z822" s="199"/>
      <c r="AA822" s="199"/>
      <c r="AB822" s="199"/>
      <c r="AC822" s="136"/>
      <c r="AD822" s="199"/>
      <c r="AE822" s="199"/>
      <c r="AF822" s="199"/>
      <c r="AG822" s="199"/>
      <c r="AH822" s="136"/>
      <c r="AI822" s="199"/>
      <c r="AJ822" s="199"/>
      <c r="AK822" s="199"/>
      <c r="AL822" s="199"/>
      <c r="AM822" s="136"/>
      <c r="AN822" s="199"/>
      <c r="AO822" s="199"/>
      <c r="AP822" s="199"/>
      <c r="AQ822" s="199"/>
      <c r="AR822" s="136"/>
      <c r="AS822" s="199"/>
      <c r="AT822" s="199"/>
      <c r="AU822" s="199"/>
      <c r="AV822" s="199"/>
      <c r="AW822" s="136"/>
      <c r="AX822" s="199"/>
      <c r="AY822" s="199"/>
      <c r="AZ822" s="199"/>
      <c r="BA822" s="199"/>
      <c r="BB822" s="136"/>
      <c r="BC822" s="199"/>
      <c r="BD822" s="199"/>
      <c r="BE822" s="199"/>
      <c r="BF822" s="199"/>
      <c r="BG822" s="136"/>
      <c r="BH822" s="199"/>
      <c r="BI822" s="199"/>
      <c r="BJ822" s="199"/>
    </row>
    <row r="826" spans="1:62" ht="36" x14ac:dyDescent="0.25">
      <c r="A826" s="169"/>
      <c r="B826" s="107"/>
      <c r="C826" s="107"/>
      <c r="D826" s="107"/>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c r="AA826" s="107"/>
      <c r="AB826" s="107"/>
      <c r="AC826" s="107"/>
      <c r="AD826" s="107"/>
      <c r="AE826" s="107"/>
      <c r="AF826" s="107"/>
      <c r="AG826" s="107"/>
      <c r="AH826" s="107"/>
      <c r="AI826" s="107"/>
      <c r="AJ826" s="107"/>
      <c r="AK826" s="107"/>
      <c r="AL826" s="107"/>
      <c r="AM826" s="107"/>
      <c r="AN826" s="107"/>
      <c r="AO826" s="107"/>
      <c r="AP826" s="107"/>
      <c r="AQ826" s="107"/>
      <c r="AR826" s="107"/>
      <c r="AS826" s="107"/>
      <c r="AT826" s="107"/>
      <c r="AU826" s="107"/>
      <c r="AV826" s="107"/>
      <c r="AW826" s="107"/>
      <c r="AX826" s="107"/>
      <c r="AY826" s="107"/>
      <c r="AZ826" s="107"/>
      <c r="BA826" s="107"/>
      <c r="BB826" s="107"/>
      <c r="BC826" s="107"/>
      <c r="BD826" s="107"/>
      <c r="BE826" s="107"/>
      <c r="BF826" s="107"/>
      <c r="BG826" s="107"/>
      <c r="BH826" s="107"/>
      <c r="BI826" s="107"/>
      <c r="BJ826" s="107"/>
    </row>
    <row r="827" spans="1:62" x14ac:dyDescent="0.25">
      <c r="A827" s="107"/>
      <c r="B827" s="107"/>
      <c r="C827" s="107"/>
      <c r="D827" s="107"/>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c r="AA827" s="107"/>
      <c r="AB827" s="107"/>
      <c r="AC827" s="107"/>
      <c r="AD827" s="107"/>
      <c r="AE827" s="107"/>
      <c r="AF827" s="107"/>
      <c r="AG827" s="107"/>
      <c r="AH827" s="107"/>
      <c r="AI827" s="107"/>
      <c r="AJ827" s="107"/>
      <c r="AK827" s="107"/>
      <c r="AL827" s="107"/>
      <c r="AM827" s="107"/>
      <c r="AN827" s="107"/>
      <c r="AO827" s="107"/>
      <c r="AP827" s="107"/>
      <c r="AQ827" s="107"/>
      <c r="AR827" s="107"/>
      <c r="AS827" s="107"/>
      <c r="AT827" s="107"/>
      <c r="AU827" s="107"/>
      <c r="AV827" s="107"/>
      <c r="AW827" s="107"/>
      <c r="AX827" s="107"/>
      <c r="AY827" s="107"/>
      <c r="AZ827" s="107"/>
      <c r="BA827" s="107"/>
      <c r="BB827" s="107"/>
      <c r="BC827" s="107"/>
      <c r="BD827" s="107"/>
      <c r="BE827" s="107"/>
      <c r="BF827" s="107"/>
      <c r="BG827" s="107"/>
      <c r="BH827" s="107"/>
      <c r="BI827" s="107"/>
      <c r="BJ827" s="107"/>
    </row>
    <row r="828" spans="1:62" x14ac:dyDescent="0.25">
      <c r="A828" s="107"/>
      <c r="B828" s="107"/>
      <c r="C828" s="107"/>
      <c r="D828" s="107"/>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c r="AA828" s="107"/>
      <c r="AB828" s="107"/>
      <c r="AC828" s="107"/>
      <c r="AD828" s="107"/>
      <c r="AE828" s="107"/>
      <c r="AF828" s="107"/>
      <c r="AG828" s="107"/>
      <c r="AH828" s="107"/>
      <c r="AI828" s="107"/>
      <c r="AJ828" s="107"/>
      <c r="AK828" s="107"/>
      <c r="AL828" s="107"/>
      <c r="AM828" s="107"/>
      <c r="AN828" s="107"/>
      <c r="AO828" s="107"/>
      <c r="AP828" s="107"/>
      <c r="AQ828" s="107"/>
      <c r="AR828" s="107"/>
      <c r="AS828" s="107"/>
      <c r="AT828" s="107"/>
      <c r="AU828" s="107"/>
      <c r="AV828" s="107"/>
      <c r="AW828" s="107"/>
      <c r="AX828" s="107"/>
      <c r="AY828" s="107"/>
      <c r="AZ828" s="107"/>
      <c r="BA828" s="107"/>
      <c r="BB828" s="107"/>
      <c r="BC828" s="107"/>
      <c r="BD828" s="107"/>
      <c r="BE828" s="107"/>
      <c r="BF828" s="107"/>
      <c r="BG828" s="107"/>
      <c r="BH828" s="107"/>
      <c r="BI828" s="107"/>
      <c r="BJ828" s="107"/>
    </row>
    <row r="829" spans="1:62" ht="36" x14ac:dyDescent="0.25">
      <c r="A829" s="169"/>
      <c r="B829" s="169"/>
      <c r="C829" s="169"/>
      <c r="D829" s="169"/>
      <c r="E829" s="169"/>
      <c r="F829" s="169"/>
      <c r="G829" s="169"/>
      <c r="H829" s="169"/>
      <c r="I829" s="169"/>
      <c r="J829" s="169"/>
      <c r="K829" s="169"/>
      <c r="L829" s="169"/>
      <c r="M829" s="169"/>
      <c r="N829" s="169"/>
      <c r="O829" s="169"/>
      <c r="P829" s="169"/>
      <c r="Q829" s="169"/>
      <c r="R829" s="169"/>
      <c r="S829" s="169"/>
      <c r="T829" s="169"/>
      <c r="U829" s="169"/>
      <c r="V829" s="169"/>
      <c r="W829" s="169"/>
      <c r="X829" s="169"/>
      <c r="Y829" s="169"/>
      <c r="Z829" s="169"/>
      <c r="AA829" s="169"/>
      <c r="AB829" s="169"/>
      <c r="AC829" s="169"/>
      <c r="AD829" s="169"/>
      <c r="AE829" s="169"/>
      <c r="AF829" s="169"/>
      <c r="AG829" s="169"/>
      <c r="AH829" s="169"/>
      <c r="AI829" s="169"/>
      <c r="AJ829" s="169"/>
      <c r="AK829" s="169"/>
      <c r="AL829" s="169"/>
      <c r="AM829" s="169"/>
      <c r="AN829" s="169"/>
      <c r="AO829" s="169"/>
      <c r="AP829" s="169"/>
      <c r="AQ829" s="169"/>
      <c r="AR829" s="169"/>
      <c r="AS829" s="169"/>
      <c r="AT829" s="169"/>
      <c r="AU829" s="169"/>
      <c r="AV829" s="169"/>
      <c r="AW829" s="169"/>
      <c r="AX829" s="169"/>
      <c r="AY829" s="169"/>
      <c r="AZ829" s="169"/>
      <c r="BA829" s="169"/>
      <c r="BB829" s="169"/>
      <c r="BC829" s="169"/>
      <c r="BD829" s="169"/>
      <c r="BE829" s="169"/>
      <c r="BF829" s="169"/>
      <c r="BG829" s="169"/>
      <c r="BH829" s="169"/>
      <c r="BI829" s="169"/>
      <c r="BJ829" s="169"/>
    </row>
    <row r="830" spans="1:62" ht="36" x14ac:dyDescent="0.25">
      <c r="A830" s="169"/>
      <c r="B830" s="169"/>
      <c r="C830" s="169"/>
      <c r="D830" s="169"/>
      <c r="E830" s="169"/>
      <c r="F830" s="169"/>
      <c r="G830" s="169"/>
      <c r="H830" s="169"/>
      <c r="I830" s="169"/>
      <c r="J830" s="169"/>
      <c r="K830" s="169"/>
      <c r="L830" s="169"/>
      <c r="M830" s="169"/>
      <c r="N830" s="169"/>
      <c r="O830" s="169"/>
      <c r="P830" s="169"/>
      <c r="Q830" s="169"/>
      <c r="R830" s="169"/>
      <c r="S830" s="169"/>
      <c r="T830" s="169"/>
      <c r="U830" s="169"/>
      <c r="V830" s="169"/>
      <c r="W830" s="169"/>
      <c r="X830" s="169"/>
      <c r="Y830" s="169"/>
      <c r="Z830" s="169"/>
      <c r="AA830" s="169"/>
      <c r="AB830" s="169"/>
      <c r="AC830" s="169"/>
      <c r="AD830" s="169"/>
      <c r="AE830" s="169"/>
      <c r="AF830" s="169"/>
      <c r="AG830" s="169"/>
      <c r="AH830" s="169"/>
      <c r="AI830" s="169"/>
      <c r="AJ830" s="169"/>
      <c r="AK830" s="169"/>
      <c r="AL830" s="169"/>
      <c r="AM830" s="169"/>
      <c r="AN830" s="169"/>
      <c r="AO830" s="169"/>
      <c r="AP830" s="169"/>
      <c r="AQ830" s="169"/>
      <c r="AR830" s="169"/>
      <c r="AS830" s="169"/>
      <c r="AT830" s="169"/>
      <c r="AU830" s="169"/>
      <c r="AV830" s="169"/>
      <c r="AW830" s="169"/>
      <c r="AX830" s="169"/>
      <c r="AY830" s="169"/>
      <c r="AZ830" s="169"/>
      <c r="BA830" s="169"/>
      <c r="BB830" s="169"/>
      <c r="BC830" s="169"/>
      <c r="BD830" s="169"/>
      <c r="BE830" s="169"/>
      <c r="BF830" s="169"/>
      <c r="BG830" s="169"/>
      <c r="BH830" s="169"/>
      <c r="BI830" s="169"/>
      <c r="BJ830" s="169"/>
    </row>
    <row r="831" spans="1:62" ht="36" x14ac:dyDescent="0.25">
      <c r="A831" s="169"/>
      <c r="B831" s="169"/>
      <c r="C831" s="169"/>
      <c r="D831" s="169"/>
      <c r="E831" s="169"/>
      <c r="F831" s="169"/>
      <c r="G831" s="169"/>
      <c r="H831" s="169"/>
      <c r="I831" s="169"/>
      <c r="J831" s="169"/>
      <c r="K831" s="169"/>
      <c r="L831" s="169"/>
      <c r="M831" s="169"/>
      <c r="N831" s="169"/>
      <c r="O831" s="169"/>
      <c r="P831" s="169"/>
      <c r="Q831" s="169"/>
      <c r="R831" s="169"/>
      <c r="S831" s="169"/>
      <c r="T831" s="169"/>
      <c r="U831" s="169"/>
      <c r="V831" s="169"/>
      <c r="W831" s="169"/>
      <c r="X831" s="169"/>
      <c r="Y831" s="169"/>
      <c r="Z831" s="169"/>
      <c r="AA831" s="169"/>
      <c r="AB831" s="169"/>
      <c r="AC831" s="169"/>
      <c r="AD831" s="169"/>
      <c r="AE831" s="169"/>
      <c r="AF831" s="169"/>
      <c r="AG831" s="169"/>
      <c r="AH831" s="169"/>
      <c r="AI831" s="169"/>
      <c r="AJ831" s="169"/>
      <c r="AK831" s="169"/>
      <c r="AL831" s="169"/>
      <c r="AM831" s="169"/>
      <c r="AN831" s="169"/>
      <c r="AO831" s="169"/>
      <c r="AP831" s="169"/>
      <c r="AQ831" s="169"/>
      <c r="AR831" s="169"/>
      <c r="AS831" s="169"/>
      <c r="AT831" s="169"/>
      <c r="AU831" s="169"/>
      <c r="AV831" s="169"/>
      <c r="AW831" s="169"/>
      <c r="AX831" s="169"/>
      <c r="AY831" s="169"/>
      <c r="AZ831" s="169"/>
      <c r="BA831" s="169"/>
      <c r="BB831" s="169"/>
      <c r="BC831" s="169"/>
      <c r="BD831" s="169"/>
      <c r="BE831" s="169"/>
      <c r="BF831" s="169"/>
      <c r="BG831" s="169"/>
      <c r="BH831" s="169"/>
      <c r="BI831" s="169"/>
      <c r="BJ831" s="169"/>
    </row>
    <row r="832" spans="1:62" x14ac:dyDescent="0.25">
      <c r="F832" s="194"/>
      <c r="G832" s="194"/>
    </row>
    <row r="834" spans="1:62" x14ac:dyDescent="0.25">
      <c r="A834" s="199"/>
      <c r="B834" s="136"/>
      <c r="C834" s="199"/>
      <c r="D834" s="199"/>
      <c r="E834" s="199"/>
      <c r="F834" s="199"/>
      <c r="G834" s="199"/>
      <c r="H834" s="199"/>
      <c r="I834" s="136"/>
      <c r="J834" s="199"/>
      <c r="K834" s="199"/>
      <c r="L834" s="199"/>
      <c r="M834" s="199"/>
      <c r="N834" s="136"/>
      <c r="O834" s="199"/>
      <c r="P834" s="199"/>
      <c r="Q834" s="199"/>
      <c r="R834" s="199"/>
      <c r="S834" s="136"/>
      <c r="T834" s="199"/>
      <c r="U834" s="199"/>
      <c r="V834" s="199"/>
      <c r="W834" s="199"/>
      <c r="X834" s="136"/>
      <c r="Y834" s="199"/>
      <c r="Z834" s="199"/>
      <c r="AA834" s="199"/>
      <c r="AB834" s="199"/>
      <c r="AC834" s="136"/>
      <c r="AD834" s="199"/>
      <c r="AE834" s="199"/>
      <c r="AF834" s="199"/>
      <c r="AG834" s="199"/>
      <c r="AH834" s="136"/>
      <c r="AI834" s="199"/>
      <c r="AJ834" s="199"/>
      <c r="AK834" s="199"/>
      <c r="AL834" s="199"/>
      <c r="AM834" s="136"/>
      <c r="AN834" s="199"/>
      <c r="AO834" s="199"/>
      <c r="AP834" s="199"/>
      <c r="AQ834" s="199"/>
      <c r="AR834" s="136"/>
      <c r="AS834" s="199"/>
      <c r="AT834" s="199"/>
      <c r="AU834" s="199"/>
      <c r="AV834" s="199"/>
      <c r="AW834" s="136"/>
      <c r="AX834" s="199"/>
      <c r="AY834" s="199"/>
      <c r="AZ834" s="199"/>
      <c r="BA834" s="199"/>
      <c r="BB834" s="136"/>
      <c r="BC834" s="199"/>
      <c r="BD834" s="199"/>
      <c r="BE834" s="199"/>
      <c r="BF834" s="199"/>
      <c r="BG834" s="136"/>
      <c r="BH834" s="199"/>
      <c r="BI834" s="199"/>
      <c r="BJ834" s="199"/>
    </row>
    <row r="835" spans="1:62" x14ac:dyDescent="0.25">
      <c r="A835" s="199"/>
      <c r="B835" s="136"/>
      <c r="C835" s="199"/>
      <c r="D835" s="199"/>
      <c r="E835" s="199"/>
      <c r="F835" s="199"/>
      <c r="G835" s="199"/>
      <c r="H835" s="199"/>
      <c r="I835" s="136"/>
      <c r="J835" s="199"/>
      <c r="K835" s="199"/>
      <c r="L835" s="199"/>
      <c r="M835" s="199"/>
      <c r="N835" s="136"/>
      <c r="O835" s="199"/>
      <c r="P835" s="199"/>
      <c r="Q835" s="199"/>
      <c r="R835" s="199"/>
      <c r="S835" s="136"/>
      <c r="T835" s="199"/>
      <c r="U835" s="199"/>
      <c r="V835" s="199"/>
      <c r="W835" s="199"/>
      <c r="X835" s="136"/>
      <c r="Y835" s="199"/>
      <c r="Z835" s="199"/>
      <c r="AA835" s="199"/>
      <c r="AB835" s="199"/>
      <c r="AC835" s="136"/>
      <c r="AD835" s="199"/>
      <c r="AE835" s="199"/>
      <c r="AF835" s="199"/>
      <c r="AG835" s="199"/>
      <c r="AH835" s="136"/>
      <c r="AI835" s="199"/>
      <c r="AJ835" s="199"/>
      <c r="AK835" s="199"/>
      <c r="AL835" s="199"/>
      <c r="AM835" s="136"/>
      <c r="AN835" s="199"/>
      <c r="AO835" s="199"/>
      <c r="AP835" s="199"/>
      <c r="AQ835" s="199"/>
      <c r="AR835" s="136"/>
      <c r="AS835" s="199"/>
      <c r="AT835" s="199"/>
      <c r="AU835" s="199"/>
      <c r="AV835" s="199"/>
      <c r="AW835" s="136"/>
      <c r="AX835" s="199"/>
      <c r="AY835" s="199"/>
      <c r="AZ835" s="199"/>
      <c r="BA835" s="199"/>
      <c r="BB835" s="136"/>
      <c r="BC835" s="199"/>
      <c r="BD835" s="199"/>
      <c r="BE835" s="199"/>
      <c r="BF835" s="199"/>
      <c r="BG835" s="136"/>
      <c r="BH835" s="199"/>
      <c r="BI835" s="199"/>
      <c r="BJ835" s="199"/>
    </row>
    <row r="836" spans="1:62" x14ac:dyDescent="0.25">
      <c r="A836" s="199"/>
      <c r="B836" s="136"/>
      <c r="C836" s="199"/>
      <c r="D836" s="199"/>
      <c r="E836" s="199"/>
      <c r="F836" s="199"/>
      <c r="G836" s="199"/>
      <c r="H836" s="199"/>
      <c r="I836" s="136"/>
      <c r="J836" s="199"/>
      <c r="K836" s="199"/>
      <c r="L836" s="199"/>
      <c r="M836" s="199"/>
      <c r="N836" s="136"/>
      <c r="O836" s="199"/>
      <c r="P836" s="199"/>
      <c r="Q836" s="199"/>
      <c r="R836" s="199"/>
      <c r="S836" s="136"/>
      <c r="T836" s="199"/>
      <c r="U836" s="199"/>
      <c r="V836" s="199"/>
      <c r="W836" s="199"/>
      <c r="X836" s="136"/>
      <c r="Y836" s="199"/>
      <c r="Z836" s="199"/>
      <c r="AA836" s="199"/>
      <c r="AB836" s="199"/>
      <c r="AC836" s="136"/>
      <c r="AD836" s="199"/>
      <c r="AE836" s="199"/>
      <c r="AF836" s="199"/>
      <c r="AG836" s="199"/>
      <c r="AH836" s="136"/>
      <c r="AI836" s="199"/>
      <c r="AJ836" s="199"/>
      <c r="AK836" s="199"/>
      <c r="AL836" s="199"/>
      <c r="AM836" s="136"/>
      <c r="AN836" s="199"/>
      <c r="AO836" s="199"/>
      <c r="AP836" s="199"/>
      <c r="AQ836" s="199"/>
      <c r="AR836" s="136"/>
      <c r="AS836" s="199"/>
      <c r="AT836" s="199"/>
      <c r="AU836" s="199"/>
      <c r="AV836" s="199"/>
      <c r="AW836" s="136"/>
      <c r="AX836" s="199"/>
      <c r="AY836" s="199"/>
      <c r="AZ836" s="199"/>
      <c r="BA836" s="199"/>
      <c r="BB836" s="136"/>
      <c r="BC836" s="199"/>
      <c r="BD836" s="199"/>
      <c r="BE836" s="199"/>
      <c r="BF836" s="199"/>
      <c r="BG836" s="136"/>
      <c r="BH836" s="199"/>
      <c r="BI836" s="199"/>
      <c r="BJ836" s="199"/>
    </row>
    <row r="837" spans="1:62" x14ac:dyDescent="0.25">
      <c r="A837" s="199"/>
      <c r="B837" s="136"/>
      <c r="C837" s="199"/>
      <c r="D837" s="199"/>
      <c r="E837" s="199"/>
      <c r="F837" s="199"/>
      <c r="G837" s="199"/>
      <c r="H837" s="199"/>
      <c r="I837" s="136"/>
      <c r="J837" s="199"/>
      <c r="K837" s="199"/>
      <c r="L837" s="199"/>
      <c r="M837" s="199"/>
      <c r="N837" s="136"/>
      <c r="O837" s="199"/>
      <c r="P837" s="199"/>
      <c r="Q837" s="199"/>
      <c r="R837" s="199"/>
      <c r="S837" s="136"/>
      <c r="T837" s="199"/>
      <c r="U837" s="199"/>
      <c r="V837" s="199"/>
      <c r="W837" s="199"/>
      <c r="X837" s="136"/>
      <c r="Y837" s="199"/>
      <c r="Z837" s="199"/>
      <c r="AA837" s="199"/>
      <c r="AB837" s="199"/>
      <c r="AC837" s="136"/>
      <c r="AD837" s="199"/>
      <c r="AE837" s="199"/>
      <c r="AF837" s="199"/>
      <c r="AG837" s="199"/>
      <c r="AH837" s="136"/>
      <c r="AI837" s="199"/>
      <c r="AJ837" s="199"/>
      <c r="AK837" s="199"/>
      <c r="AL837" s="199"/>
      <c r="AM837" s="136"/>
      <c r="AN837" s="199"/>
      <c r="AO837" s="199"/>
      <c r="AP837" s="199"/>
      <c r="AQ837" s="199"/>
      <c r="AR837" s="136"/>
      <c r="AS837" s="199"/>
      <c r="AT837" s="199"/>
      <c r="AU837" s="199"/>
      <c r="AV837" s="199"/>
      <c r="AW837" s="136"/>
      <c r="AX837" s="199"/>
      <c r="AY837" s="199"/>
      <c r="AZ837" s="199"/>
      <c r="BA837" s="199"/>
      <c r="BB837" s="136"/>
      <c r="BC837" s="199"/>
      <c r="BD837" s="199"/>
      <c r="BE837" s="199"/>
      <c r="BF837" s="199"/>
      <c r="BG837" s="136"/>
      <c r="BH837" s="199"/>
      <c r="BI837" s="199"/>
      <c r="BJ837" s="199"/>
    </row>
    <row r="838" spans="1:62" x14ac:dyDescent="0.25">
      <c r="A838" s="199"/>
      <c r="B838" s="136"/>
      <c r="C838" s="199"/>
      <c r="D838" s="199"/>
      <c r="E838" s="199"/>
      <c r="F838" s="199"/>
      <c r="G838" s="199"/>
      <c r="H838" s="199"/>
      <c r="I838" s="136"/>
      <c r="J838" s="199"/>
      <c r="K838" s="199"/>
      <c r="L838" s="199"/>
      <c r="M838" s="199"/>
      <c r="N838" s="136"/>
      <c r="O838" s="199"/>
      <c r="P838" s="199"/>
      <c r="Q838" s="199"/>
      <c r="R838" s="199"/>
      <c r="S838" s="136"/>
      <c r="T838" s="199"/>
      <c r="U838" s="199"/>
      <c r="V838" s="199"/>
      <c r="W838" s="199"/>
      <c r="X838" s="136"/>
      <c r="Y838" s="199"/>
      <c r="Z838" s="199"/>
      <c r="AA838" s="199"/>
      <c r="AB838" s="199"/>
      <c r="AC838" s="136"/>
      <c r="AD838" s="199"/>
      <c r="AE838" s="199"/>
      <c r="AF838" s="199"/>
      <c r="AG838" s="199"/>
      <c r="AH838" s="136"/>
      <c r="AI838" s="199"/>
      <c r="AJ838" s="199"/>
      <c r="AK838" s="199"/>
      <c r="AL838" s="199"/>
      <c r="AM838" s="136"/>
      <c r="AN838" s="199"/>
      <c r="AO838" s="199"/>
      <c r="AP838" s="199"/>
      <c r="AQ838" s="199"/>
      <c r="AR838" s="136"/>
      <c r="AS838" s="199"/>
      <c r="AT838" s="199"/>
      <c r="AU838" s="199"/>
      <c r="AV838" s="199"/>
      <c r="AW838" s="136"/>
      <c r="AX838" s="199"/>
      <c r="AY838" s="199"/>
      <c r="AZ838" s="199"/>
      <c r="BA838" s="199"/>
      <c r="BB838" s="136"/>
      <c r="BC838" s="199"/>
      <c r="BD838" s="199"/>
      <c r="BE838" s="199"/>
      <c r="BF838" s="199"/>
      <c r="BG838" s="136"/>
      <c r="BH838" s="199"/>
      <c r="BI838" s="199"/>
      <c r="BJ838" s="199"/>
    </row>
    <row r="839" spans="1:62" x14ac:dyDescent="0.25">
      <c r="A839" s="199"/>
      <c r="B839" s="136"/>
      <c r="C839" s="199"/>
      <c r="D839" s="199"/>
      <c r="E839" s="199"/>
      <c r="F839" s="199"/>
      <c r="G839" s="199"/>
      <c r="H839" s="199"/>
      <c r="I839" s="136"/>
      <c r="J839" s="199"/>
      <c r="K839" s="199"/>
      <c r="L839" s="199"/>
      <c r="M839" s="199"/>
      <c r="N839" s="136"/>
      <c r="O839" s="199"/>
      <c r="P839" s="199"/>
      <c r="Q839" s="199"/>
      <c r="R839" s="199"/>
      <c r="S839" s="136"/>
      <c r="T839" s="199"/>
      <c r="U839" s="199"/>
      <c r="V839" s="199"/>
      <c r="W839" s="199"/>
      <c r="X839" s="136"/>
      <c r="Y839" s="199"/>
      <c r="Z839" s="199"/>
      <c r="AA839" s="199"/>
      <c r="AB839" s="199"/>
      <c r="AC839" s="136"/>
      <c r="AD839" s="199"/>
      <c r="AE839" s="199"/>
      <c r="AF839" s="199"/>
      <c r="AG839" s="199"/>
      <c r="AH839" s="136"/>
      <c r="AI839" s="199"/>
      <c r="AJ839" s="199"/>
      <c r="AK839" s="199"/>
      <c r="AL839" s="199"/>
      <c r="AM839" s="136"/>
      <c r="AN839" s="199"/>
      <c r="AO839" s="199"/>
      <c r="AP839" s="199"/>
      <c r="AQ839" s="199"/>
      <c r="AR839" s="136"/>
      <c r="AS839" s="199"/>
      <c r="AT839" s="199"/>
      <c r="AU839" s="199"/>
      <c r="AV839" s="199"/>
      <c r="AW839" s="136"/>
      <c r="AX839" s="199"/>
      <c r="AY839" s="199"/>
      <c r="AZ839" s="199"/>
      <c r="BA839" s="199"/>
      <c r="BB839" s="136"/>
      <c r="BC839" s="199"/>
      <c r="BD839" s="199"/>
      <c r="BE839" s="199"/>
      <c r="BF839" s="199"/>
      <c r="BG839" s="136"/>
      <c r="BH839" s="199"/>
      <c r="BI839" s="199"/>
      <c r="BJ839" s="199"/>
    </row>
    <row r="840" spans="1:62" x14ac:dyDescent="0.25">
      <c r="A840" s="199"/>
      <c r="B840" s="136"/>
      <c r="C840" s="199"/>
      <c r="D840" s="199"/>
      <c r="E840" s="199"/>
      <c r="F840" s="199"/>
      <c r="G840" s="199"/>
      <c r="H840" s="199"/>
      <c r="I840" s="136"/>
      <c r="J840" s="199"/>
      <c r="K840" s="199"/>
      <c r="L840" s="199"/>
      <c r="M840" s="199"/>
      <c r="N840" s="136"/>
      <c r="O840" s="199"/>
      <c r="P840" s="199"/>
      <c r="Q840" s="199"/>
      <c r="R840" s="199"/>
      <c r="S840" s="136"/>
      <c r="T840" s="199"/>
      <c r="U840" s="199"/>
      <c r="V840" s="199"/>
      <c r="W840" s="199"/>
      <c r="X840" s="136"/>
      <c r="Y840" s="199"/>
      <c r="Z840" s="199"/>
      <c r="AA840" s="199"/>
      <c r="AB840" s="199"/>
      <c r="AC840" s="136"/>
      <c r="AD840" s="199"/>
      <c r="AE840" s="199"/>
      <c r="AF840" s="199"/>
      <c r="AG840" s="199"/>
      <c r="AH840" s="136"/>
      <c r="AI840" s="199"/>
      <c r="AJ840" s="199"/>
      <c r="AK840" s="199"/>
      <c r="AL840" s="199"/>
      <c r="AM840" s="136"/>
      <c r="AN840" s="199"/>
      <c r="AO840" s="199"/>
      <c r="AP840" s="199"/>
      <c r="AQ840" s="199"/>
      <c r="AR840" s="136"/>
      <c r="AS840" s="199"/>
      <c r="AT840" s="199"/>
      <c r="AU840" s="199"/>
      <c r="AV840" s="199"/>
      <c r="AW840" s="136"/>
      <c r="AX840" s="199"/>
      <c r="AY840" s="199"/>
      <c r="AZ840" s="199"/>
      <c r="BA840" s="199"/>
      <c r="BB840" s="136"/>
      <c r="BC840" s="199"/>
      <c r="BD840" s="199"/>
      <c r="BE840" s="199"/>
      <c r="BF840" s="199"/>
      <c r="BG840" s="136"/>
      <c r="BH840" s="199"/>
      <c r="BI840" s="199"/>
      <c r="BJ840" s="199"/>
    </row>
    <row r="841" spans="1:62" x14ac:dyDescent="0.25">
      <c r="A841" s="199"/>
      <c r="B841" s="136"/>
      <c r="C841" s="199"/>
      <c r="D841" s="199"/>
      <c r="E841" s="199"/>
      <c r="F841" s="199"/>
      <c r="G841" s="199"/>
      <c r="H841" s="199"/>
      <c r="I841" s="136"/>
      <c r="J841" s="199"/>
      <c r="K841" s="199"/>
      <c r="L841" s="199"/>
      <c r="M841" s="199"/>
      <c r="N841" s="136"/>
      <c r="O841" s="199"/>
      <c r="P841" s="199"/>
      <c r="Q841" s="199"/>
      <c r="R841" s="199"/>
      <c r="S841" s="136"/>
      <c r="T841" s="199"/>
      <c r="U841" s="199"/>
      <c r="V841" s="199"/>
      <c r="W841" s="199"/>
      <c r="X841" s="136"/>
      <c r="Y841" s="199"/>
      <c r="Z841" s="199"/>
      <c r="AA841" s="199"/>
      <c r="AB841" s="199"/>
      <c r="AC841" s="136"/>
      <c r="AD841" s="199"/>
      <c r="AE841" s="199"/>
      <c r="AF841" s="199"/>
      <c r="AG841" s="199"/>
      <c r="AH841" s="136"/>
      <c r="AI841" s="199"/>
      <c r="AJ841" s="199"/>
      <c r="AK841" s="199"/>
      <c r="AL841" s="199"/>
      <c r="AM841" s="136"/>
      <c r="AN841" s="199"/>
      <c r="AO841" s="199"/>
      <c r="AP841" s="199"/>
      <c r="AQ841" s="199"/>
      <c r="AR841" s="136"/>
      <c r="AS841" s="199"/>
      <c r="AT841" s="199"/>
      <c r="AU841" s="199"/>
      <c r="AV841" s="199"/>
      <c r="AW841" s="136"/>
      <c r="AX841" s="199"/>
      <c r="AY841" s="199"/>
      <c r="AZ841" s="199"/>
      <c r="BA841" s="199"/>
      <c r="BB841" s="136"/>
      <c r="BC841" s="199"/>
      <c r="BD841" s="199"/>
      <c r="BE841" s="199"/>
      <c r="BF841" s="199"/>
      <c r="BG841" s="136"/>
      <c r="BH841" s="199"/>
      <c r="BI841" s="199"/>
      <c r="BJ841" s="199"/>
    </row>
    <row r="845" spans="1:62" ht="36" x14ac:dyDescent="0.25">
      <c r="A845" s="169"/>
      <c r="B845" s="107"/>
      <c r="C845" s="107"/>
      <c r="D845" s="107"/>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c r="AA845" s="107"/>
      <c r="AB845" s="107"/>
      <c r="AC845" s="107"/>
      <c r="AD845" s="107"/>
      <c r="AE845" s="107"/>
      <c r="AF845" s="107"/>
      <c r="AG845" s="107"/>
      <c r="AH845" s="107"/>
      <c r="AI845" s="107"/>
      <c r="AJ845" s="107"/>
      <c r="AK845" s="107"/>
      <c r="AL845" s="107"/>
      <c r="AM845" s="107"/>
      <c r="AN845" s="107"/>
      <c r="AO845" s="107"/>
      <c r="AP845" s="107"/>
      <c r="AQ845" s="107"/>
      <c r="AR845" s="107"/>
      <c r="AS845" s="107"/>
      <c r="AT845" s="107"/>
      <c r="AU845" s="107"/>
      <c r="AV845" s="107"/>
      <c r="AW845" s="107"/>
      <c r="AX845" s="107"/>
      <c r="AY845" s="107"/>
      <c r="AZ845" s="107"/>
      <c r="BA845" s="107"/>
      <c r="BB845" s="107"/>
      <c r="BC845" s="107"/>
      <c r="BD845" s="107"/>
      <c r="BE845" s="107"/>
      <c r="BF845" s="107"/>
      <c r="BG845" s="107"/>
      <c r="BH845" s="107"/>
      <c r="BI845" s="107"/>
      <c r="BJ845" s="107"/>
    </row>
    <row r="846" spans="1:62" x14ac:dyDescent="0.25">
      <c r="A846" s="107"/>
      <c r="B846" s="107"/>
      <c r="C846" s="107"/>
      <c r="D846" s="107"/>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c r="AA846" s="107"/>
      <c r="AB846" s="107"/>
      <c r="AC846" s="107"/>
      <c r="AD846" s="107"/>
      <c r="AE846" s="107"/>
      <c r="AF846" s="107"/>
      <c r="AG846" s="107"/>
      <c r="AH846" s="107"/>
      <c r="AI846" s="107"/>
      <c r="AJ846" s="107"/>
      <c r="AK846" s="107"/>
      <c r="AL846" s="107"/>
      <c r="AM846" s="107"/>
      <c r="AN846" s="107"/>
      <c r="AO846" s="107"/>
      <c r="AP846" s="107"/>
      <c r="AQ846" s="107"/>
      <c r="AR846" s="107"/>
      <c r="AS846" s="107"/>
      <c r="AT846" s="107"/>
      <c r="AU846" s="107"/>
      <c r="AV846" s="107"/>
      <c r="AW846" s="107"/>
      <c r="AX846" s="107"/>
      <c r="AY846" s="107"/>
      <c r="AZ846" s="107"/>
      <c r="BA846" s="107"/>
      <c r="BB846" s="107"/>
      <c r="BC846" s="107"/>
      <c r="BD846" s="107"/>
      <c r="BE846" s="107"/>
      <c r="BF846" s="107"/>
      <c r="BG846" s="107"/>
      <c r="BH846" s="107"/>
      <c r="BI846" s="107"/>
      <c r="BJ846" s="107"/>
    </row>
    <row r="847" spans="1:62" x14ac:dyDescent="0.25">
      <c r="A847" s="107"/>
      <c r="B847" s="107"/>
      <c r="C847" s="107"/>
      <c r="D847" s="107"/>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c r="AA847" s="107"/>
      <c r="AB847" s="107"/>
      <c r="AC847" s="107"/>
      <c r="AD847" s="107"/>
      <c r="AE847" s="107"/>
      <c r="AF847" s="107"/>
      <c r="AG847" s="107"/>
      <c r="AH847" s="107"/>
      <c r="AI847" s="107"/>
      <c r="AJ847" s="107"/>
      <c r="AK847" s="107"/>
      <c r="AL847" s="107"/>
      <c r="AM847" s="107"/>
      <c r="AN847" s="107"/>
      <c r="AO847" s="107"/>
      <c r="AP847" s="107"/>
      <c r="AQ847" s="107"/>
      <c r="AR847" s="107"/>
      <c r="AS847" s="107"/>
      <c r="AT847" s="107"/>
      <c r="AU847" s="107"/>
      <c r="AV847" s="107"/>
      <c r="AW847" s="107"/>
      <c r="AX847" s="107"/>
      <c r="AY847" s="107"/>
      <c r="AZ847" s="107"/>
      <c r="BA847" s="107"/>
      <c r="BB847" s="107"/>
      <c r="BC847" s="107"/>
      <c r="BD847" s="107"/>
      <c r="BE847" s="107"/>
      <c r="BF847" s="107"/>
      <c r="BG847" s="107"/>
      <c r="BH847" s="107"/>
      <c r="BI847" s="107"/>
      <c r="BJ847" s="107"/>
    </row>
    <row r="848" spans="1:62" ht="36" x14ac:dyDescent="0.25">
      <c r="A848" s="169"/>
      <c r="B848" s="169"/>
      <c r="C848" s="169"/>
      <c r="D848" s="169"/>
      <c r="E848" s="169"/>
      <c r="F848" s="169"/>
      <c r="G848" s="169"/>
      <c r="H848" s="169"/>
      <c r="I848" s="169"/>
      <c r="J848" s="169"/>
      <c r="K848" s="169"/>
      <c r="L848" s="169"/>
      <c r="M848" s="169"/>
      <c r="N848" s="169"/>
      <c r="O848" s="169"/>
      <c r="P848" s="169"/>
      <c r="Q848" s="169"/>
      <c r="R848" s="169"/>
      <c r="S848" s="169"/>
      <c r="T848" s="169"/>
      <c r="U848" s="169"/>
      <c r="V848" s="169"/>
      <c r="W848" s="169"/>
      <c r="X848" s="169"/>
      <c r="Y848" s="169"/>
      <c r="Z848" s="169"/>
      <c r="AA848" s="169"/>
      <c r="AB848" s="169"/>
      <c r="AC848" s="169"/>
      <c r="AD848" s="169"/>
      <c r="AE848" s="169"/>
      <c r="AF848" s="169"/>
      <c r="AG848" s="169"/>
      <c r="AH848" s="169"/>
      <c r="AI848" s="169"/>
      <c r="AJ848" s="169"/>
      <c r="AK848" s="169"/>
      <c r="AL848" s="169"/>
      <c r="AM848" s="169"/>
      <c r="AN848" s="169"/>
      <c r="AO848" s="169"/>
      <c r="AP848" s="169"/>
      <c r="AQ848" s="169"/>
      <c r="AR848" s="169"/>
      <c r="AS848" s="169"/>
      <c r="AT848" s="169"/>
      <c r="AU848" s="169"/>
      <c r="AV848" s="169"/>
      <c r="AW848" s="169"/>
      <c r="AX848" s="169"/>
      <c r="AY848" s="169"/>
      <c r="AZ848" s="169"/>
      <c r="BA848" s="169"/>
      <c r="BB848" s="169"/>
      <c r="BC848" s="169"/>
      <c r="BD848" s="169"/>
      <c r="BE848" s="169"/>
      <c r="BF848" s="169"/>
      <c r="BG848" s="169"/>
      <c r="BH848" s="169"/>
      <c r="BI848" s="169"/>
      <c r="BJ848" s="169"/>
    </row>
    <row r="849" spans="1:62" ht="36" x14ac:dyDescent="0.25">
      <c r="A849" s="169"/>
      <c r="B849" s="169"/>
      <c r="C849" s="169"/>
      <c r="D849" s="169"/>
      <c r="E849" s="169"/>
      <c r="F849" s="169"/>
      <c r="G849" s="169"/>
      <c r="H849" s="169"/>
      <c r="I849" s="169"/>
      <c r="J849" s="169"/>
      <c r="K849" s="169"/>
      <c r="L849" s="169"/>
      <c r="M849" s="169"/>
      <c r="N849" s="169"/>
      <c r="O849" s="169"/>
      <c r="P849" s="169"/>
      <c r="Q849" s="169"/>
      <c r="R849" s="169"/>
      <c r="S849" s="169"/>
      <c r="T849" s="169"/>
      <c r="U849" s="169"/>
      <c r="V849" s="169"/>
      <c r="W849" s="169"/>
      <c r="X849" s="169"/>
      <c r="Y849" s="169"/>
      <c r="Z849" s="169"/>
      <c r="AA849" s="169"/>
      <c r="AB849" s="169"/>
      <c r="AC849" s="169"/>
      <c r="AD849" s="169"/>
      <c r="AE849" s="169"/>
      <c r="AF849" s="169"/>
      <c r="AG849" s="169"/>
      <c r="AH849" s="169"/>
      <c r="AI849" s="169"/>
      <c r="AJ849" s="169"/>
      <c r="AK849" s="169"/>
      <c r="AL849" s="169"/>
      <c r="AM849" s="169"/>
      <c r="AN849" s="169"/>
      <c r="AO849" s="169"/>
      <c r="AP849" s="169"/>
      <c r="AQ849" s="169"/>
      <c r="AR849" s="169"/>
      <c r="AS849" s="169"/>
      <c r="AT849" s="169"/>
      <c r="AU849" s="169"/>
      <c r="AV849" s="169"/>
      <c r="AW849" s="169"/>
      <c r="AX849" s="169"/>
      <c r="AY849" s="169"/>
      <c r="AZ849" s="169"/>
      <c r="BA849" s="169"/>
      <c r="BB849" s="169"/>
      <c r="BC849" s="169"/>
      <c r="BD849" s="169"/>
      <c r="BE849" s="169"/>
      <c r="BF849" s="169"/>
      <c r="BG849" s="169"/>
      <c r="BH849" s="169"/>
      <c r="BI849" s="169"/>
      <c r="BJ849" s="169"/>
    </row>
    <row r="850" spans="1:62" ht="36" x14ac:dyDescent="0.25">
      <c r="A850" s="169"/>
      <c r="B850" s="169"/>
      <c r="C850" s="169"/>
      <c r="D850" s="169"/>
      <c r="E850" s="169"/>
      <c r="F850" s="169"/>
      <c r="G850" s="169"/>
      <c r="H850" s="169"/>
      <c r="I850" s="169"/>
      <c r="J850" s="169"/>
      <c r="K850" s="169"/>
      <c r="L850" s="169"/>
      <c r="M850" s="169"/>
      <c r="N850" s="169"/>
      <c r="O850" s="169"/>
      <c r="P850" s="169"/>
      <c r="Q850" s="169"/>
      <c r="R850" s="169"/>
      <c r="S850" s="169"/>
      <c r="T850" s="169"/>
      <c r="U850" s="169"/>
      <c r="V850" s="169"/>
      <c r="W850" s="169"/>
      <c r="X850" s="169"/>
      <c r="Y850" s="169"/>
      <c r="Z850" s="169"/>
      <c r="AA850" s="169"/>
      <c r="AB850" s="169"/>
      <c r="AC850" s="169"/>
      <c r="AD850" s="169"/>
      <c r="AE850" s="169"/>
      <c r="AF850" s="169"/>
      <c r="AG850" s="169"/>
      <c r="AH850" s="169"/>
      <c r="AI850" s="169"/>
      <c r="AJ850" s="169"/>
      <c r="AK850" s="169"/>
      <c r="AL850" s="169"/>
      <c r="AM850" s="169"/>
      <c r="AN850" s="169"/>
      <c r="AO850" s="169"/>
      <c r="AP850" s="169"/>
      <c r="AQ850" s="169"/>
      <c r="AR850" s="169"/>
      <c r="AS850" s="169"/>
      <c r="AT850" s="169"/>
      <c r="AU850" s="169"/>
      <c r="AV850" s="169"/>
      <c r="AW850" s="169"/>
      <c r="AX850" s="169"/>
      <c r="AY850" s="169"/>
      <c r="AZ850" s="169"/>
      <c r="BA850" s="169"/>
      <c r="BB850" s="169"/>
      <c r="BC850" s="169"/>
      <c r="BD850" s="169"/>
      <c r="BE850" s="169"/>
      <c r="BF850" s="169"/>
      <c r="BG850" s="169"/>
      <c r="BH850" s="169"/>
      <c r="BI850" s="169"/>
      <c r="BJ850" s="169"/>
    </row>
    <row r="851" spans="1:62" x14ac:dyDescent="0.25">
      <c r="F851" s="194"/>
      <c r="G851" s="194"/>
    </row>
    <row r="853" spans="1:62" x14ac:dyDescent="0.25">
      <c r="A853" s="199"/>
      <c r="B853" s="136"/>
      <c r="C853" s="199"/>
      <c r="D853" s="199"/>
      <c r="E853" s="199"/>
      <c r="F853" s="199"/>
      <c r="G853" s="199"/>
      <c r="H853" s="199"/>
      <c r="I853" s="136"/>
      <c r="J853" s="199"/>
      <c r="K853" s="199"/>
      <c r="L853" s="199"/>
      <c r="M853" s="199"/>
      <c r="N853" s="136"/>
      <c r="O853" s="199"/>
      <c r="P853" s="199"/>
      <c r="Q853" s="199"/>
      <c r="R853" s="199"/>
      <c r="S853" s="136"/>
      <c r="T853" s="199"/>
      <c r="U853" s="199"/>
      <c r="V853" s="199"/>
      <c r="W853" s="199"/>
      <c r="X853" s="136"/>
      <c r="Y853" s="199"/>
      <c r="Z853" s="199"/>
      <c r="AA853" s="199"/>
      <c r="AB853" s="199"/>
      <c r="AC853" s="136"/>
      <c r="AD853" s="199"/>
      <c r="AE853" s="199"/>
      <c r="AF853" s="199"/>
      <c r="AG853" s="199"/>
      <c r="AH853" s="136"/>
      <c r="AI853" s="199"/>
      <c r="AJ853" s="199"/>
      <c r="AK853" s="199"/>
      <c r="AL853" s="199"/>
      <c r="AM853" s="136"/>
      <c r="AN853" s="199"/>
      <c r="AO853" s="199"/>
      <c r="AP853" s="199"/>
      <c r="AQ853" s="199"/>
      <c r="AR853" s="136"/>
      <c r="AS853" s="199"/>
      <c r="AT853" s="199"/>
      <c r="AU853" s="199"/>
      <c r="AV853" s="199"/>
      <c r="AW853" s="136"/>
      <c r="AX853" s="199"/>
      <c r="AY853" s="199"/>
      <c r="AZ853" s="199"/>
      <c r="BA853" s="199"/>
      <c r="BB853" s="136"/>
      <c r="BC853" s="199"/>
      <c r="BD853" s="199"/>
      <c r="BE853" s="199"/>
      <c r="BF853" s="199"/>
      <c r="BG853" s="136"/>
      <c r="BH853" s="199"/>
      <c r="BI853" s="199"/>
      <c r="BJ853" s="199"/>
    </row>
    <row r="854" spans="1:62" x14ac:dyDescent="0.25">
      <c r="A854" s="199"/>
      <c r="B854" s="136"/>
      <c r="C854" s="199"/>
      <c r="D854" s="199"/>
      <c r="E854" s="199"/>
      <c r="F854" s="199"/>
      <c r="G854" s="199"/>
      <c r="H854" s="199"/>
      <c r="I854" s="136"/>
      <c r="J854" s="199"/>
      <c r="K854" s="199"/>
      <c r="L854" s="199"/>
      <c r="M854" s="199"/>
      <c r="N854" s="136"/>
      <c r="O854" s="199"/>
      <c r="P854" s="199"/>
      <c r="Q854" s="199"/>
      <c r="R854" s="199"/>
      <c r="S854" s="136"/>
      <c r="T854" s="199"/>
      <c r="U854" s="199"/>
      <c r="V854" s="199"/>
      <c r="W854" s="199"/>
      <c r="X854" s="136"/>
      <c r="Y854" s="199"/>
      <c r="Z854" s="199"/>
      <c r="AA854" s="199"/>
      <c r="AB854" s="199"/>
      <c r="AC854" s="136"/>
      <c r="AD854" s="199"/>
      <c r="AE854" s="199"/>
      <c r="AF854" s="199"/>
      <c r="AG854" s="199"/>
      <c r="AH854" s="136"/>
      <c r="AI854" s="199"/>
      <c r="AJ854" s="199"/>
      <c r="AK854" s="199"/>
      <c r="AL854" s="199"/>
      <c r="AM854" s="136"/>
      <c r="AN854" s="199"/>
      <c r="AO854" s="199"/>
      <c r="AP854" s="199"/>
      <c r="AQ854" s="199"/>
      <c r="AR854" s="136"/>
      <c r="AS854" s="199"/>
      <c r="AT854" s="199"/>
      <c r="AU854" s="199"/>
      <c r="AV854" s="199"/>
      <c r="AW854" s="136"/>
      <c r="AX854" s="199"/>
      <c r="AY854" s="199"/>
      <c r="AZ854" s="199"/>
      <c r="BA854" s="199"/>
      <c r="BB854" s="136"/>
      <c r="BC854" s="199"/>
      <c r="BD854" s="199"/>
      <c r="BE854" s="199"/>
      <c r="BF854" s="199"/>
      <c r="BG854" s="136"/>
      <c r="BH854" s="199"/>
      <c r="BI854" s="199"/>
      <c r="BJ854" s="199"/>
    </row>
    <row r="855" spans="1:62" x14ac:dyDescent="0.25">
      <c r="A855" s="199"/>
      <c r="B855" s="136"/>
      <c r="C855" s="199"/>
      <c r="D855" s="199"/>
      <c r="E855" s="199"/>
      <c r="F855" s="199"/>
      <c r="G855" s="199"/>
      <c r="H855" s="199"/>
      <c r="I855" s="136"/>
      <c r="J855" s="199"/>
      <c r="K855" s="199"/>
      <c r="L855" s="199"/>
      <c r="M855" s="199"/>
      <c r="N855" s="136"/>
      <c r="O855" s="199"/>
      <c r="P855" s="199"/>
      <c r="Q855" s="199"/>
      <c r="R855" s="199"/>
      <c r="S855" s="136"/>
      <c r="T855" s="199"/>
      <c r="U855" s="199"/>
      <c r="V855" s="199"/>
      <c r="W855" s="199"/>
      <c r="X855" s="136"/>
      <c r="Y855" s="199"/>
      <c r="Z855" s="199"/>
      <c r="AA855" s="199"/>
      <c r="AB855" s="199"/>
      <c r="AC855" s="136"/>
      <c r="AD855" s="199"/>
      <c r="AE855" s="199"/>
      <c r="AF855" s="199"/>
      <c r="AG855" s="199"/>
      <c r="AH855" s="136"/>
      <c r="AI855" s="199"/>
      <c r="AJ855" s="199"/>
      <c r="AK855" s="199"/>
      <c r="AL855" s="199"/>
      <c r="AM855" s="136"/>
      <c r="AN855" s="199"/>
      <c r="AO855" s="199"/>
      <c r="AP855" s="199"/>
      <c r="AQ855" s="199"/>
      <c r="AR855" s="136"/>
      <c r="AS855" s="199"/>
      <c r="AT855" s="199"/>
      <c r="AU855" s="199"/>
      <c r="AV855" s="199"/>
      <c r="AW855" s="136"/>
      <c r="AX855" s="199"/>
      <c r="AY855" s="199"/>
      <c r="AZ855" s="199"/>
      <c r="BA855" s="199"/>
      <c r="BB855" s="136"/>
      <c r="BC855" s="199"/>
      <c r="BD855" s="199"/>
      <c r="BE855" s="199"/>
      <c r="BF855" s="199"/>
      <c r="BG855" s="136"/>
      <c r="BH855" s="199"/>
      <c r="BI855" s="199"/>
      <c r="BJ855" s="199"/>
    </row>
    <row r="856" spans="1:62" x14ac:dyDescent="0.25">
      <c r="A856" s="199"/>
      <c r="B856" s="136"/>
      <c r="C856" s="199"/>
      <c r="D856" s="199"/>
      <c r="E856" s="199"/>
      <c r="F856" s="199"/>
      <c r="G856" s="199"/>
      <c r="H856" s="199"/>
      <c r="I856" s="136"/>
      <c r="J856" s="199"/>
      <c r="K856" s="199"/>
      <c r="L856" s="199"/>
      <c r="M856" s="199"/>
      <c r="N856" s="136"/>
      <c r="O856" s="199"/>
      <c r="P856" s="199"/>
      <c r="Q856" s="199"/>
      <c r="R856" s="199"/>
      <c r="S856" s="136"/>
      <c r="T856" s="199"/>
      <c r="U856" s="199"/>
      <c r="V856" s="199"/>
      <c r="W856" s="199"/>
      <c r="X856" s="136"/>
      <c r="Y856" s="199"/>
      <c r="Z856" s="199"/>
      <c r="AA856" s="199"/>
      <c r="AB856" s="199"/>
      <c r="AC856" s="136"/>
      <c r="AD856" s="199"/>
      <c r="AE856" s="199"/>
      <c r="AF856" s="199"/>
      <c r="AG856" s="199"/>
      <c r="AH856" s="136"/>
      <c r="AI856" s="199"/>
      <c r="AJ856" s="199"/>
      <c r="AK856" s="199"/>
      <c r="AL856" s="199"/>
      <c r="AM856" s="136"/>
      <c r="AN856" s="199"/>
      <c r="AO856" s="199"/>
      <c r="AP856" s="199"/>
      <c r="AQ856" s="199"/>
      <c r="AR856" s="136"/>
      <c r="AS856" s="199"/>
      <c r="AT856" s="199"/>
      <c r="AU856" s="199"/>
      <c r="AV856" s="199"/>
      <c r="AW856" s="136"/>
      <c r="AX856" s="199"/>
      <c r="AY856" s="199"/>
      <c r="AZ856" s="199"/>
      <c r="BA856" s="199"/>
      <c r="BB856" s="136"/>
      <c r="BC856" s="199"/>
      <c r="BD856" s="199"/>
      <c r="BE856" s="199"/>
      <c r="BF856" s="199"/>
      <c r="BG856" s="136"/>
      <c r="BH856" s="199"/>
      <c r="BI856" s="199"/>
      <c r="BJ856" s="199"/>
    </row>
    <row r="857" spans="1:62" x14ac:dyDescent="0.25">
      <c r="A857" s="199"/>
      <c r="B857" s="136"/>
      <c r="C857" s="199"/>
      <c r="D857" s="199"/>
      <c r="E857" s="199"/>
      <c r="F857" s="199"/>
      <c r="G857" s="199"/>
      <c r="H857" s="199"/>
      <c r="I857" s="136"/>
      <c r="J857" s="199"/>
      <c r="K857" s="199"/>
      <c r="L857" s="199"/>
      <c r="M857" s="199"/>
      <c r="N857" s="136"/>
      <c r="O857" s="199"/>
      <c r="P857" s="199"/>
      <c r="Q857" s="199"/>
      <c r="R857" s="199"/>
      <c r="S857" s="136"/>
      <c r="T857" s="199"/>
      <c r="U857" s="199"/>
      <c r="V857" s="199"/>
      <c r="W857" s="199"/>
      <c r="X857" s="136"/>
      <c r="Y857" s="199"/>
      <c r="Z857" s="199"/>
      <c r="AA857" s="199"/>
      <c r="AB857" s="199"/>
      <c r="AC857" s="136"/>
      <c r="AD857" s="199"/>
      <c r="AE857" s="199"/>
      <c r="AF857" s="199"/>
      <c r="AG857" s="199"/>
      <c r="AH857" s="136"/>
      <c r="AI857" s="199"/>
      <c r="AJ857" s="199"/>
      <c r="AK857" s="199"/>
      <c r="AL857" s="199"/>
      <c r="AM857" s="136"/>
      <c r="AN857" s="199"/>
      <c r="AO857" s="199"/>
      <c r="AP857" s="199"/>
      <c r="AQ857" s="199"/>
      <c r="AR857" s="136"/>
      <c r="AS857" s="199"/>
      <c r="AT857" s="199"/>
      <c r="AU857" s="199"/>
      <c r="AV857" s="199"/>
      <c r="AW857" s="136"/>
      <c r="AX857" s="199"/>
      <c r="AY857" s="199"/>
      <c r="AZ857" s="199"/>
      <c r="BA857" s="199"/>
      <c r="BB857" s="136"/>
      <c r="BC857" s="199"/>
      <c r="BD857" s="199"/>
      <c r="BE857" s="199"/>
      <c r="BF857" s="199"/>
      <c r="BG857" s="136"/>
      <c r="BH857" s="199"/>
      <c r="BI857" s="199"/>
      <c r="BJ857" s="199"/>
    </row>
    <row r="858" spans="1:62" x14ac:dyDescent="0.25">
      <c r="A858" s="199"/>
      <c r="B858" s="136"/>
      <c r="C858" s="199"/>
      <c r="D858" s="199"/>
      <c r="E858" s="199"/>
      <c r="F858" s="199"/>
      <c r="G858" s="199"/>
      <c r="H858" s="199"/>
      <c r="I858" s="136"/>
      <c r="J858" s="199"/>
      <c r="K858" s="199"/>
      <c r="L858" s="199"/>
      <c r="M858" s="199"/>
      <c r="N858" s="136"/>
      <c r="O858" s="199"/>
      <c r="P858" s="199"/>
      <c r="Q858" s="199"/>
      <c r="R858" s="199"/>
      <c r="S858" s="136"/>
      <c r="T858" s="199"/>
      <c r="U858" s="199"/>
      <c r="V858" s="199"/>
      <c r="W858" s="199"/>
      <c r="X858" s="136"/>
      <c r="Y858" s="199"/>
      <c r="Z858" s="199"/>
      <c r="AA858" s="199"/>
      <c r="AB858" s="199"/>
      <c r="AC858" s="136"/>
      <c r="AD858" s="199"/>
      <c r="AE858" s="199"/>
      <c r="AF858" s="199"/>
      <c r="AG858" s="199"/>
      <c r="AH858" s="136"/>
      <c r="AI858" s="199"/>
      <c r="AJ858" s="199"/>
      <c r="AK858" s="199"/>
      <c r="AL858" s="199"/>
      <c r="AM858" s="136"/>
      <c r="AN858" s="199"/>
      <c r="AO858" s="199"/>
      <c r="AP858" s="199"/>
      <c r="AQ858" s="199"/>
      <c r="AR858" s="136"/>
      <c r="AS858" s="199"/>
      <c r="AT858" s="199"/>
      <c r="AU858" s="199"/>
      <c r="AV858" s="199"/>
      <c r="AW858" s="136"/>
      <c r="AX858" s="199"/>
      <c r="AY858" s="199"/>
      <c r="AZ858" s="199"/>
      <c r="BA858" s="199"/>
      <c r="BB858" s="136"/>
      <c r="BC858" s="199"/>
      <c r="BD858" s="199"/>
      <c r="BE858" s="199"/>
      <c r="BF858" s="199"/>
      <c r="BG858" s="136"/>
      <c r="BH858" s="199"/>
      <c r="BI858" s="199"/>
      <c r="BJ858" s="199"/>
    </row>
    <row r="859" spans="1:62" x14ac:dyDescent="0.25">
      <c r="A859" s="199"/>
      <c r="B859" s="136"/>
      <c r="C859" s="199"/>
      <c r="D859" s="199"/>
      <c r="E859" s="199"/>
      <c r="F859" s="199"/>
      <c r="G859" s="199"/>
      <c r="H859" s="199"/>
      <c r="I859" s="136"/>
      <c r="J859" s="199"/>
      <c r="K859" s="199"/>
      <c r="L859" s="199"/>
      <c r="M859" s="199"/>
      <c r="N859" s="136"/>
      <c r="O859" s="199"/>
      <c r="P859" s="199"/>
      <c r="Q859" s="199"/>
      <c r="R859" s="199"/>
      <c r="S859" s="136"/>
      <c r="T859" s="199"/>
      <c r="U859" s="199"/>
      <c r="V859" s="199"/>
      <c r="W859" s="199"/>
      <c r="X859" s="136"/>
      <c r="Y859" s="199"/>
      <c r="Z859" s="199"/>
      <c r="AA859" s="199"/>
      <c r="AB859" s="199"/>
      <c r="AC859" s="136"/>
      <c r="AD859" s="199"/>
      <c r="AE859" s="199"/>
      <c r="AF859" s="199"/>
      <c r="AG859" s="199"/>
      <c r="AH859" s="136"/>
      <c r="AI859" s="199"/>
      <c r="AJ859" s="199"/>
      <c r="AK859" s="199"/>
      <c r="AL859" s="199"/>
      <c r="AM859" s="136"/>
      <c r="AN859" s="199"/>
      <c r="AO859" s="199"/>
      <c r="AP859" s="199"/>
      <c r="AQ859" s="199"/>
      <c r="AR859" s="136"/>
      <c r="AS859" s="199"/>
      <c r="AT859" s="199"/>
      <c r="AU859" s="199"/>
      <c r="AV859" s="199"/>
      <c r="AW859" s="136"/>
      <c r="AX859" s="199"/>
      <c r="AY859" s="199"/>
      <c r="AZ859" s="199"/>
      <c r="BA859" s="199"/>
      <c r="BB859" s="136"/>
      <c r="BC859" s="199"/>
      <c r="BD859" s="199"/>
      <c r="BE859" s="199"/>
      <c r="BF859" s="199"/>
      <c r="BG859" s="136"/>
      <c r="BH859" s="199"/>
      <c r="BI859" s="199"/>
      <c r="BJ859" s="199"/>
    </row>
    <row r="860" spans="1:62" x14ac:dyDescent="0.25">
      <c r="A860" s="199"/>
      <c r="B860" s="136"/>
      <c r="C860" s="199"/>
      <c r="D860" s="199"/>
      <c r="E860" s="199"/>
      <c r="F860" s="199"/>
      <c r="G860" s="199"/>
      <c r="H860" s="199"/>
      <c r="I860" s="136"/>
      <c r="J860" s="199"/>
      <c r="K860" s="199"/>
      <c r="L860" s="199"/>
      <c r="M860" s="199"/>
      <c r="N860" s="136"/>
      <c r="O860" s="199"/>
      <c r="P860" s="199"/>
      <c r="Q860" s="199"/>
      <c r="R860" s="199"/>
      <c r="S860" s="136"/>
      <c r="T860" s="199"/>
      <c r="U860" s="199"/>
      <c r="V860" s="199"/>
      <c r="W860" s="199"/>
      <c r="X860" s="136"/>
      <c r="Y860" s="199"/>
      <c r="Z860" s="199"/>
      <c r="AA860" s="199"/>
      <c r="AB860" s="199"/>
      <c r="AC860" s="136"/>
      <c r="AD860" s="199"/>
      <c r="AE860" s="199"/>
      <c r="AF860" s="199"/>
      <c r="AG860" s="199"/>
      <c r="AH860" s="136"/>
      <c r="AI860" s="199"/>
      <c r="AJ860" s="199"/>
      <c r="AK860" s="199"/>
      <c r="AL860" s="199"/>
      <c r="AM860" s="136"/>
      <c r="AN860" s="199"/>
      <c r="AO860" s="199"/>
      <c r="AP860" s="199"/>
      <c r="AQ860" s="199"/>
      <c r="AR860" s="136"/>
      <c r="AS860" s="199"/>
      <c r="AT860" s="199"/>
      <c r="AU860" s="199"/>
      <c r="AV860" s="199"/>
      <c r="AW860" s="136"/>
      <c r="AX860" s="199"/>
      <c r="AY860" s="199"/>
      <c r="AZ860" s="199"/>
      <c r="BA860" s="199"/>
      <c r="BB860" s="136"/>
      <c r="BC860" s="199"/>
      <c r="BD860" s="199"/>
      <c r="BE860" s="199"/>
      <c r="BF860" s="199"/>
      <c r="BG860" s="136"/>
      <c r="BH860" s="199"/>
      <c r="BI860" s="199"/>
      <c r="BJ860" s="199"/>
    </row>
    <row r="864" spans="1:62" ht="36" x14ac:dyDescent="0.25">
      <c r="A864" s="169"/>
      <c r="B864" s="107"/>
      <c r="C864" s="107"/>
      <c r="D864" s="107"/>
      <c r="E864" s="107"/>
      <c r="F864" s="107"/>
      <c r="G864" s="107"/>
      <c r="H864" s="107"/>
      <c r="I864" s="107"/>
      <c r="J864" s="107"/>
      <c r="K864" s="107"/>
      <c r="L864" s="107"/>
      <c r="M864" s="107"/>
      <c r="N864" s="107"/>
      <c r="O864" s="107"/>
      <c r="P864" s="107"/>
      <c r="Q864" s="107"/>
      <c r="R864" s="107"/>
      <c r="S864" s="107"/>
      <c r="T864" s="107"/>
      <c r="U864" s="107"/>
      <c r="V864" s="107"/>
      <c r="W864" s="107"/>
      <c r="X864" s="107"/>
      <c r="Y864" s="107"/>
      <c r="Z864" s="107"/>
      <c r="AA864" s="107"/>
      <c r="AB864" s="107"/>
      <c r="AC864" s="107"/>
      <c r="AD864" s="107"/>
      <c r="AE864" s="107"/>
      <c r="AF864" s="107"/>
      <c r="AG864" s="107"/>
      <c r="AH864" s="107"/>
      <c r="AI864" s="107"/>
      <c r="AJ864" s="107"/>
      <c r="AK864" s="107"/>
      <c r="AL864" s="107"/>
      <c r="AM864" s="107"/>
      <c r="AN864" s="107"/>
      <c r="AO864" s="107"/>
      <c r="AP864" s="107"/>
      <c r="AQ864" s="107"/>
      <c r="AR864" s="107"/>
      <c r="AS864" s="107"/>
      <c r="AT864" s="107"/>
      <c r="AU864" s="107"/>
      <c r="AV864" s="107"/>
      <c r="AW864" s="107"/>
      <c r="AX864" s="107"/>
      <c r="AY864" s="107"/>
      <c r="AZ864" s="107"/>
      <c r="BA864" s="107"/>
      <c r="BB864" s="107"/>
      <c r="BC864" s="107"/>
      <c r="BD864" s="107"/>
      <c r="BE864" s="107"/>
      <c r="BF864" s="107"/>
      <c r="BG864" s="107"/>
      <c r="BH864" s="107"/>
      <c r="BI864" s="107"/>
      <c r="BJ864" s="107"/>
    </row>
    <row r="865" spans="1:62" x14ac:dyDescent="0.25">
      <c r="A865" s="107"/>
      <c r="B865" s="107"/>
      <c r="C865" s="107"/>
      <c r="D865" s="107"/>
      <c r="E865" s="107"/>
      <c r="F865" s="107"/>
      <c r="G865" s="107"/>
      <c r="H865" s="107"/>
      <c r="I865" s="107"/>
      <c r="J865" s="107"/>
      <c r="K865" s="107"/>
      <c r="L865" s="107"/>
      <c r="M865" s="107"/>
      <c r="N865" s="107"/>
      <c r="O865" s="107"/>
      <c r="P865" s="107"/>
      <c r="Q865" s="107"/>
      <c r="R865" s="107"/>
      <c r="S865" s="107"/>
      <c r="T865" s="107"/>
      <c r="U865" s="107"/>
      <c r="V865" s="107"/>
      <c r="W865" s="107"/>
      <c r="X865" s="107"/>
      <c r="Y865" s="107"/>
      <c r="Z865" s="107"/>
      <c r="AA865" s="107"/>
      <c r="AB865" s="107"/>
      <c r="AC865" s="107"/>
      <c r="AD865" s="107"/>
      <c r="AE865" s="107"/>
      <c r="AF865" s="107"/>
      <c r="AG865" s="107"/>
      <c r="AH865" s="107"/>
      <c r="AI865" s="107"/>
      <c r="AJ865" s="107"/>
      <c r="AK865" s="107"/>
      <c r="AL865" s="107"/>
      <c r="AM865" s="107"/>
      <c r="AN865" s="107"/>
      <c r="AO865" s="107"/>
      <c r="AP865" s="107"/>
      <c r="AQ865" s="107"/>
      <c r="AR865" s="107"/>
      <c r="AS865" s="107"/>
      <c r="AT865" s="107"/>
      <c r="AU865" s="107"/>
      <c r="AV865" s="107"/>
      <c r="AW865" s="107"/>
      <c r="AX865" s="107"/>
      <c r="AY865" s="107"/>
      <c r="AZ865" s="107"/>
      <c r="BA865" s="107"/>
      <c r="BB865" s="107"/>
      <c r="BC865" s="107"/>
      <c r="BD865" s="107"/>
      <c r="BE865" s="107"/>
      <c r="BF865" s="107"/>
      <c r="BG865" s="107"/>
      <c r="BH865" s="107"/>
      <c r="BI865" s="107"/>
      <c r="BJ865" s="107"/>
    </row>
    <row r="866" spans="1:62" x14ac:dyDescent="0.25">
      <c r="A866" s="107"/>
      <c r="B866" s="107"/>
      <c r="C866" s="107"/>
      <c r="D866" s="107"/>
      <c r="E866" s="107"/>
      <c r="F866" s="107"/>
      <c r="G866" s="107"/>
      <c r="H866" s="107"/>
      <c r="I866" s="107"/>
      <c r="J866" s="107"/>
      <c r="K866" s="107"/>
      <c r="L866" s="107"/>
      <c r="M866" s="107"/>
      <c r="N866" s="107"/>
      <c r="O866" s="107"/>
      <c r="P866" s="107"/>
      <c r="Q866" s="107"/>
      <c r="R866" s="107"/>
      <c r="S866" s="107"/>
      <c r="T866" s="107"/>
      <c r="U866" s="107"/>
      <c r="V866" s="107"/>
      <c r="W866" s="107"/>
      <c r="X866" s="107"/>
      <c r="Y866" s="107"/>
      <c r="Z866" s="107"/>
      <c r="AA866" s="107"/>
      <c r="AB866" s="107"/>
      <c r="AC866" s="107"/>
      <c r="AD866" s="107"/>
      <c r="AE866" s="107"/>
      <c r="AF866" s="107"/>
      <c r="AG866" s="107"/>
      <c r="AH866" s="107"/>
      <c r="AI866" s="107"/>
      <c r="AJ866" s="107"/>
      <c r="AK866" s="107"/>
      <c r="AL866" s="107"/>
      <c r="AM866" s="107"/>
      <c r="AN866" s="107"/>
      <c r="AO866" s="107"/>
      <c r="AP866" s="107"/>
      <c r="AQ866" s="107"/>
      <c r="AR866" s="107"/>
      <c r="AS866" s="107"/>
      <c r="AT866" s="107"/>
      <c r="AU866" s="107"/>
      <c r="AV866" s="107"/>
      <c r="AW866" s="107"/>
      <c r="AX866" s="107"/>
      <c r="AY866" s="107"/>
      <c r="AZ866" s="107"/>
      <c r="BA866" s="107"/>
      <c r="BB866" s="107"/>
      <c r="BC866" s="107"/>
      <c r="BD866" s="107"/>
      <c r="BE866" s="107"/>
      <c r="BF866" s="107"/>
      <c r="BG866" s="107"/>
      <c r="BH866" s="107"/>
      <c r="BI866" s="107"/>
      <c r="BJ866" s="107"/>
    </row>
    <row r="867" spans="1:62" ht="36" x14ac:dyDescent="0.25">
      <c r="A867" s="169"/>
      <c r="B867" s="169"/>
      <c r="C867" s="169"/>
      <c r="D867" s="169"/>
      <c r="E867" s="169"/>
      <c r="F867" s="169"/>
      <c r="G867" s="169"/>
      <c r="H867" s="169"/>
      <c r="I867" s="169"/>
      <c r="J867" s="169"/>
      <c r="K867" s="169"/>
      <c r="L867" s="169"/>
      <c r="M867" s="169"/>
      <c r="N867" s="169"/>
      <c r="O867" s="169"/>
      <c r="P867" s="169"/>
      <c r="Q867" s="169"/>
      <c r="R867" s="169"/>
      <c r="S867" s="169"/>
      <c r="T867" s="169"/>
      <c r="U867" s="169"/>
      <c r="V867" s="169"/>
      <c r="W867" s="169"/>
      <c r="X867" s="169"/>
      <c r="Y867" s="169"/>
      <c r="Z867" s="169"/>
      <c r="AA867" s="169"/>
      <c r="AB867" s="169"/>
      <c r="AC867" s="169"/>
      <c r="AD867" s="169"/>
      <c r="AE867" s="169"/>
      <c r="AF867" s="169"/>
      <c r="AG867" s="169"/>
      <c r="AH867" s="169"/>
      <c r="AI867" s="169"/>
      <c r="AJ867" s="169"/>
      <c r="AK867" s="169"/>
      <c r="AL867" s="169"/>
      <c r="AM867" s="169"/>
      <c r="AN867" s="169"/>
      <c r="AO867" s="169"/>
      <c r="AP867" s="169"/>
      <c r="AQ867" s="169"/>
      <c r="AR867" s="169"/>
      <c r="AS867" s="169"/>
      <c r="AT867" s="169"/>
      <c r="AU867" s="169"/>
      <c r="AV867" s="169"/>
      <c r="AW867" s="169"/>
      <c r="AX867" s="169"/>
      <c r="AY867" s="169"/>
      <c r="AZ867" s="169"/>
      <c r="BA867" s="169"/>
      <c r="BB867" s="169"/>
      <c r="BC867" s="169"/>
      <c r="BD867" s="169"/>
      <c r="BE867" s="169"/>
      <c r="BF867" s="169"/>
      <c r="BG867" s="169"/>
      <c r="BH867" s="169"/>
      <c r="BI867" s="169"/>
      <c r="BJ867" s="169"/>
    </row>
    <row r="868" spans="1:62" ht="36" x14ac:dyDescent="0.25">
      <c r="A868" s="169"/>
      <c r="B868" s="169"/>
      <c r="C868" s="169"/>
      <c r="D868" s="169"/>
      <c r="E868" s="169"/>
      <c r="F868" s="169"/>
      <c r="G868" s="169"/>
      <c r="H868" s="169"/>
      <c r="I868" s="169"/>
      <c r="J868" s="169"/>
      <c r="K868" s="169"/>
      <c r="L868" s="169"/>
      <c r="M868" s="169"/>
      <c r="N868" s="169"/>
      <c r="O868" s="169"/>
      <c r="P868" s="169"/>
      <c r="Q868" s="169"/>
      <c r="R868" s="169"/>
      <c r="S868" s="169"/>
      <c r="T868" s="169"/>
      <c r="U868" s="169"/>
      <c r="V868" s="169"/>
      <c r="W868" s="169"/>
      <c r="X868" s="169"/>
      <c r="Y868" s="169"/>
      <c r="Z868" s="169"/>
      <c r="AA868" s="169"/>
      <c r="AB868" s="169"/>
      <c r="AC868" s="169"/>
      <c r="AD868" s="169"/>
      <c r="AE868" s="169"/>
      <c r="AF868" s="169"/>
      <c r="AG868" s="169"/>
      <c r="AH868" s="169"/>
      <c r="AI868" s="169"/>
      <c r="AJ868" s="169"/>
      <c r="AK868" s="169"/>
      <c r="AL868" s="169"/>
      <c r="AM868" s="169"/>
      <c r="AN868" s="169"/>
      <c r="AO868" s="169"/>
      <c r="AP868" s="169"/>
      <c r="AQ868" s="169"/>
      <c r="AR868" s="169"/>
      <c r="AS868" s="169"/>
      <c r="AT868" s="169"/>
      <c r="AU868" s="169"/>
      <c r="AV868" s="169"/>
      <c r="AW868" s="169"/>
      <c r="AX868" s="169"/>
      <c r="AY868" s="169"/>
      <c r="AZ868" s="169"/>
      <c r="BA868" s="169"/>
      <c r="BB868" s="169"/>
      <c r="BC868" s="169"/>
      <c r="BD868" s="169"/>
      <c r="BE868" s="169"/>
      <c r="BF868" s="169"/>
      <c r="BG868" s="169"/>
      <c r="BH868" s="169"/>
      <c r="BI868" s="169"/>
      <c r="BJ868" s="169"/>
    </row>
    <row r="869" spans="1:62" ht="36" x14ac:dyDescent="0.25">
      <c r="A869" s="169"/>
      <c r="B869" s="169"/>
      <c r="C869" s="169"/>
      <c r="D869" s="169"/>
      <c r="E869" s="169"/>
      <c r="F869" s="169"/>
      <c r="G869" s="169"/>
      <c r="H869" s="169"/>
      <c r="I869" s="169"/>
      <c r="J869" s="169"/>
      <c r="K869" s="169"/>
      <c r="L869" s="169"/>
      <c r="M869" s="169"/>
      <c r="N869" s="169"/>
      <c r="O869" s="169"/>
      <c r="P869" s="169"/>
      <c r="Q869" s="169"/>
      <c r="R869" s="169"/>
      <c r="S869" s="169"/>
      <c r="T869" s="169"/>
      <c r="U869" s="169"/>
      <c r="V869" s="169"/>
      <c r="W869" s="169"/>
      <c r="X869" s="169"/>
      <c r="Y869" s="169"/>
      <c r="Z869" s="169"/>
      <c r="AA869" s="169"/>
      <c r="AB869" s="169"/>
      <c r="AC869" s="169"/>
      <c r="AD869" s="169"/>
      <c r="AE869" s="169"/>
      <c r="AF869" s="169"/>
      <c r="AG869" s="169"/>
      <c r="AH869" s="169"/>
      <c r="AI869" s="169"/>
      <c r="AJ869" s="169"/>
      <c r="AK869" s="169"/>
      <c r="AL869" s="169"/>
      <c r="AM869" s="169"/>
      <c r="AN869" s="169"/>
      <c r="AO869" s="169"/>
      <c r="AP869" s="169"/>
      <c r="AQ869" s="169"/>
      <c r="AR869" s="169"/>
      <c r="AS869" s="169"/>
      <c r="AT869" s="169"/>
      <c r="AU869" s="169"/>
      <c r="AV869" s="169"/>
      <c r="AW869" s="169"/>
      <c r="AX869" s="169"/>
      <c r="AY869" s="169"/>
      <c r="AZ869" s="169"/>
      <c r="BA869" s="169"/>
      <c r="BB869" s="169"/>
      <c r="BC869" s="169"/>
      <c r="BD869" s="169"/>
      <c r="BE869" s="169"/>
      <c r="BF869" s="169"/>
      <c r="BG869" s="169"/>
      <c r="BH869" s="169"/>
      <c r="BI869" s="169"/>
      <c r="BJ869" s="169"/>
    </row>
    <row r="870" spans="1:62" x14ac:dyDescent="0.25">
      <c r="F870" s="194"/>
      <c r="G870" s="194"/>
    </row>
    <row r="872" spans="1:62" x14ac:dyDescent="0.25">
      <c r="A872" s="199"/>
      <c r="B872" s="136"/>
      <c r="C872" s="199"/>
      <c r="D872" s="199"/>
      <c r="E872" s="199"/>
      <c r="F872" s="199"/>
      <c r="G872" s="199"/>
      <c r="H872" s="199"/>
      <c r="I872" s="136"/>
      <c r="J872" s="199"/>
      <c r="K872" s="199"/>
      <c r="L872" s="199"/>
      <c r="M872" s="199"/>
      <c r="N872" s="136"/>
      <c r="O872" s="199"/>
      <c r="P872" s="199"/>
      <c r="Q872" s="199"/>
      <c r="R872" s="199"/>
      <c r="S872" s="136"/>
      <c r="T872" s="199"/>
      <c r="U872" s="199"/>
      <c r="V872" s="199"/>
      <c r="W872" s="199"/>
      <c r="X872" s="136"/>
      <c r="Y872" s="199"/>
      <c r="Z872" s="199"/>
      <c r="AA872" s="199"/>
      <c r="AB872" s="199"/>
      <c r="AC872" s="136"/>
      <c r="AD872" s="199"/>
      <c r="AE872" s="199"/>
      <c r="AF872" s="199"/>
      <c r="AG872" s="199"/>
      <c r="AH872" s="136"/>
      <c r="AI872" s="199"/>
      <c r="AJ872" s="199"/>
      <c r="AK872" s="199"/>
      <c r="AL872" s="199"/>
      <c r="AM872" s="136"/>
      <c r="AN872" s="199"/>
      <c r="AO872" s="199"/>
      <c r="AP872" s="199"/>
      <c r="AQ872" s="199"/>
      <c r="AR872" s="136"/>
      <c r="AS872" s="199"/>
      <c r="AT872" s="199"/>
      <c r="AU872" s="199"/>
      <c r="AV872" s="199"/>
      <c r="AW872" s="136"/>
      <c r="AX872" s="199"/>
      <c r="AY872" s="199"/>
      <c r="AZ872" s="199"/>
      <c r="BA872" s="199"/>
      <c r="BB872" s="136"/>
      <c r="BC872" s="199"/>
      <c r="BD872" s="199"/>
      <c r="BE872" s="199"/>
      <c r="BF872" s="199"/>
      <c r="BG872" s="136"/>
      <c r="BH872" s="199"/>
      <c r="BI872" s="199"/>
      <c r="BJ872" s="199"/>
    </row>
    <row r="873" spans="1:62" x14ac:dyDescent="0.25">
      <c r="A873" s="199"/>
      <c r="B873" s="136"/>
      <c r="C873" s="199"/>
      <c r="D873" s="199"/>
      <c r="E873" s="199"/>
      <c r="F873" s="199"/>
      <c r="G873" s="199"/>
      <c r="H873" s="199"/>
      <c r="I873" s="136"/>
      <c r="J873" s="199"/>
      <c r="K873" s="199"/>
      <c r="L873" s="199"/>
      <c r="M873" s="199"/>
      <c r="N873" s="136"/>
      <c r="O873" s="199"/>
      <c r="P873" s="199"/>
      <c r="Q873" s="199"/>
      <c r="R873" s="199"/>
      <c r="S873" s="136"/>
      <c r="T873" s="199"/>
      <c r="U873" s="199"/>
      <c r="V873" s="199"/>
      <c r="W873" s="199"/>
      <c r="X873" s="136"/>
      <c r="Y873" s="199"/>
      <c r="Z873" s="199"/>
      <c r="AA873" s="199"/>
      <c r="AB873" s="199"/>
      <c r="AC873" s="136"/>
      <c r="AD873" s="199"/>
      <c r="AE873" s="199"/>
      <c r="AF873" s="199"/>
      <c r="AG873" s="199"/>
      <c r="AH873" s="136"/>
      <c r="AI873" s="199"/>
      <c r="AJ873" s="199"/>
      <c r="AK873" s="199"/>
      <c r="AL873" s="199"/>
      <c r="AM873" s="136"/>
      <c r="AN873" s="199"/>
      <c r="AO873" s="199"/>
      <c r="AP873" s="199"/>
      <c r="AQ873" s="199"/>
      <c r="AR873" s="136"/>
      <c r="AS873" s="199"/>
      <c r="AT873" s="199"/>
      <c r="AU873" s="199"/>
      <c r="AV873" s="199"/>
      <c r="AW873" s="136"/>
      <c r="AX873" s="199"/>
      <c r="AY873" s="199"/>
      <c r="AZ873" s="199"/>
      <c r="BA873" s="199"/>
      <c r="BB873" s="136"/>
      <c r="BC873" s="199"/>
      <c r="BD873" s="199"/>
      <c r="BE873" s="199"/>
      <c r="BF873" s="199"/>
      <c r="BG873" s="136"/>
      <c r="BH873" s="199"/>
      <c r="BI873" s="199"/>
      <c r="BJ873" s="199"/>
    </row>
    <row r="874" spans="1:62" x14ac:dyDescent="0.25">
      <c r="A874" s="199"/>
      <c r="B874" s="136"/>
      <c r="C874" s="199"/>
      <c r="D874" s="199"/>
      <c r="E874" s="199"/>
      <c r="F874" s="199"/>
      <c r="G874" s="199"/>
      <c r="H874" s="199"/>
      <c r="I874" s="136"/>
      <c r="J874" s="199"/>
      <c r="K874" s="199"/>
      <c r="L874" s="199"/>
      <c r="M874" s="199"/>
      <c r="N874" s="136"/>
      <c r="O874" s="199"/>
      <c r="P874" s="199"/>
      <c r="Q874" s="199"/>
      <c r="R874" s="199"/>
      <c r="S874" s="136"/>
      <c r="T874" s="199"/>
      <c r="U874" s="199"/>
      <c r="V874" s="199"/>
      <c r="W874" s="199"/>
      <c r="X874" s="136"/>
      <c r="Y874" s="199"/>
      <c r="Z874" s="199"/>
      <c r="AA874" s="199"/>
      <c r="AB874" s="199"/>
      <c r="AC874" s="136"/>
      <c r="AD874" s="199"/>
      <c r="AE874" s="199"/>
      <c r="AF874" s="199"/>
      <c r="AG874" s="199"/>
      <c r="AH874" s="136"/>
      <c r="AI874" s="199"/>
      <c r="AJ874" s="199"/>
      <c r="AK874" s="199"/>
      <c r="AL874" s="199"/>
      <c r="AM874" s="136"/>
      <c r="AN874" s="199"/>
      <c r="AO874" s="199"/>
      <c r="AP874" s="199"/>
      <c r="AQ874" s="199"/>
      <c r="AR874" s="136"/>
      <c r="AS874" s="199"/>
      <c r="AT874" s="199"/>
      <c r="AU874" s="199"/>
      <c r="AV874" s="199"/>
      <c r="AW874" s="136"/>
      <c r="AX874" s="199"/>
      <c r="AY874" s="199"/>
      <c r="AZ874" s="199"/>
      <c r="BA874" s="199"/>
      <c r="BB874" s="136"/>
      <c r="BC874" s="199"/>
      <c r="BD874" s="199"/>
      <c r="BE874" s="199"/>
      <c r="BF874" s="199"/>
      <c r="BG874" s="136"/>
      <c r="BH874" s="199"/>
      <c r="BI874" s="199"/>
      <c r="BJ874" s="199"/>
    </row>
    <row r="875" spans="1:62" x14ac:dyDescent="0.25">
      <c r="A875" s="199"/>
      <c r="B875" s="136"/>
      <c r="C875" s="199"/>
      <c r="D875" s="199"/>
      <c r="E875" s="199"/>
      <c r="F875" s="199"/>
      <c r="G875" s="199"/>
      <c r="H875" s="199"/>
      <c r="I875" s="136"/>
      <c r="J875" s="199"/>
      <c r="K875" s="199"/>
      <c r="L875" s="199"/>
      <c r="M875" s="199"/>
      <c r="N875" s="136"/>
      <c r="O875" s="199"/>
      <c r="P875" s="199"/>
      <c r="Q875" s="199"/>
      <c r="R875" s="199"/>
      <c r="S875" s="136"/>
      <c r="T875" s="199"/>
      <c r="U875" s="199"/>
      <c r="V875" s="199"/>
      <c r="W875" s="199"/>
      <c r="X875" s="136"/>
      <c r="Y875" s="199"/>
      <c r="Z875" s="199"/>
      <c r="AA875" s="199"/>
      <c r="AB875" s="199"/>
      <c r="AC875" s="136"/>
      <c r="AD875" s="199"/>
      <c r="AE875" s="199"/>
      <c r="AF875" s="199"/>
      <c r="AG875" s="199"/>
      <c r="AH875" s="136"/>
      <c r="AI875" s="199"/>
      <c r="AJ875" s="199"/>
      <c r="AK875" s="199"/>
      <c r="AL875" s="199"/>
      <c r="AM875" s="136"/>
      <c r="AN875" s="199"/>
      <c r="AO875" s="199"/>
      <c r="AP875" s="199"/>
      <c r="AQ875" s="199"/>
      <c r="AR875" s="136"/>
      <c r="AS875" s="199"/>
      <c r="AT875" s="199"/>
      <c r="AU875" s="199"/>
      <c r="AV875" s="199"/>
      <c r="AW875" s="136"/>
      <c r="AX875" s="199"/>
      <c r="AY875" s="199"/>
      <c r="AZ875" s="199"/>
      <c r="BA875" s="199"/>
      <c r="BB875" s="136"/>
      <c r="BC875" s="199"/>
      <c r="BD875" s="199"/>
      <c r="BE875" s="199"/>
      <c r="BF875" s="199"/>
      <c r="BG875" s="136"/>
      <c r="BH875" s="199"/>
      <c r="BI875" s="199"/>
      <c r="BJ875" s="199"/>
    </row>
    <row r="876" spans="1:62" x14ac:dyDescent="0.25">
      <c r="A876" s="199"/>
      <c r="B876" s="136"/>
      <c r="C876" s="199"/>
      <c r="D876" s="199"/>
      <c r="E876" s="199"/>
      <c r="F876" s="199"/>
      <c r="G876" s="199"/>
      <c r="H876" s="199"/>
      <c r="I876" s="136"/>
      <c r="J876" s="199"/>
      <c r="K876" s="199"/>
      <c r="L876" s="199"/>
      <c r="M876" s="199"/>
      <c r="N876" s="136"/>
      <c r="O876" s="199"/>
      <c r="P876" s="199"/>
      <c r="Q876" s="199"/>
      <c r="R876" s="199"/>
      <c r="S876" s="136"/>
      <c r="T876" s="199"/>
      <c r="U876" s="199"/>
      <c r="V876" s="199"/>
      <c r="W876" s="199"/>
      <c r="X876" s="136"/>
      <c r="Y876" s="199"/>
      <c r="Z876" s="199"/>
      <c r="AA876" s="199"/>
      <c r="AB876" s="199"/>
      <c r="AC876" s="136"/>
      <c r="AD876" s="199"/>
      <c r="AE876" s="199"/>
      <c r="AF876" s="199"/>
      <c r="AG876" s="199"/>
      <c r="AH876" s="136"/>
      <c r="AI876" s="199"/>
      <c r="AJ876" s="199"/>
      <c r="AK876" s="199"/>
      <c r="AL876" s="199"/>
      <c r="AM876" s="136"/>
      <c r="AN876" s="199"/>
      <c r="AO876" s="199"/>
      <c r="AP876" s="199"/>
      <c r="AQ876" s="199"/>
      <c r="AR876" s="136"/>
      <c r="AS876" s="199"/>
      <c r="AT876" s="199"/>
      <c r="AU876" s="199"/>
      <c r="AV876" s="199"/>
      <c r="AW876" s="136"/>
      <c r="AX876" s="199"/>
      <c r="AY876" s="199"/>
      <c r="AZ876" s="199"/>
      <c r="BA876" s="199"/>
      <c r="BB876" s="136"/>
      <c r="BC876" s="199"/>
      <c r="BD876" s="199"/>
      <c r="BE876" s="199"/>
      <c r="BF876" s="199"/>
      <c r="BG876" s="136"/>
      <c r="BH876" s="199"/>
      <c r="BI876" s="199"/>
      <c r="BJ876" s="199"/>
    </row>
    <row r="877" spans="1:62" x14ac:dyDescent="0.25">
      <c r="A877" s="199"/>
      <c r="B877" s="136"/>
      <c r="C877" s="199"/>
      <c r="D877" s="199"/>
      <c r="E877" s="199"/>
      <c r="F877" s="199"/>
      <c r="G877" s="199"/>
      <c r="H877" s="199"/>
      <c r="I877" s="136"/>
      <c r="J877" s="199"/>
      <c r="K877" s="199"/>
      <c r="L877" s="199"/>
      <c r="M877" s="199"/>
      <c r="N877" s="136"/>
      <c r="O877" s="199"/>
      <c r="P877" s="199"/>
      <c r="Q877" s="199"/>
      <c r="R877" s="199"/>
      <c r="S877" s="136"/>
      <c r="T877" s="199"/>
      <c r="U877" s="199"/>
      <c r="V877" s="199"/>
      <c r="W877" s="199"/>
      <c r="X877" s="136"/>
      <c r="Y877" s="199"/>
      <c r="Z877" s="199"/>
      <c r="AA877" s="199"/>
      <c r="AB877" s="199"/>
      <c r="AC877" s="136"/>
      <c r="AD877" s="199"/>
      <c r="AE877" s="199"/>
      <c r="AF877" s="199"/>
      <c r="AG877" s="199"/>
      <c r="AH877" s="136"/>
      <c r="AI877" s="199"/>
      <c r="AJ877" s="199"/>
      <c r="AK877" s="199"/>
      <c r="AL877" s="199"/>
      <c r="AM877" s="136"/>
      <c r="AN877" s="199"/>
      <c r="AO877" s="199"/>
      <c r="AP877" s="199"/>
      <c r="AQ877" s="199"/>
      <c r="AR877" s="136"/>
      <c r="AS877" s="199"/>
      <c r="AT877" s="199"/>
      <c r="AU877" s="199"/>
      <c r="AV877" s="199"/>
      <c r="AW877" s="136"/>
      <c r="AX877" s="199"/>
      <c r="AY877" s="199"/>
      <c r="AZ877" s="199"/>
      <c r="BA877" s="199"/>
      <c r="BB877" s="136"/>
      <c r="BC877" s="199"/>
      <c r="BD877" s="199"/>
      <c r="BE877" s="199"/>
      <c r="BF877" s="199"/>
      <c r="BG877" s="136"/>
      <c r="BH877" s="199"/>
      <c r="BI877" s="199"/>
      <c r="BJ877" s="199"/>
    </row>
    <row r="878" spans="1:62" x14ac:dyDescent="0.25">
      <c r="A878" s="199"/>
      <c r="B878" s="136"/>
      <c r="C878" s="199"/>
      <c r="D878" s="199"/>
      <c r="E878" s="199"/>
      <c r="F878" s="199"/>
      <c r="G878" s="199"/>
      <c r="H878" s="199"/>
      <c r="I878" s="136"/>
      <c r="J878" s="199"/>
      <c r="K878" s="199"/>
      <c r="L878" s="199"/>
      <c r="M878" s="199"/>
      <c r="N878" s="136"/>
      <c r="O878" s="199"/>
      <c r="P878" s="199"/>
      <c r="Q878" s="199"/>
      <c r="R878" s="199"/>
      <c r="S878" s="136"/>
      <c r="T878" s="199"/>
      <c r="U878" s="199"/>
      <c r="V878" s="199"/>
      <c r="W878" s="199"/>
      <c r="X878" s="136"/>
      <c r="Y878" s="199"/>
      <c r="Z878" s="199"/>
      <c r="AA878" s="199"/>
      <c r="AB878" s="199"/>
      <c r="AC878" s="136"/>
      <c r="AD878" s="199"/>
      <c r="AE878" s="199"/>
      <c r="AF878" s="199"/>
      <c r="AG878" s="199"/>
      <c r="AH878" s="136"/>
      <c r="AI878" s="199"/>
      <c r="AJ878" s="199"/>
      <c r="AK878" s="199"/>
      <c r="AL878" s="199"/>
      <c r="AM878" s="136"/>
      <c r="AN878" s="199"/>
      <c r="AO878" s="199"/>
      <c r="AP878" s="199"/>
      <c r="AQ878" s="199"/>
      <c r="AR878" s="136"/>
      <c r="AS878" s="199"/>
      <c r="AT878" s="199"/>
      <c r="AU878" s="199"/>
      <c r="AV878" s="199"/>
      <c r="AW878" s="136"/>
      <c r="AX878" s="199"/>
      <c r="AY878" s="199"/>
      <c r="AZ878" s="199"/>
      <c r="BA878" s="199"/>
      <c r="BB878" s="136"/>
      <c r="BC878" s="199"/>
      <c r="BD878" s="199"/>
      <c r="BE878" s="199"/>
      <c r="BF878" s="199"/>
      <c r="BG878" s="136"/>
      <c r="BH878" s="199"/>
      <c r="BI878" s="199"/>
      <c r="BJ878" s="199"/>
    </row>
    <row r="879" spans="1:62" x14ac:dyDescent="0.25">
      <c r="A879" s="199"/>
      <c r="B879" s="136"/>
      <c r="C879" s="199"/>
      <c r="D879" s="199"/>
      <c r="E879" s="199"/>
      <c r="F879" s="199"/>
      <c r="G879" s="199"/>
      <c r="H879" s="199"/>
      <c r="I879" s="136"/>
      <c r="J879" s="199"/>
      <c r="K879" s="199"/>
      <c r="L879" s="199"/>
      <c r="M879" s="199"/>
      <c r="N879" s="136"/>
      <c r="O879" s="199"/>
      <c r="P879" s="199"/>
      <c r="Q879" s="199"/>
      <c r="R879" s="199"/>
      <c r="S879" s="136"/>
      <c r="T879" s="199"/>
      <c r="U879" s="199"/>
      <c r="V879" s="199"/>
      <c r="W879" s="199"/>
      <c r="X879" s="136"/>
      <c r="Y879" s="199"/>
      <c r="Z879" s="199"/>
      <c r="AA879" s="199"/>
      <c r="AB879" s="199"/>
      <c r="AC879" s="136"/>
      <c r="AD879" s="199"/>
      <c r="AE879" s="199"/>
      <c r="AF879" s="199"/>
      <c r="AG879" s="199"/>
      <c r="AH879" s="136"/>
      <c r="AI879" s="199"/>
      <c r="AJ879" s="199"/>
      <c r="AK879" s="199"/>
      <c r="AL879" s="199"/>
      <c r="AM879" s="136"/>
      <c r="AN879" s="199"/>
      <c r="AO879" s="199"/>
      <c r="AP879" s="199"/>
      <c r="AQ879" s="199"/>
      <c r="AR879" s="136"/>
      <c r="AS879" s="199"/>
      <c r="AT879" s="199"/>
      <c r="AU879" s="199"/>
      <c r="AV879" s="199"/>
      <c r="AW879" s="136"/>
      <c r="AX879" s="199"/>
      <c r="AY879" s="199"/>
      <c r="AZ879" s="199"/>
      <c r="BA879" s="199"/>
      <c r="BB879" s="136"/>
      <c r="BC879" s="199"/>
      <c r="BD879" s="199"/>
      <c r="BE879" s="199"/>
      <c r="BF879" s="199"/>
      <c r="BG879" s="136"/>
      <c r="BH879" s="199"/>
      <c r="BI879" s="199"/>
      <c r="BJ879" s="199"/>
    </row>
    <row r="883" spans="1:62" ht="36" x14ac:dyDescent="0.25">
      <c r="A883" s="169"/>
      <c r="B883" s="107"/>
      <c r="C883" s="107"/>
      <c r="D883" s="107"/>
      <c r="E883" s="107"/>
      <c r="F883" s="107"/>
      <c r="G883" s="107"/>
      <c r="H883" s="107"/>
      <c r="I883" s="107"/>
      <c r="J883" s="107"/>
      <c r="K883" s="107"/>
      <c r="L883" s="107"/>
      <c r="M883" s="107"/>
      <c r="N883" s="107"/>
      <c r="O883" s="107"/>
      <c r="P883" s="107"/>
      <c r="Q883" s="107"/>
      <c r="R883" s="107"/>
      <c r="S883" s="107"/>
      <c r="T883" s="107"/>
      <c r="U883" s="107"/>
      <c r="V883" s="107"/>
      <c r="W883" s="107"/>
      <c r="X883" s="107"/>
      <c r="Y883" s="107"/>
      <c r="Z883" s="107"/>
      <c r="AA883" s="107"/>
      <c r="AB883" s="107"/>
      <c r="AC883" s="107"/>
      <c r="AD883" s="107"/>
      <c r="AE883" s="107"/>
      <c r="AF883" s="107"/>
      <c r="AG883" s="107"/>
      <c r="AH883" s="107"/>
      <c r="AI883" s="107"/>
      <c r="AJ883" s="107"/>
      <c r="AK883" s="107"/>
      <c r="AL883" s="107"/>
      <c r="AM883" s="107"/>
      <c r="AN883" s="107"/>
      <c r="AO883" s="107"/>
      <c r="AP883" s="107"/>
      <c r="AQ883" s="107"/>
      <c r="AR883" s="107"/>
      <c r="AS883" s="107"/>
      <c r="AT883" s="107"/>
      <c r="AU883" s="107"/>
      <c r="AV883" s="107"/>
      <c r="AW883" s="107"/>
      <c r="AX883" s="107"/>
      <c r="AY883" s="107"/>
      <c r="AZ883" s="107"/>
      <c r="BA883" s="107"/>
      <c r="BB883" s="107"/>
      <c r="BC883" s="107"/>
      <c r="BD883" s="107"/>
      <c r="BE883" s="107"/>
      <c r="BF883" s="107"/>
      <c r="BG883" s="107"/>
      <c r="BH883" s="107"/>
      <c r="BI883" s="107"/>
      <c r="BJ883" s="107"/>
    </row>
    <row r="884" spans="1:62" x14ac:dyDescent="0.25">
      <c r="A884" s="107"/>
      <c r="B884" s="107"/>
      <c r="C884" s="107"/>
      <c r="D884" s="107"/>
      <c r="E884" s="107"/>
      <c r="F884" s="107"/>
      <c r="G884" s="107"/>
      <c r="H884" s="107"/>
      <c r="I884" s="107"/>
      <c r="J884" s="107"/>
      <c r="K884" s="107"/>
      <c r="L884" s="107"/>
      <c r="M884" s="107"/>
      <c r="N884" s="107"/>
      <c r="O884" s="107"/>
      <c r="P884" s="107"/>
      <c r="Q884" s="107"/>
      <c r="R884" s="107"/>
      <c r="S884" s="107"/>
      <c r="T884" s="107"/>
      <c r="U884" s="107"/>
      <c r="V884" s="107"/>
      <c r="W884" s="107"/>
      <c r="X884" s="107"/>
      <c r="Y884" s="107"/>
      <c r="Z884" s="107"/>
      <c r="AA884" s="107"/>
      <c r="AB884" s="107"/>
      <c r="AC884" s="107"/>
      <c r="AD884" s="107"/>
      <c r="AE884" s="107"/>
      <c r="AF884" s="107"/>
      <c r="AG884" s="107"/>
      <c r="AH884" s="107"/>
      <c r="AI884" s="107"/>
      <c r="AJ884" s="107"/>
      <c r="AK884" s="107"/>
      <c r="AL884" s="107"/>
      <c r="AM884" s="107"/>
      <c r="AN884" s="107"/>
      <c r="AO884" s="107"/>
      <c r="AP884" s="107"/>
      <c r="AQ884" s="107"/>
      <c r="AR884" s="107"/>
      <c r="AS884" s="107"/>
      <c r="AT884" s="107"/>
      <c r="AU884" s="107"/>
      <c r="AV884" s="107"/>
      <c r="AW884" s="107"/>
      <c r="AX884" s="107"/>
      <c r="AY884" s="107"/>
      <c r="AZ884" s="107"/>
      <c r="BA884" s="107"/>
      <c r="BB884" s="107"/>
      <c r="BC884" s="107"/>
      <c r="BD884" s="107"/>
      <c r="BE884" s="107"/>
      <c r="BF884" s="107"/>
      <c r="BG884" s="107"/>
      <c r="BH884" s="107"/>
      <c r="BI884" s="107"/>
      <c r="BJ884" s="107"/>
    </row>
    <row r="885" spans="1:62" x14ac:dyDescent="0.25">
      <c r="A885" s="107"/>
      <c r="B885" s="107"/>
      <c r="C885" s="107"/>
      <c r="D885" s="107"/>
      <c r="E885" s="107"/>
      <c r="F885" s="107"/>
      <c r="G885" s="107"/>
      <c r="H885" s="107"/>
      <c r="I885" s="107"/>
      <c r="J885" s="107"/>
      <c r="K885" s="107"/>
      <c r="L885" s="107"/>
      <c r="M885" s="107"/>
      <c r="N885" s="107"/>
      <c r="O885" s="107"/>
      <c r="P885" s="107"/>
      <c r="Q885" s="107"/>
      <c r="R885" s="107"/>
      <c r="S885" s="107"/>
      <c r="T885" s="107"/>
      <c r="U885" s="107"/>
      <c r="V885" s="107"/>
      <c r="W885" s="107"/>
      <c r="X885" s="107"/>
      <c r="Y885" s="107"/>
      <c r="Z885" s="107"/>
      <c r="AA885" s="107"/>
      <c r="AB885" s="107"/>
      <c r="AC885" s="107"/>
      <c r="AD885" s="107"/>
      <c r="AE885" s="107"/>
      <c r="AF885" s="107"/>
      <c r="AG885" s="107"/>
      <c r="AH885" s="107"/>
      <c r="AI885" s="107"/>
      <c r="AJ885" s="107"/>
      <c r="AK885" s="107"/>
      <c r="AL885" s="107"/>
      <c r="AM885" s="107"/>
      <c r="AN885" s="107"/>
      <c r="AO885" s="107"/>
      <c r="AP885" s="107"/>
      <c r="AQ885" s="107"/>
      <c r="AR885" s="107"/>
      <c r="AS885" s="107"/>
      <c r="AT885" s="107"/>
      <c r="AU885" s="107"/>
      <c r="AV885" s="107"/>
      <c r="AW885" s="107"/>
      <c r="AX885" s="107"/>
      <c r="AY885" s="107"/>
      <c r="AZ885" s="107"/>
      <c r="BA885" s="107"/>
      <c r="BB885" s="107"/>
      <c r="BC885" s="107"/>
      <c r="BD885" s="107"/>
      <c r="BE885" s="107"/>
      <c r="BF885" s="107"/>
      <c r="BG885" s="107"/>
      <c r="BH885" s="107"/>
      <c r="BI885" s="107"/>
      <c r="BJ885" s="107"/>
    </row>
    <row r="886" spans="1:62" ht="36" x14ac:dyDescent="0.25">
      <c r="A886" s="169"/>
      <c r="B886" s="169"/>
      <c r="C886" s="169"/>
      <c r="D886" s="169"/>
      <c r="E886" s="169"/>
      <c r="F886" s="169"/>
      <c r="G886" s="169"/>
      <c r="H886" s="169"/>
      <c r="I886" s="169"/>
      <c r="J886" s="169"/>
      <c r="K886" s="169"/>
      <c r="L886" s="169"/>
      <c r="M886" s="169"/>
      <c r="N886" s="169"/>
      <c r="O886" s="169"/>
      <c r="P886" s="169"/>
      <c r="Q886" s="169"/>
      <c r="R886" s="169"/>
      <c r="S886" s="169"/>
      <c r="T886" s="169"/>
      <c r="U886" s="169"/>
      <c r="V886" s="169"/>
      <c r="W886" s="169"/>
      <c r="X886" s="169"/>
      <c r="Y886" s="169"/>
      <c r="Z886" s="169"/>
      <c r="AA886" s="169"/>
      <c r="AB886" s="169"/>
      <c r="AC886" s="169"/>
      <c r="AD886" s="169"/>
      <c r="AE886" s="169"/>
      <c r="AF886" s="169"/>
      <c r="AG886" s="169"/>
      <c r="AH886" s="169"/>
      <c r="AI886" s="169"/>
      <c r="AJ886" s="169"/>
      <c r="AK886" s="169"/>
      <c r="AL886" s="169"/>
      <c r="AM886" s="169"/>
      <c r="AN886" s="169"/>
      <c r="AO886" s="169"/>
      <c r="AP886" s="169"/>
      <c r="AQ886" s="169"/>
      <c r="AR886" s="169"/>
      <c r="AS886" s="169"/>
      <c r="AT886" s="169"/>
      <c r="AU886" s="169"/>
      <c r="AV886" s="169"/>
      <c r="AW886" s="169"/>
      <c r="AX886" s="169"/>
      <c r="AY886" s="169"/>
      <c r="AZ886" s="169"/>
      <c r="BA886" s="169"/>
      <c r="BB886" s="169"/>
      <c r="BC886" s="169"/>
      <c r="BD886" s="169"/>
      <c r="BE886" s="169"/>
      <c r="BF886" s="169"/>
      <c r="BG886" s="169"/>
      <c r="BH886" s="169"/>
      <c r="BI886" s="169"/>
      <c r="BJ886" s="169"/>
    </row>
    <row r="887" spans="1:62" ht="36" x14ac:dyDescent="0.25">
      <c r="A887" s="169"/>
      <c r="B887" s="169"/>
      <c r="C887" s="169"/>
      <c r="D887" s="169"/>
      <c r="E887" s="169"/>
      <c r="F887" s="169"/>
      <c r="G887" s="169"/>
      <c r="H887" s="169"/>
      <c r="I887" s="169"/>
      <c r="J887" s="169"/>
      <c r="K887" s="169"/>
      <c r="L887" s="169"/>
      <c r="M887" s="169"/>
      <c r="N887" s="169"/>
      <c r="O887" s="169"/>
      <c r="P887" s="169"/>
      <c r="Q887" s="169"/>
      <c r="R887" s="169"/>
      <c r="S887" s="169"/>
      <c r="T887" s="169"/>
      <c r="U887" s="169"/>
      <c r="V887" s="169"/>
      <c r="W887" s="169"/>
      <c r="X887" s="169"/>
      <c r="Y887" s="169"/>
      <c r="Z887" s="169"/>
      <c r="AA887" s="169"/>
      <c r="AB887" s="169"/>
      <c r="AC887" s="169"/>
      <c r="AD887" s="169"/>
      <c r="AE887" s="169"/>
      <c r="AF887" s="169"/>
      <c r="AG887" s="169"/>
      <c r="AH887" s="169"/>
      <c r="AI887" s="169"/>
      <c r="AJ887" s="169"/>
      <c r="AK887" s="169"/>
      <c r="AL887" s="169"/>
      <c r="AM887" s="169"/>
      <c r="AN887" s="169"/>
      <c r="AO887" s="169"/>
      <c r="AP887" s="169"/>
      <c r="AQ887" s="169"/>
      <c r="AR887" s="169"/>
      <c r="AS887" s="169"/>
      <c r="AT887" s="169"/>
      <c r="AU887" s="169"/>
      <c r="AV887" s="169"/>
      <c r="AW887" s="169"/>
      <c r="AX887" s="169"/>
      <c r="AY887" s="169"/>
      <c r="AZ887" s="169"/>
      <c r="BA887" s="169"/>
      <c r="BB887" s="169"/>
      <c r="BC887" s="169"/>
      <c r="BD887" s="169"/>
      <c r="BE887" s="169"/>
      <c r="BF887" s="169"/>
      <c r="BG887" s="169"/>
      <c r="BH887" s="169"/>
      <c r="BI887" s="169"/>
      <c r="BJ887" s="169"/>
    </row>
    <row r="888" spans="1:62" ht="36" x14ac:dyDescent="0.25">
      <c r="A888" s="169"/>
      <c r="B888" s="169"/>
      <c r="C888" s="169"/>
      <c r="D888" s="169"/>
      <c r="E888" s="169"/>
      <c r="F888" s="169"/>
      <c r="G888" s="169"/>
      <c r="H888" s="169"/>
      <c r="I888" s="169"/>
      <c r="J888" s="169"/>
      <c r="K888" s="169"/>
      <c r="L888" s="169"/>
      <c r="M888" s="169"/>
      <c r="N888" s="169"/>
      <c r="O888" s="169"/>
      <c r="P888" s="169"/>
      <c r="Q888" s="169"/>
      <c r="R888" s="169"/>
      <c r="S888" s="169"/>
      <c r="T888" s="169"/>
      <c r="U888" s="169"/>
      <c r="V888" s="169"/>
      <c r="W888" s="169"/>
      <c r="X888" s="169"/>
      <c r="Y888" s="169"/>
      <c r="Z888" s="169"/>
      <c r="AA888" s="169"/>
      <c r="AB888" s="169"/>
      <c r="AC888" s="169"/>
      <c r="AD888" s="169"/>
      <c r="AE888" s="169"/>
      <c r="AF888" s="169"/>
      <c r="AG888" s="169"/>
      <c r="AH888" s="169"/>
      <c r="AI888" s="169"/>
      <c r="AJ888" s="169"/>
      <c r="AK888" s="169"/>
      <c r="AL888" s="169"/>
      <c r="AM888" s="169"/>
      <c r="AN888" s="169"/>
      <c r="AO888" s="169"/>
      <c r="AP888" s="169"/>
      <c r="AQ888" s="169"/>
      <c r="AR888" s="169"/>
      <c r="AS888" s="169"/>
      <c r="AT888" s="169"/>
      <c r="AU888" s="169"/>
      <c r="AV888" s="169"/>
      <c r="AW888" s="169"/>
      <c r="AX888" s="169"/>
      <c r="AY888" s="169"/>
      <c r="AZ888" s="169"/>
      <c r="BA888" s="169"/>
      <c r="BB888" s="169"/>
      <c r="BC888" s="169"/>
      <c r="BD888" s="169"/>
      <c r="BE888" s="169"/>
      <c r="BF888" s="169"/>
      <c r="BG888" s="169"/>
      <c r="BH888" s="169"/>
      <c r="BI888" s="169"/>
      <c r="BJ888" s="169"/>
    </row>
    <row r="889" spans="1:62" x14ac:dyDescent="0.25">
      <c r="F889" s="194"/>
      <c r="G889" s="194"/>
    </row>
    <row r="891" spans="1:62" x14ac:dyDescent="0.25">
      <c r="A891" s="199"/>
      <c r="B891" s="136"/>
      <c r="C891" s="199"/>
      <c r="D891" s="199"/>
      <c r="E891" s="199"/>
      <c r="F891" s="199"/>
      <c r="G891" s="199"/>
      <c r="H891" s="199"/>
      <c r="I891" s="136"/>
      <c r="J891" s="199"/>
      <c r="K891" s="199"/>
      <c r="L891" s="199"/>
      <c r="M891" s="199"/>
      <c r="N891" s="136"/>
      <c r="O891" s="199"/>
      <c r="P891" s="199"/>
      <c r="Q891" s="199"/>
      <c r="R891" s="199"/>
      <c r="S891" s="136"/>
      <c r="T891" s="199"/>
      <c r="U891" s="199"/>
      <c r="V891" s="199"/>
      <c r="W891" s="199"/>
      <c r="X891" s="136"/>
      <c r="Y891" s="199"/>
      <c r="Z891" s="199"/>
      <c r="AA891" s="199"/>
      <c r="AB891" s="199"/>
      <c r="AC891" s="136"/>
      <c r="AD891" s="199"/>
      <c r="AE891" s="199"/>
      <c r="AF891" s="199"/>
      <c r="AG891" s="199"/>
      <c r="AH891" s="136"/>
      <c r="AI891" s="199"/>
      <c r="AJ891" s="199"/>
      <c r="AK891" s="199"/>
      <c r="AL891" s="199"/>
      <c r="AM891" s="136"/>
      <c r="AN891" s="199"/>
      <c r="AO891" s="199"/>
      <c r="AP891" s="199"/>
      <c r="AQ891" s="199"/>
      <c r="AR891" s="136"/>
      <c r="AS891" s="199"/>
      <c r="AT891" s="199"/>
      <c r="AU891" s="199"/>
      <c r="AV891" s="199"/>
      <c r="AW891" s="136"/>
      <c r="AX891" s="199"/>
      <c r="AY891" s="199"/>
      <c r="AZ891" s="199"/>
      <c r="BA891" s="199"/>
      <c r="BB891" s="136"/>
      <c r="BC891" s="199"/>
      <c r="BD891" s="199"/>
      <c r="BE891" s="199"/>
      <c r="BF891" s="199"/>
      <c r="BG891" s="136"/>
      <c r="BH891" s="199"/>
      <c r="BI891" s="199"/>
      <c r="BJ891" s="199"/>
    </row>
    <row r="892" spans="1:62" x14ac:dyDescent="0.25">
      <c r="A892" s="199"/>
      <c r="B892" s="136"/>
      <c r="C892" s="199"/>
      <c r="D892" s="199"/>
      <c r="E892" s="199"/>
      <c r="F892" s="199"/>
      <c r="G892" s="199"/>
      <c r="H892" s="199"/>
      <c r="I892" s="136"/>
      <c r="J892" s="199"/>
      <c r="K892" s="199"/>
      <c r="L892" s="199"/>
      <c r="M892" s="199"/>
      <c r="N892" s="136"/>
      <c r="O892" s="199"/>
      <c r="P892" s="199"/>
      <c r="Q892" s="199"/>
      <c r="R892" s="199"/>
      <c r="S892" s="136"/>
      <c r="T892" s="199"/>
      <c r="U892" s="199"/>
      <c r="V892" s="199"/>
      <c r="W892" s="199"/>
      <c r="X892" s="136"/>
      <c r="Y892" s="199"/>
      <c r="Z892" s="199"/>
      <c r="AA892" s="199"/>
      <c r="AB892" s="199"/>
      <c r="AC892" s="136"/>
      <c r="AD892" s="199"/>
      <c r="AE892" s="199"/>
      <c r="AF892" s="199"/>
      <c r="AG892" s="199"/>
      <c r="AH892" s="136"/>
      <c r="AI892" s="199"/>
      <c r="AJ892" s="199"/>
      <c r="AK892" s="199"/>
      <c r="AL892" s="199"/>
      <c r="AM892" s="136"/>
      <c r="AN892" s="199"/>
      <c r="AO892" s="199"/>
      <c r="AP892" s="199"/>
      <c r="AQ892" s="199"/>
      <c r="AR892" s="136"/>
      <c r="AS892" s="199"/>
      <c r="AT892" s="199"/>
      <c r="AU892" s="199"/>
      <c r="AV892" s="199"/>
      <c r="AW892" s="136"/>
      <c r="AX892" s="199"/>
      <c r="AY892" s="199"/>
      <c r="AZ892" s="199"/>
      <c r="BA892" s="199"/>
      <c r="BB892" s="136"/>
      <c r="BC892" s="199"/>
      <c r="BD892" s="199"/>
      <c r="BE892" s="199"/>
      <c r="BF892" s="199"/>
      <c r="BG892" s="136"/>
      <c r="BH892" s="199"/>
      <c r="BI892" s="199"/>
      <c r="BJ892" s="199"/>
    </row>
    <row r="893" spans="1:62" x14ac:dyDescent="0.25">
      <c r="A893" s="199"/>
      <c r="B893" s="136"/>
      <c r="C893" s="199"/>
      <c r="D893" s="199"/>
      <c r="E893" s="199"/>
      <c r="F893" s="199"/>
      <c r="G893" s="199"/>
      <c r="H893" s="199"/>
      <c r="I893" s="136"/>
      <c r="J893" s="199"/>
      <c r="K893" s="199"/>
      <c r="L893" s="199"/>
      <c r="M893" s="199"/>
      <c r="N893" s="136"/>
      <c r="O893" s="199"/>
      <c r="P893" s="199"/>
      <c r="Q893" s="199"/>
      <c r="R893" s="199"/>
      <c r="S893" s="136"/>
      <c r="T893" s="199"/>
      <c r="U893" s="199"/>
      <c r="V893" s="199"/>
      <c r="W893" s="199"/>
      <c r="X893" s="136"/>
      <c r="Y893" s="199"/>
      <c r="Z893" s="199"/>
      <c r="AA893" s="199"/>
      <c r="AB893" s="199"/>
      <c r="AC893" s="136"/>
      <c r="AD893" s="199"/>
      <c r="AE893" s="199"/>
      <c r="AF893" s="199"/>
      <c r="AG893" s="199"/>
      <c r="AH893" s="136"/>
      <c r="AI893" s="199"/>
      <c r="AJ893" s="199"/>
      <c r="AK893" s="199"/>
      <c r="AL893" s="199"/>
      <c r="AM893" s="136"/>
      <c r="AN893" s="199"/>
      <c r="AO893" s="199"/>
      <c r="AP893" s="199"/>
      <c r="AQ893" s="199"/>
      <c r="AR893" s="136"/>
      <c r="AS893" s="199"/>
      <c r="AT893" s="199"/>
      <c r="AU893" s="199"/>
      <c r="AV893" s="199"/>
      <c r="AW893" s="136"/>
      <c r="AX893" s="199"/>
      <c r="AY893" s="199"/>
      <c r="AZ893" s="199"/>
      <c r="BA893" s="199"/>
      <c r="BB893" s="136"/>
      <c r="BC893" s="199"/>
      <c r="BD893" s="199"/>
      <c r="BE893" s="199"/>
      <c r="BF893" s="199"/>
      <c r="BG893" s="136"/>
      <c r="BH893" s="199"/>
      <c r="BI893" s="199"/>
      <c r="BJ893" s="199"/>
    </row>
    <row r="894" spans="1:62" x14ac:dyDescent="0.25">
      <c r="A894" s="199"/>
      <c r="B894" s="136"/>
      <c r="C894" s="199"/>
      <c r="D894" s="199"/>
      <c r="E894" s="199"/>
      <c r="F894" s="199"/>
      <c r="G894" s="199"/>
      <c r="H894" s="199"/>
      <c r="I894" s="136"/>
      <c r="J894" s="199"/>
      <c r="K894" s="199"/>
      <c r="L894" s="199"/>
      <c r="M894" s="199"/>
      <c r="N894" s="136"/>
      <c r="O894" s="199"/>
      <c r="P894" s="199"/>
      <c r="Q894" s="199"/>
      <c r="R894" s="199"/>
      <c r="S894" s="136"/>
      <c r="T894" s="199"/>
      <c r="U894" s="199"/>
      <c r="V894" s="199"/>
      <c r="W894" s="199"/>
      <c r="X894" s="136"/>
      <c r="Y894" s="199"/>
      <c r="Z894" s="199"/>
      <c r="AA894" s="199"/>
      <c r="AB894" s="199"/>
      <c r="AC894" s="136"/>
      <c r="AD894" s="199"/>
      <c r="AE894" s="199"/>
      <c r="AF894" s="199"/>
      <c r="AG894" s="199"/>
      <c r="AH894" s="136"/>
      <c r="AI894" s="199"/>
      <c r="AJ894" s="199"/>
      <c r="AK894" s="199"/>
      <c r="AL894" s="199"/>
      <c r="AM894" s="136"/>
      <c r="AN894" s="199"/>
      <c r="AO894" s="199"/>
      <c r="AP894" s="199"/>
      <c r="AQ894" s="199"/>
      <c r="AR894" s="136"/>
      <c r="AS894" s="199"/>
      <c r="AT894" s="199"/>
      <c r="AU894" s="199"/>
      <c r="AV894" s="199"/>
      <c r="AW894" s="136"/>
      <c r="AX894" s="199"/>
      <c r="AY894" s="199"/>
      <c r="AZ894" s="199"/>
      <c r="BA894" s="199"/>
      <c r="BB894" s="136"/>
      <c r="BC894" s="199"/>
      <c r="BD894" s="199"/>
      <c r="BE894" s="199"/>
      <c r="BF894" s="199"/>
      <c r="BG894" s="136"/>
      <c r="BH894" s="199"/>
      <c r="BI894" s="199"/>
      <c r="BJ894" s="199"/>
    </row>
    <row r="895" spans="1:62" x14ac:dyDescent="0.25">
      <c r="A895" s="199"/>
      <c r="B895" s="136"/>
      <c r="C895" s="199"/>
      <c r="D895" s="199"/>
      <c r="E895" s="199"/>
      <c r="F895" s="199"/>
      <c r="G895" s="199"/>
      <c r="H895" s="199"/>
      <c r="I895" s="136"/>
      <c r="J895" s="199"/>
      <c r="K895" s="199"/>
      <c r="L895" s="199"/>
      <c r="M895" s="199"/>
      <c r="N895" s="136"/>
      <c r="O895" s="199"/>
      <c r="P895" s="199"/>
      <c r="Q895" s="199"/>
      <c r="R895" s="199"/>
      <c r="S895" s="136"/>
      <c r="T895" s="199"/>
      <c r="U895" s="199"/>
      <c r="V895" s="199"/>
      <c r="W895" s="199"/>
      <c r="X895" s="136"/>
      <c r="Y895" s="199"/>
      <c r="Z895" s="199"/>
      <c r="AA895" s="199"/>
      <c r="AB895" s="199"/>
      <c r="AC895" s="136"/>
      <c r="AD895" s="199"/>
      <c r="AE895" s="199"/>
      <c r="AF895" s="199"/>
      <c r="AG895" s="199"/>
      <c r="AH895" s="136"/>
      <c r="AI895" s="199"/>
      <c r="AJ895" s="199"/>
      <c r="AK895" s="199"/>
      <c r="AL895" s="199"/>
      <c r="AM895" s="136"/>
      <c r="AN895" s="199"/>
      <c r="AO895" s="199"/>
      <c r="AP895" s="199"/>
      <c r="AQ895" s="199"/>
      <c r="AR895" s="136"/>
      <c r="AS895" s="199"/>
      <c r="AT895" s="199"/>
      <c r="AU895" s="199"/>
      <c r="AV895" s="199"/>
      <c r="AW895" s="136"/>
      <c r="AX895" s="199"/>
      <c r="AY895" s="199"/>
      <c r="AZ895" s="199"/>
      <c r="BA895" s="199"/>
      <c r="BB895" s="136"/>
      <c r="BC895" s="199"/>
      <c r="BD895" s="199"/>
      <c r="BE895" s="199"/>
      <c r="BF895" s="199"/>
      <c r="BG895" s="136"/>
      <c r="BH895" s="199"/>
      <c r="BI895" s="199"/>
      <c r="BJ895" s="199"/>
    </row>
    <row r="896" spans="1:62" x14ac:dyDescent="0.25">
      <c r="A896" s="199"/>
      <c r="B896" s="136"/>
      <c r="C896" s="199"/>
      <c r="D896" s="199"/>
      <c r="E896" s="199"/>
      <c r="F896" s="199"/>
      <c r="G896" s="199"/>
      <c r="H896" s="199"/>
      <c r="I896" s="136"/>
      <c r="J896" s="199"/>
      <c r="K896" s="199"/>
      <c r="L896" s="199"/>
      <c r="M896" s="199"/>
      <c r="N896" s="136"/>
      <c r="O896" s="199"/>
      <c r="P896" s="199"/>
      <c r="Q896" s="199"/>
      <c r="R896" s="199"/>
      <c r="S896" s="136"/>
      <c r="T896" s="199"/>
      <c r="U896" s="199"/>
      <c r="V896" s="199"/>
      <c r="W896" s="199"/>
      <c r="X896" s="136"/>
      <c r="Y896" s="199"/>
      <c r="Z896" s="199"/>
      <c r="AA896" s="199"/>
      <c r="AB896" s="199"/>
      <c r="AC896" s="136"/>
      <c r="AD896" s="199"/>
      <c r="AE896" s="199"/>
      <c r="AF896" s="199"/>
      <c r="AG896" s="199"/>
      <c r="AH896" s="136"/>
      <c r="AI896" s="199"/>
      <c r="AJ896" s="199"/>
      <c r="AK896" s="199"/>
      <c r="AL896" s="199"/>
      <c r="AM896" s="136"/>
      <c r="AN896" s="199"/>
      <c r="AO896" s="199"/>
      <c r="AP896" s="199"/>
      <c r="AQ896" s="199"/>
      <c r="AR896" s="136"/>
      <c r="AS896" s="199"/>
      <c r="AT896" s="199"/>
      <c r="AU896" s="199"/>
      <c r="AV896" s="199"/>
      <c r="AW896" s="136"/>
      <c r="AX896" s="199"/>
      <c r="AY896" s="199"/>
      <c r="AZ896" s="199"/>
      <c r="BA896" s="199"/>
      <c r="BB896" s="136"/>
      <c r="BC896" s="199"/>
      <c r="BD896" s="199"/>
      <c r="BE896" s="199"/>
      <c r="BF896" s="199"/>
      <c r="BG896" s="136"/>
      <c r="BH896" s="199"/>
      <c r="BI896" s="199"/>
      <c r="BJ896" s="199"/>
    </row>
    <row r="897" spans="1:62" x14ac:dyDescent="0.25">
      <c r="A897" s="199"/>
      <c r="B897" s="136"/>
      <c r="C897" s="199"/>
      <c r="D897" s="199"/>
      <c r="E897" s="199"/>
      <c r="F897" s="199"/>
      <c r="G897" s="199"/>
      <c r="H897" s="199"/>
      <c r="I897" s="136"/>
      <c r="J897" s="199"/>
      <c r="K897" s="199"/>
      <c r="L897" s="199"/>
      <c r="M897" s="199"/>
      <c r="N897" s="136"/>
      <c r="O897" s="199"/>
      <c r="P897" s="199"/>
      <c r="Q897" s="199"/>
      <c r="R897" s="199"/>
      <c r="S897" s="136"/>
      <c r="T897" s="199"/>
      <c r="U897" s="199"/>
      <c r="V897" s="199"/>
      <c r="W897" s="199"/>
      <c r="X897" s="136"/>
      <c r="Y897" s="199"/>
      <c r="Z897" s="199"/>
      <c r="AA897" s="199"/>
      <c r="AB897" s="199"/>
      <c r="AC897" s="136"/>
      <c r="AD897" s="199"/>
      <c r="AE897" s="199"/>
      <c r="AF897" s="199"/>
      <c r="AG897" s="199"/>
      <c r="AH897" s="136"/>
      <c r="AI897" s="199"/>
      <c r="AJ897" s="199"/>
      <c r="AK897" s="199"/>
      <c r="AL897" s="199"/>
      <c r="AM897" s="136"/>
      <c r="AN897" s="199"/>
      <c r="AO897" s="199"/>
      <c r="AP897" s="199"/>
      <c r="AQ897" s="199"/>
      <c r="AR897" s="136"/>
      <c r="AS897" s="199"/>
      <c r="AT897" s="199"/>
      <c r="AU897" s="199"/>
      <c r="AV897" s="199"/>
      <c r="AW897" s="136"/>
      <c r="AX897" s="199"/>
      <c r="AY897" s="199"/>
      <c r="AZ897" s="199"/>
      <c r="BA897" s="199"/>
      <c r="BB897" s="136"/>
      <c r="BC897" s="199"/>
      <c r="BD897" s="199"/>
      <c r="BE897" s="199"/>
      <c r="BF897" s="199"/>
      <c r="BG897" s="136"/>
      <c r="BH897" s="199"/>
      <c r="BI897" s="199"/>
      <c r="BJ897" s="199"/>
    </row>
    <row r="898" spans="1:62" x14ac:dyDescent="0.25">
      <c r="A898" s="199"/>
      <c r="B898" s="136"/>
      <c r="C898" s="199"/>
      <c r="D898" s="199"/>
      <c r="E898" s="199"/>
      <c r="F898" s="199"/>
      <c r="G898" s="199"/>
      <c r="H898" s="199"/>
      <c r="I898" s="136"/>
      <c r="J898" s="199"/>
      <c r="K898" s="199"/>
      <c r="L898" s="199"/>
      <c r="M898" s="199"/>
      <c r="N898" s="136"/>
      <c r="O898" s="199"/>
      <c r="P898" s="199"/>
      <c r="Q898" s="199"/>
      <c r="R898" s="199"/>
      <c r="S898" s="136"/>
      <c r="T898" s="199"/>
      <c r="U898" s="199"/>
      <c r="V898" s="199"/>
      <c r="W898" s="199"/>
      <c r="X898" s="136"/>
      <c r="Y898" s="199"/>
      <c r="Z898" s="199"/>
      <c r="AA898" s="199"/>
      <c r="AB898" s="199"/>
      <c r="AC898" s="136"/>
      <c r="AD898" s="199"/>
      <c r="AE898" s="199"/>
      <c r="AF898" s="199"/>
      <c r="AG898" s="199"/>
      <c r="AH898" s="136"/>
      <c r="AI898" s="199"/>
      <c r="AJ898" s="199"/>
      <c r="AK898" s="199"/>
      <c r="AL898" s="199"/>
      <c r="AM898" s="136"/>
      <c r="AN898" s="199"/>
      <c r="AO898" s="199"/>
      <c r="AP898" s="199"/>
      <c r="AQ898" s="199"/>
      <c r="AR898" s="136"/>
      <c r="AS898" s="199"/>
      <c r="AT898" s="199"/>
      <c r="AU898" s="199"/>
      <c r="AV898" s="199"/>
      <c r="AW898" s="136"/>
      <c r="AX898" s="199"/>
      <c r="AY898" s="199"/>
      <c r="AZ898" s="199"/>
      <c r="BA898" s="199"/>
      <c r="BB898" s="136"/>
      <c r="BC898" s="199"/>
      <c r="BD898" s="199"/>
      <c r="BE898" s="199"/>
      <c r="BF898" s="199"/>
      <c r="BG898" s="136"/>
      <c r="BH898" s="199"/>
      <c r="BI898" s="199"/>
      <c r="BJ898" s="199"/>
    </row>
    <row r="902" spans="1:62" ht="36" x14ac:dyDescent="0.25">
      <c r="A902" s="169"/>
      <c r="B902" s="107"/>
      <c r="C902" s="107"/>
      <c r="D902" s="107"/>
      <c r="E902" s="107"/>
      <c r="F902" s="107"/>
      <c r="G902" s="107"/>
      <c r="H902" s="107"/>
      <c r="I902" s="107"/>
      <c r="J902" s="107"/>
      <c r="K902" s="107"/>
      <c r="L902" s="107"/>
      <c r="M902" s="107"/>
      <c r="N902" s="107"/>
      <c r="O902" s="107"/>
      <c r="P902" s="107"/>
      <c r="Q902" s="107"/>
      <c r="R902" s="107"/>
      <c r="S902" s="107"/>
      <c r="T902" s="107"/>
      <c r="U902" s="107"/>
      <c r="V902" s="107"/>
      <c r="W902" s="107"/>
      <c r="X902" s="107"/>
      <c r="Y902" s="107"/>
      <c r="Z902" s="107"/>
      <c r="AA902" s="107"/>
      <c r="AB902" s="107"/>
      <c r="AC902" s="107"/>
      <c r="AD902" s="107"/>
      <c r="AE902" s="107"/>
      <c r="AF902" s="107"/>
      <c r="AG902" s="107"/>
      <c r="AH902" s="107"/>
      <c r="AI902" s="107"/>
      <c r="AJ902" s="107"/>
      <c r="AK902" s="107"/>
      <c r="AL902" s="107"/>
      <c r="AM902" s="107"/>
      <c r="AN902" s="107"/>
      <c r="AO902" s="107"/>
      <c r="AP902" s="107"/>
      <c r="AQ902" s="107"/>
      <c r="AR902" s="107"/>
      <c r="AS902" s="107"/>
      <c r="AT902" s="107"/>
      <c r="AU902" s="107"/>
      <c r="AV902" s="107"/>
      <c r="AW902" s="107"/>
      <c r="AX902" s="107"/>
      <c r="AY902" s="107"/>
      <c r="AZ902" s="107"/>
      <c r="BA902" s="107"/>
      <c r="BB902" s="107"/>
      <c r="BC902" s="107"/>
      <c r="BD902" s="107"/>
      <c r="BE902" s="107"/>
      <c r="BF902" s="107"/>
      <c r="BG902" s="107"/>
      <c r="BH902" s="107"/>
      <c r="BI902" s="107"/>
      <c r="BJ902" s="107"/>
    </row>
    <row r="903" spans="1:62" x14ac:dyDescent="0.25">
      <c r="A903" s="107"/>
      <c r="B903" s="107"/>
      <c r="C903" s="107"/>
      <c r="D903" s="107"/>
      <c r="E903" s="107"/>
      <c r="F903" s="107"/>
      <c r="G903" s="107"/>
      <c r="H903" s="107"/>
      <c r="I903" s="107"/>
      <c r="J903" s="107"/>
      <c r="K903" s="107"/>
      <c r="L903" s="107"/>
      <c r="M903" s="107"/>
      <c r="N903" s="107"/>
      <c r="O903" s="107"/>
      <c r="P903" s="107"/>
      <c r="Q903" s="107"/>
      <c r="R903" s="107"/>
      <c r="S903" s="107"/>
      <c r="T903" s="107"/>
      <c r="U903" s="107"/>
      <c r="V903" s="107"/>
      <c r="W903" s="107"/>
      <c r="X903" s="107"/>
      <c r="Y903" s="107"/>
      <c r="Z903" s="107"/>
      <c r="AA903" s="107"/>
      <c r="AB903" s="107"/>
      <c r="AC903" s="107"/>
      <c r="AD903" s="107"/>
      <c r="AE903" s="107"/>
      <c r="AF903" s="107"/>
      <c r="AG903" s="107"/>
      <c r="AH903" s="107"/>
      <c r="AI903" s="107"/>
      <c r="AJ903" s="107"/>
      <c r="AK903" s="107"/>
      <c r="AL903" s="107"/>
      <c r="AM903" s="107"/>
      <c r="AN903" s="107"/>
      <c r="AO903" s="107"/>
      <c r="AP903" s="107"/>
      <c r="AQ903" s="107"/>
      <c r="AR903" s="107"/>
      <c r="AS903" s="107"/>
      <c r="AT903" s="107"/>
      <c r="AU903" s="107"/>
      <c r="AV903" s="107"/>
      <c r="AW903" s="107"/>
      <c r="AX903" s="107"/>
      <c r="AY903" s="107"/>
      <c r="AZ903" s="107"/>
      <c r="BA903" s="107"/>
      <c r="BB903" s="107"/>
      <c r="BC903" s="107"/>
      <c r="BD903" s="107"/>
      <c r="BE903" s="107"/>
      <c r="BF903" s="107"/>
      <c r="BG903" s="107"/>
      <c r="BH903" s="107"/>
      <c r="BI903" s="107"/>
      <c r="BJ903" s="107"/>
    </row>
    <row r="904" spans="1:62" x14ac:dyDescent="0.25">
      <c r="A904" s="107"/>
      <c r="B904" s="107"/>
      <c r="C904" s="107"/>
      <c r="D904" s="107"/>
      <c r="E904" s="107"/>
      <c r="F904" s="107"/>
      <c r="G904" s="107"/>
      <c r="H904" s="107"/>
      <c r="I904" s="107"/>
      <c r="J904" s="107"/>
      <c r="K904" s="107"/>
      <c r="L904" s="107"/>
      <c r="M904" s="107"/>
      <c r="N904" s="107"/>
      <c r="O904" s="107"/>
      <c r="P904" s="107"/>
      <c r="Q904" s="107"/>
      <c r="R904" s="107"/>
      <c r="S904" s="107"/>
      <c r="T904" s="107"/>
      <c r="U904" s="107"/>
      <c r="V904" s="107"/>
      <c r="W904" s="107"/>
      <c r="X904" s="107"/>
      <c r="Y904" s="107"/>
      <c r="Z904" s="107"/>
      <c r="AA904" s="107"/>
      <c r="AB904" s="107"/>
      <c r="AC904" s="107"/>
      <c r="AD904" s="107"/>
      <c r="AE904" s="107"/>
      <c r="AF904" s="107"/>
      <c r="AG904" s="107"/>
      <c r="AH904" s="107"/>
      <c r="AI904" s="107"/>
      <c r="AJ904" s="107"/>
      <c r="AK904" s="107"/>
      <c r="AL904" s="107"/>
      <c r="AM904" s="107"/>
      <c r="AN904" s="107"/>
      <c r="AO904" s="107"/>
      <c r="AP904" s="107"/>
      <c r="AQ904" s="107"/>
      <c r="AR904" s="107"/>
      <c r="AS904" s="107"/>
      <c r="AT904" s="107"/>
      <c r="AU904" s="107"/>
      <c r="AV904" s="107"/>
      <c r="AW904" s="107"/>
      <c r="AX904" s="107"/>
      <c r="AY904" s="107"/>
      <c r="AZ904" s="107"/>
      <c r="BA904" s="107"/>
      <c r="BB904" s="107"/>
      <c r="BC904" s="107"/>
      <c r="BD904" s="107"/>
      <c r="BE904" s="107"/>
      <c r="BF904" s="107"/>
      <c r="BG904" s="107"/>
      <c r="BH904" s="107"/>
      <c r="BI904" s="107"/>
      <c r="BJ904" s="107"/>
    </row>
    <row r="905" spans="1:62" ht="36" x14ac:dyDescent="0.25">
      <c r="A905" s="169"/>
      <c r="B905" s="169"/>
      <c r="C905" s="169"/>
      <c r="D905" s="169"/>
      <c r="E905" s="169"/>
      <c r="F905" s="169"/>
      <c r="G905" s="169"/>
      <c r="H905" s="169"/>
      <c r="I905" s="169"/>
      <c r="J905" s="169"/>
      <c r="K905" s="169"/>
      <c r="L905" s="169"/>
      <c r="M905" s="169"/>
      <c r="N905" s="169"/>
      <c r="O905" s="169"/>
      <c r="P905" s="169"/>
      <c r="Q905" s="169"/>
      <c r="R905" s="169"/>
      <c r="S905" s="169"/>
      <c r="T905" s="169"/>
      <c r="U905" s="169"/>
      <c r="V905" s="169"/>
      <c r="W905" s="169"/>
      <c r="X905" s="169"/>
      <c r="Y905" s="169"/>
      <c r="Z905" s="169"/>
      <c r="AA905" s="169"/>
      <c r="AB905" s="169"/>
      <c r="AC905" s="169"/>
      <c r="AD905" s="169"/>
      <c r="AE905" s="169"/>
      <c r="AF905" s="169"/>
      <c r="AG905" s="169"/>
      <c r="AH905" s="169"/>
      <c r="AI905" s="169"/>
      <c r="AJ905" s="169"/>
      <c r="AK905" s="169"/>
      <c r="AL905" s="169"/>
      <c r="AM905" s="169"/>
      <c r="AN905" s="169"/>
      <c r="AO905" s="169"/>
      <c r="AP905" s="169"/>
      <c r="AQ905" s="169"/>
      <c r="AR905" s="169"/>
      <c r="AS905" s="169"/>
      <c r="AT905" s="169"/>
      <c r="AU905" s="169"/>
      <c r="AV905" s="169"/>
      <c r="AW905" s="169"/>
      <c r="AX905" s="169"/>
      <c r="AY905" s="169"/>
      <c r="AZ905" s="169"/>
      <c r="BA905" s="169"/>
      <c r="BB905" s="169"/>
      <c r="BC905" s="169"/>
      <c r="BD905" s="169"/>
      <c r="BE905" s="169"/>
      <c r="BF905" s="169"/>
      <c r="BG905" s="169"/>
      <c r="BH905" s="169"/>
      <c r="BI905" s="169"/>
      <c r="BJ905" s="169"/>
    </row>
    <row r="906" spans="1:62" ht="36" x14ac:dyDescent="0.25">
      <c r="A906" s="169"/>
      <c r="B906" s="169"/>
      <c r="C906" s="169"/>
      <c r="D906" s="169"/>
      <c r="E906" s="169"/>
      <c r="F906" s="169"/>
      <c r="G906" s="169"/>
      <c r="H906" s="169"/>
      <c r="I906" s="169"/>
      <c r="J906" s="169"/>
      <c r="K906" s="169"/>
      <c r="L906" s="169"/>
      <c r="M906" s="169"/>
      <c r="N906" s="169"/>
      <c r="O906" s="169"/>
      <c r="P906" s="169"/>
      <c r="Q906" s="169"/>
      <c r="R906" s="169"/>
      <c r="S906" s="169"/>
      <c r="T906" s="169"/>
      <c r="U906" s="169"/>
      <c r="V906" s="169"/>
      <c r="W906" s="169"/>
      <c r="X906" s="169"/>
      <c r="Y906" s="169"/>
      <c r="Z906" s="169"/>
      <c r="AA906" s="169"/>
      <c r="AB906" s="169"/>
      <c r="AC906" s="169"/>
      <c r="AD906" s="169"/>
      <c r="AE906" s="169"/>
      <c r="AF906" s="169"/>
      <c r="AG906" s="169"/>
      <c r="AH906" s="169"/>
      <c r="AI906" s="169"/>
      <c r="AJ906" s="169"/>
      <c r="AK906" s="169"/>
      <c r="AL906" s="169"/>
      <c r="AM906" s="169"/>
      <c r="AN906" s="169"/>
      <c r="AO906" s="169"/>
      <c r="AP906" s="169"/>
      <c r="AQ906" s="169"/>
      <c r="AR906" s="169"/>
      <c r="AS906" s="169"/>
      <c r="AT906" s="169"/>
      <c r="AU906" s="169"/>
      <c r="AV906" s="169"/>
      <c r="AW906" s="169"/>
      <c r="AX906" s="169"/>
      <c r="AY906" s="169"/>
      <c r="AZ906" s="169"/>
      <c r="BA906" s="169"/>
      <c r="BB906" s="169"/>
      <c r="BC906" s="169"/>
      <c r="BD906" s="169"/>
      <c r="BE906" s="169"/>
      <c r="BF906" s="169"/>
      <c r="BG906" s="169"/>
      <c r="BH906" s="169"/>
      <c r="BI906" s="169"/>
      <c r="BJ906" s="169"/>
    </row>
    <row r="907" spans="1:62" ht="36" x14ac:dyDescent="0.25">
      <c r="A907" s="169"/>
      <c r="B907" s="169"/>
      <c r="C907" s="169"/>
      <c r="D907" s="169"/>
      <c r="E907" s="169"/>
      <c r="F907" s="169"/>
      <c r="G907" s="169"/>
      <c r="H907" s="169"/>
      <c r="I907" s="169"/>
      <c r="J907" s="169"/>
      <c r="K907" s="169"/>
      <c r="L907" s="169"/>
      <c r="M907" s="169"/>
      <c r="N907" s="169"/>
      <c r="O907" s="169"/>
      <c r="P907" s="169"/>
      <c r="Q907" s="169"/>
      <c r="R907" s="169"/>
      <c r="S907" s="169"/>
      <c r="T907" s="169"/>
      <c r="U907" s="169"/>
      <c r="V907" s="169"/>
      <c r="W907" s="169"/>
      <c r="X907" s="169"/>
      <c r="Y907" s="169"/>
      <c r="Z907" s="169"/>
      <c r="AA907" s="169"/>
      <c r="AB907" s="169"/>
      <c r="AC907" s="169"/>
      <c r="AD907" s="169"/>
      <c r="AE907" s="169"/>
      <c r="AF907" s="169"/>
      <c r="AG907" s="169"/>
      <c r="AH907" s="169"/>
      <c r="AI907" s="169"/>
      <c r="AJ907" s="169"/>
      <c r="AK907" s="169"/>
      <c r="AL907" s="169"/>
      <c r="AM907" s="169"/>
      <c r="AN907" s="169"/>
      <c r="AO907" s="169"/>
      <c r="AP907" s="169"/>
      <c r="AQ907" s="169"/>
      <c r="AR907" s="169"/>
      <c r="AS907" s="169"/>
      <c r="AT907" s="169"/>
      <c r="AU907" s="169"/>
      <c r="AV907" s="169"/>
      <c r="AW907" s="169"/>
      <c r="AX907" s="169"/>
      <c r="AY907" s="169"/>
      <c r="AZ907" s="169"/>
      <c r="BA907" s="169"/>
      <c r="BB907" s="169"/>
      <c r="BC907" s="169"/>
      <c r="BD907" s="169"/>
      <c r="BE907" s="169"/>
      <c r="BF907" s="169"/>
      <c r="BG907" s="169"/>
      <c r="BH907" s="169"/>
      <c r="BI907" s="169"/>
      <c r="BJ907" s="169"/>
    </row>
    <row r="908" spans="1:62" x14ac:dyDescent="0.25">
      <c r="F908" s="194"/>
      <c r="G908" s="194"/>
    </row>
    <row r="910" spans="1:62" x14ac:dyDescent="0.25">
      <c r="A910" s="199"/>
      <c r="B910" s="136"/>
      <c r="C910" s="199"/>
      <c r="D910" s="199"/>
      <c r="E910" s="199"/>
      <c r="F910" s="199"/>
      <c r="G910" s="199"/>
      <c r="H910" s="199"/>
      <c r="I910" s="136"/>
      <c r="J910" s="199"/>
      <c r="K910" s="199"/>
      <c r="L910" s="199"/>
      <c r="M910" s="199"/>
      <c r="N910" s="136"/>
      <c r="O910" s="199"/>
      <c r="P910" s="199"/>
      <c r="Q910" s="199"/>
      <c r="R910" s="199"/>
      <c r="S910" s="136"/>
      <c r="T910" s="199"/>
      <c r="U910" s="199"/>
      <c r="V910" s="199"/>
      <c r="W910" s="199"/>
      <c r="X910" s="136"/>
      <c r="Y910" s="199"/>
      <c r="Z910" s="199"/>
      <c r="AA910" s="199"/>
      <c r="AB910" s="199"/>
      <c r="AC910" s="136"/>
      <c r="AD910" s="199"/>
      <c r="AE910" s="199"/>
      <c r="AF910" s="199"/>
      <c r="AG910" s="199"/>
      <c r="AH910" s="136"/>
      <c r="AI910" s="199"/>
      <c r="AJ910" s="199"/>
      <c r="AK910" s="199"/>
      <c r="AL910" s="199"/>
      <c r="AM910" s="136"/>
      <c r="AN910" s="199"/>
      <c r="AO910" s="199"/>
      <c r="AP910" s="199"/>
      <c r="AQ910" s="199"/>
      <c r="AR910" s="136"/>
      <c r="AS910" s="199"/>
      <c r="AT910" s="199"/>
      <c r="AU910" s="199"/>
      <c r="AV910" s="199"/>
      <c r="AW910" s="136"/>
      <c r="AX910" s="199"/>
      <c r="AY910" s="199"/>
      <c r="AZ910" s="199"/>
      <c r="BA910" s="199"/>
      <c r="BB910" s="136"/>
      <c r="BC910" s="199"/>
      <c r="BD910" s="199"/>
      <c r="BE910" s="199"/>
      <c r="BF910" s="199"/>
      <c r="BG910" s="136"/>
      <c r="BH910" s="199"/>
      <c r="BI910" s="199"/>
      <c r="BJ910" s="199"/>
    </row>
    <row r="911" spans="1:62" x14ac:dyDescent="0.25">
      <c r="A911" s="199"/>
      <c r="B911" s="136"/>
      <c r="C911" s="199"/>
      <c r="D911" s="199"/>
      <c r="E911" s="199"/>
      <c r="F911" s="199"/>
      <c r="G911" s="199"/>
      <c r="H911" s="199"/>
      <c r="I911" s="136"/>
      <c r="J911" s="199"/>
      <c r="K911" s="199"/>
      <c r="L911" s="199"/>
      <c r="M911" s="199"/>
      <c r="N911" s="136"/>
      <c r="O911" s="199"/>
      <c r="P911" s="199"/>
      <c r="Q911" s="199"/>
      <c r="R911" s="199"/>
      <c r="S911" s="136"/>
      <c r="T911" s="199"/>
      <c r="U911" s="199"/>
      <c r="V911" s="199"/>
      <c r="W911" s="199"/>
      <c r="X911" s="136"/>
      <c r="Y911" s="199"/>
      <c r="Z911" s="199"/>
      <c r="AA911" s="199"/>
      <c r="AB911" s="199"/>
      <c r="AC911" s="136"/>
      <c r="AD911" s="199"/>
      <c r="AE911" s="199"/>
      <c r="AF911" s="199"/>
      <c r="AG911" s="199"/>
      <c r="AH911" s="136"/>
      <c r="AI911" s="199"/>
      <c r="AJ911" s="199"/>
      <c r="AK911" s="199"/>
      <c r="AL911" s="199"/>
      <c r="AM911" s="136"/>
      <c r="AN911" s="199"/>
      <c r="AO911" s="199"/>
      <c r="AP911" s="199"/>
      <c r="AQ911" s="199"/>
      <c r="AR911" s="136"/>
      <c r="AS911" s="199"/>
      <c r="AT911" s="199"/>
      <c r="AU911" s="199"/>
      <c r="AV911" s="199"/>
      <c r="AW911" s="136"/>
      <c r="AX911" s="199"/>
      <c r="AY911" s="199"/>
      <c r="AZ911" s="199"/>
      <c r="BA911" s="199"/>
      <c r="BB911" s="136"/>
      <c r="BC911" s="199"/>
      <c r="BD911" s="199"/>
      <c r="BE911" s="199"/>
      <c r="BF911" s="199"/>
      <c r="BG911" s="136"/>
      <c r="BH911" s="199"/>
      <c r="BI911" s="199"/>
      <c r="BJ911" s="199"/>
    </row>
    <row r="912" spans="1:62" x14ac:dyDescent="0.25">
      <c r="A912" s="199"/>
      <c r="B912" s="136"/>
      <c r="C912" s="199"/>
      <c r="D912" s="199"/>
      <c r="E912" s="199"/>
      <c r="F912" s="199"/>
      <c r="G912" s="199"/>
      <c r="H912" s="199"/>
      <c r="I912" s="136"/>
      <c r="J912" s="199"/>
      <c r="K912" s="199"/>
      <c r="L912" s="199"/>
      <c r="M912" s="199"/>
      <c r="N912" s="136"/>
      <c r="O912" s="199"/>
      <c r="P912" s="199"/>
      <c r="Q912" s="199"/>
      <c r="R912" s="199"/>
      <c r="S912" s="136"/>
      <c r="T912" s="199"/>
      <c r="U912" s="199"/>
      <c r="V912" s="199"/>
      <c r="W912" s="199"/>
      <c r="X912" s="136"/>
      <c r="Y912" s="199"/>
      <c r="Z912" s="199"/>
      <c r="AA912" s="199"/>
      <c r="AB912" s="199"/>
      <c r="AC912" s="136"/>
      <c r="AD912" s="199"/>
      <c r="AE912" s="199"/>
      <c r="AF912" s="199"/>
      <c r="AG912" s="199"/>
      <c r="AH912" s="136"/>
      <c r="AI912" s="199"/>
      <c r="AJ912" s="199"/>
      <c r="AK912" s="199"/>
      <c r="AL912" s="199"/>
      <c r="AM912" s="136"/>
      <c r="AN912" s="199"/>
      <c r="AO912" s="199"/>
      <c r="AP912" s="199"/>
      <c r="AQ912" s="199"/>
      <c r="AR912" s="136"/>
      <c r="AS912" s="199"/>
      <c r="AT912" s="199"/>
      <c r="AU912" s="199"/>
      <c r="AV912" s="199"/>
      <c r="AW912" s="136"/>
      <c r="AX912" s="199"/>
      <c r="AY912" s="199"/>
      <c r="AZ912" s="199"/>
      <c r="BA912" s="199"/>
      <c r="BB912" s="136"/>
      <c r="BC912" s="199"/>
      <c r="BD912" s="199"/>
      <c r="BE912" s="199"/>
      <c r="BF912" s="199"/>
      <c r="BG912" s="136"/>
      <c r="BH912" s="199"/>
      <c r="BI912" s="199"/>
      <c r="BJ912" s="199"/>
    </row>
    <row r="913" spans="1:62" x14ac:dyDescent="0.25">
      <c r="A913" s="199"/>
      <c r="B913" s="136"/>
      <c r="C913" s="199"/>
      <c r="D913" s="199"/>
      <c r="E913" s="199"/>
      <c r="F913" s="199"/>
      <c r="G913" s="199"/>
      <c r="H913" s="199"/>
      <c r="I913" s="136"/>
      <c r="J913" s="199"/>
      <c r="K913" s="199"/>
      <c r="L913" s="199"/>
      <c r="M913" s="199"/>
      <c r="N913" s="136"/>
      <c r="O913" s="199"/>
      <c r="P913" s="199"/>
      <c r="Q913" s="199"/>
      <c r="R913" s="199"/>
      <c r="S913" s="136"/>
      <c r="T913" s="199"/>
      <c r="U913" s="199"/>
      <c r="V913" s="199"/>
      <c r="W913" s="199"/>
      <c r="X913" s="136"/>
      <c r="Y913" s="199"/>
      <c r="Z913" s="199"/>
      <c r="AA913" s="199"/>
      <c r="AB913" s="199"/>
      <c r="AC913" s="136"/>
      <c r="AD913" s="199"/>
      <c r="AE913" s="199"/>
      <c r="AF913" s="199"/>
      <c r="AG913" s="199"/>
      <c r="AH913" s="136"/>
      <c r="AI913" s="199"/>
      <c r="AJ913" s="199"/>
      <c r="AK913" s="199"/>
      <c r="AL913" s="199"/>
      <c r="AM913" s="136"/>
      <c r="AN913" s="199"/>
      <c r="AO913" s="199"/>
      <c r="AP913" s="199"/>
      <c r="AQ913" s="199"/>
      <c r="AR913" s="136"/>
      <c r="AS913" s="199"/>
      <c r="AT913" s="199"/>
      <c r="AU913" s="199"/>
      <c r="AV913" s="199"/>
      <c r="AW913" s="136"/>
      <c r="AX913" s="199"/>
      <c r="AY913" s="199"/>
      <c r="AZ913" s="199"/>
      <c r="BA913" s="199"/>
      <c r="BB913" s="136"/>
      <c r="BC913" s="199"/>
      <c r="BD913" s="199"/>
      <c r="BE913" s="199"/>
      <c r="BF913" s="199"/>
      <c r="BG913" s="136"/>
      <c r="BH913" s="199"/>
      <c r="BI913" s="199"/>
      <c r="BJ913" s="199"/>
    </row>
    <row r="914" spans="1:62" x14ac:dyDescent="0.25">
      <c r="A914" s="199"/>
      <c r="B914" s="136"/>
      <c r="C914" s="199"/>
      <c r="D914" s="199"/>
      <c r="E914" s="199"/>
      <c r="F914" s="199"/>
      <c r="G914" s="199"/>
      <c r="H914" s="199"/>
      <c r="I914" s="136"/>
      <c r="J914" s="199"/>
      <c r="K914" s="199"/>
      <c r="L914" s="199"/>
      <c r="M914" s="199"/>
      <c r="N914" s="136"/>
      <c r="O914" s="199"/>
      <c r="P914" s="199"/>
      <c r="Q914" s="199"/>
      <c r="R914" s="199"/>
      <c r="S914" s="136"/>
      <c r="T914" s="199"/>
      <c r="U914" s="199"/>
      <c r="V914" s="199"/>
      <c r="W914" s="199"/>
      <c r="X914" s="136"/>
      <c r="Y914" s="199"/>
      <c r="Z914" s="199"/>
      <c r="AA914" s="199"/>
      <c r="AB914" s="199"/>
      <c r="AC914" s="136"/>
      <c r="AD914" s="199"/>
      <c r="AE914" s="199"/>
      <c r="AF914" s="199"/>
      <c r="AG914" s="199"/>
      <c r="AH914" s="136"/>
      <c r="AI914" s="199"/>
      <c r="AJ914" s="199"/>
      <c r="AK914" s="199"/>
      <c r="AL914" s="199"/>
      <c r="AM914" s="136"/>
      <c r="AN914" s="199"/>
      <c r="AO914" s="199"/>
      <c r="AP914" s="199"/>
      <c r="AQ914" s="199"/>
      <c r="AR914" s="136"/>
      <c r="AS914" s="199"/>
      <c r="AT914" s="199"/>
      <c r="AU914" s="199"/>
      <c r="AV914" s="199"/>
      <c r="AW914" s="136"/>
      <c r="AX914" s="199"/>
      <c r="AY914" s="199"/>
      <c r="AZ914" s="199"/>
      <c r="BA914" s="199"/>
      <c r="BB914" s="136"/>
      <c r="BC914" s="199"/>
      <c r="BD914" s="199"/>
      <c r="BE914" s="199"/>
      <c r="BF914" s="199"/>
      <c r="BG914" s="136"/>
      <c r="BH914" s="199"/>
      <c r="BI914" s="199"/>
      <c r="BJ914" s="199"/>
    </row>
    <row r="915" spans="1:62" x14ac:dyDescent="0.25">
      <c r="A915" s="199"/>
      <c r="B915" s="136"/>
      <c r="C915" s="199"/>
      <c r="D915" s="199"/>
      <c r="E915" s="199"/>
      <c r="F915" s="199"/>
      <c r="G915" s="199"/>
      <c r="H915" s="199"/>
      <c r="I915" s="136"/>
      <c r="J915" s="199"/>
      <c r="K915" s="199"/>
      <c r="L915" s="199"/>
      <c r="M915" s="199"/>
      <c r="N915" s="136"/>
      <c r="O915" s="199"/>
      <c r="P915" s="199"/>
      <c r="Q915" s="199"/>
      <c r="R915" s="199"/>
      <c r="S915" s="136"/>
      <c r="T915" s="199"/>
      <c r="U915" s="199"/>
      <c r="V915" s="199"/>
      <c r="W915" s="199"/>
      <c r="X915" s="136"/>
      <c r="Y915" s="199"/>
      <c r="Z915" s="199"/>
      <c r="AA915" s="199"/>
      <c r="AB915" s="199"/>
      <c r="AC915" s="136"/>
      <c r="AD915" s="199"/>
      <c r="AE915" s="199"/>
      <c r="AF915" s="199"/>
      <c r="AG915" s="199"/>
      <c r="AH915" s="136"/>
      <c r="AI915" s="199"/>
      <c r="AJ915" s="199"/>
      <c r="AK915" s="199"/>
      <c r="AL915" s="199"/>
      <c r="AM915" s="136"/>
      <c r="AN915" s="199"/>
      <c r="AO915" s="199"/>
      <c r="AP915" s="199"/>
      <c r="AQ915" s="199"/>
      <c r="AR915" s="136"/>
      <c r="AS915" s="199"/>
      <c r="AT915" s="199"/>
      <c r="AU915" s="199"/>
      <c r="AV915" s="199"/>
      <c r="AW915" s="136"/>
      <c r="AX915" s="199"/>
      <c r="AY915" s="199"/>
      <c r="AZ915" s="199"/>
      <c r="BA915" s="199"/>
      <c r="BB915" s="136"/>
      <c r="BC915" s="199"/>
      <c r="BD915" s="199"/>
      <c r="BE915" s="199"/>
      <c r="BF915" s="199"/>
      <c r="BG915" s="136"/>
      <c r="BH915" s="199"/>
      <c r="BI915" s="199"/>
      <c r="BJ915" s="199"/>
    </row>
    <row r="916" spans="1:62" x14ac:dyDescent="0.25">
      <c r="A916" s="199"/>
      <c r="B916" s="136"/>
      <c r="C916" s="199"/>
      <c r="D916" s="199"/>
      <c r="E916" s="199"/>
      <c r="F916" s="199"/>
      <c r="G916" s="199"/>
      <c r="H916" s="199"/>
      <c r="I916" s="136"/>
      <c r="J916" s="199"/>
      <c r="K916" s="199"/>
      <c r="L916" s="199"/>
      <c r="M916" s="199"/>
      <c r="N916" s="136"/>
      <c r="O916" s="199"/>
      <c r="P916" s="199"/>
      <c r="Q916" s="199"/>
      <c r="R916" s="199"/>
      <c r="S916" s="136"/>
      <c r="T916" s="199"/>
      <c r="U916" s="199"/>
      <c r="V916" s="199"/>
      <c r="W916" s="199"/>
      <c r="X916" s="136"/>
      <c r="Y916" s="199"/>
      <c r="Z916" s="199"/>
      <c r="AA916" s="199"/>
      <c r="AB916" s="199"/>
      <c r="AC916" s="136"/>
      <c r="AD916" s="199"/>
      <c r="AE916" s="199"/>
      <c r="AF916" s="199"/>
      <c r="AG916" s="199"/>
      <c r="AH916" s="136"/>
      <c r="AI916" s="199"/>
      <c r="AJ916" s="199"/>
      <c r="AK916" s="199"/>
      <c r="AL916" s="199"/>
      <c r="AM916" s="136"/>
      <c r="AN916" s="199"/>
      <c r="AO916" s="199"/>
      <c r="AP916" s="199"/>
      <c r="AQ916" s="199"/>
      <c r="AR916" s="136"/>
      <c r="AS916" s="199"/>
      <c r="AT916" s="199"/>
      <c r="AU916" s="199"/>
      <c r="AV916" s="199"/>
      <c r="AW916" s="136"/>
      <c r="AX916" s="199"/>
      <c r="AY916" s="199"/>
      <c r="AZ916" s="199"/>
      <c r="BA916" s="199"/>
      <c r="BB916" s="136"/>
      <c r="BC916" s="199"/>
      <c r="BD916" s="199"/>
      <c r="BE916" s="199"/>
      <c r="BF916" s="199"/>
      <c r="BG916" s="136"/>
      <c r="BH916" s="199"/>
      <c r="BI916" s="199"/>
      <c r="BJ916" s="199"/>
    </row>
    <row r="917" spans="1:62" x14ac:dyDescent="0.25">
      <c r="A917" s="199"/>
      <c r="B917" s="136"/>
      <c r="C917" s="199"/>
      <c r="D917" s="199"/>
      <c r="E917" s="199"/>
      <c r="F917" s="199"/>
      <c r="G917" s="199"/>
      <c r="H917" s="199"/>
      <c r="I917" s="136"/>
      <c r="J917" s="199"/>
      <c r="K917" s="199"/>
      <c r="L917" s="199"/>
      <c r="M917" s="199"/>
      <c r="N917" s="136"/>
      <c r="O917" s="199"/>
      <c r="P917" s="199"/>
      <c r="Q917" s="199"/>
      <c r="R917" s="199"/>
      <c r="S917" s="136"/>
      <c r="T917" s="199"/>
      <c r="U917" s="199"/>
      <c r="V917" s="199"/>
      <c r="W917" s="199"/>
      <c r="X917" s="136"/>
      <c r="Y917" s="199"/>
      <c r="Z917" s="199"/>
      <c r="AA917" s="199"/>
      <c r="AB917" s="199"/>
      <c r="AC917" s="136"/>
      <c r="AD917" s="199"/>
      <c r="AE917" s="199"/>
      <c r="AF917" s="199"/>
      <c r="AG917" s="199"/>
      <c r="AH917" s="136"/>
      <c r="AI917" s="199"/>
      <c r="AJ917" s="199"/>
      <c r="AK917" s="199"/>
      <c r="AL917" s="199"/>
      <c r="AM917" s="136"/>
      <c r="AN917" s="199"/>
      <c r="AO917" s="199"/>
      <c r="AP917" s="199"/>
      <c r="AQ917" s="199"/>
      <c r="AR917" s="136"/>
      <c r="AS917" s="199"/>
      <c r="AT917" s="199"/>
      <c r="AU917" s="199"/>
      <c r="AV917" s="199"/>
      <c r="AW917" s="136"/>
      <c r="AX917" s="199"/>
      <c r="AY917" s="199"/>
      <c r="AZ917" s="199"/>
      <c r="BA917" s="199"/>
      <c r="BB917" s="136"/>
      <c r="BC917" s="199"/>
      <c r="BD917" s="199"/>
      <c r="BE917" s="199"/>
      <c r="BF917" s="199"/>
      <c r="BG917" s="136"/>
      <c r="BH917" s="199"/>
      <c r="BI917" s="199"/>
      <c r="BJ917" s="199"/>
    </row>
    <row r="921" spans="1:62" ht="36" x14ac:dyDescent="0.25">
      <c r="A921" s="169"/>
      <c r="B921" s="107"/>
      <c r="C921" s="107"/>
      <c r="D921" s="107"/>
      <c r="E921" s="107"/>
      <c r="F921" s="107"/>
      <c r="G921" s="107"/>
      <c r="H921" s="107"/>
      <c r="I921" s="107"/>
      <c r="J921" s="107"/>
      <c r="K921" s="107"/>
      <c r="L921" s="107"/>
      <c r="M921" s="107"/>
      <c r="N921" s="107"/>
      <c r="O921" s="107"/>
      <c r="P921" s="107"/>
      <c r="Q921" s="107"/>
      <c r="R921" s="107"/>
      <c r="S921" s="107"/>
      <c r="T921" s="107"/>
      <c r="U921" s="107"/>
      <c r="V921" s="107"/>
      <c r="W921" s="107"/>
      <c r="X921" s="107"/>
      <c r="Y921" s="107"/>
      <c r="Z921" s="107"/>
      <c r="AA921" s="107"/>
      <c r="AB921" s="107"/>
      <c r="AC921" s="107"/>
      <c r="AD921" s="107"/>
      <c r="AE921" s="107"/>
      <c r="AF921" s="107"/>
      <c r="AG921" s="107"/>
      <c r="AH921" s="107"/>
      <c r="AI921" s="107"/>
      <c r="AJ921" s="107"/>
      <c r="AK921" s="107"/>
      <c r="AL921" s="107"/>
      <c r="AM921" s="107"/>
      <c r="AN921" s="107"/>
      <c r="AO921" s="107"/>
      <c r="AP921" s="107"/>
      <c r="AQ921" s="107"/>
      <c r="AR921" s="107"/>
      <c r="AS921" s="107"/>
      <c r="AT921" s="107"/>
      <c r="AU921" s="107"/>
      <c r="AV921" s="107"/>
      <c r="AW921" s="107"/>
      <c r="AX921" s="107"/>
      <c r="AY921" s="107"/>
      <c r="AZ921" s="107"/>
      <c r="BA921" s="107"/>
      <c r="BB921" s="107"/>
      <c r="BC921" s="107"/>
      <c r="BD921" s="107"/>
      <c r="BE921" s="107"/>
      <c r="BF921" s="107"/>
      <c r="BG921" s="107"/>
      <c r="BH921" s="107"/>
      <c r="BI921" s="107"/>
      <c r="BJ921" s="107"/>
    </row>
    <row r="922" spans="1:62" x14ac:dyDescent="0.25">
      <c r="A922" s="107"/>
      <c r="B922" s="107"/>
      <c r="C922" s="107"/>
      <c r="D922" s="107"/>
      <c r="E922" s="107"/>
      <c r="F922" s="107"/>
      <c r="G922" s="107"/>
      <c r="H922" s="107"/>
      <c r="I922" s="107"/>
      <c r="J922" s="107"/>
      <c r="K922" s="107"/>
      <c r="L922" s="107"/>
      <c r="M922" s="107"/>
      <c r="N922" s="107"/>
      <c r="O922" s="107"/>
      <c r="P922" s="107"/>
      <c r="Q922" s="107"/>
      <c r="R922" s="107"/>
      <c r="S922" s="107"/>
      <c r="T922" s="107"/>
      <c r="U922" s="107"/>
      <c r="V922" s="107"/>
      <c r="W922" s="107"/>
      <c r="X922" s="107"/>
      <c r="Y922" s="107"/>
      <c r="Z922" s="107"/>
      <c r="AA922" s="107"/>
      <c r="AB922" s="107"/>
      <c r="AC922" s="107"/>
      <c r="AD922" s="107"/>
      <c r="AE922" s="107"/>
      <c r="AF922" s="107"/>
      <c r="AG922" s="107"/>
      <c r="AH922" s="107"/>
      <c r="AI922" s="107"/>
      <c r="AJ922" s="107"/>
      <c r="AK922" s="107"/>
      <c r="AL922" s="107"/>
      <c r="AM922" s="107"/>
      <c r="AN922" s="107"/>
      <c r="AO922" s="107"/>
      <c r="AP922" s="107"/>
      <c r="AQ922" s="107"/>
      <c r="AR922" s="107"/>
      <c r="AS922" s="107"/>
      <c r="AT922" s="107"/>
      <c r="AU922" s="107"/>
      <c r="AV922" s="107"/>
      <c r="AW922" s="107"/>
      <c r="AX922" s="107"/>
      <c r="AY922" s="107"/>
      <c r="AZ922" s="107"/>
      <c r="BA922" s="107"/>
      <c r="BB922" s="107"/>
      <c r="BC922" s="107"/>
      <c r="BD922" s="107"/>
      <c r="BE922" s="107"/>
      <c r="BF922" s="107"/>
      <c r="BG922" s="107"/>
      <c r="BH922" s="107"/>
      <c r="BI922" s="107"/>
      <c r="BJ922" s="107"/>
    </row>
    <row r="923" spans="1:62" x14ac:dyDescent="0.25">
      <c r="A923" s="107"/>
      <c r="B923" s="107"/>
      <c r="C923" s="107"/>
      <c r="D923" s="107"/>
      <c r="E923" s="107"/>
      <c r="F923" s="107"/>
      <c r="G923" s="107"/>
      <c r="H923" s="107"/>
      <c r="I923" s="107"/>
      <c r="J923" s="107"/>
      <c r="K923" s="107"/>
      <c r="L923" s="107"/>
      <c r="M923" s="107"/>
      <c r="N923" s="107"/>
      <c r="O923" s="107"/>
      <c r="P923" s="107"/>
      <c r="Q923" s="107"/>
      <c r="R923" s="107"/>
      <c r="S923" s="107"/>
      <c r="T923" s="107"/>
      <c r="U923" s="107"/>
      <c r="V923" s="107"/>
      <c r="W923" s="107"/>
      <c r="X923" s="107"/>
      <c r="Y923" s="107"/>
      <c r="Z923" s="107"/>
      <c r="AA923" s="107"/>
      <c r="AB923" s="107"/>
      <c r="AC923" s="107"/>
      <c r="AD923" s="107"/>
      <c r="AE923" s="107"/>
      <c r="AF923" s="107"/>
      <c r="AG923" s="107"/>
      <c r="AH923" s="107"/>
      <c r="AI923" s="107"/>
      <c r="AJ923" s="107"/>
      <c r="AK923" s="107"/>
      <c r="AL923" s="107"/>
      <c r="AM923" s="107"/>
      <c r="AN923" s="107"/>
      <c r="AO923" s="107"/>
      <c r="AP923" s="107"/>
      <c r="AQ923" s="107"/>
      <c r="AR923" s="107"/>
      <c r="AS923" s="107"/>
      <c r="AT923" s="107"/>
      <c r="AU923" s="107"/>
      <c r="AV923" s="107"/>
      <c r="AW923" s="107"/>
      <c r="AX923" s="107"/>
      <c r="AY923" s="107"/>
      <c r="AZ923" s="107"/>
      <c r="BA923" s="107"/>
      <c r="BB923" s="107"/>
      <c r="BC923" s="107"/>
      <c r="BD923" s="107"/>
      <c r="BE923" s="107"/>
      <c r="BF923" s="107"/>
      <c r="BG923" s="107"/>
      <c r="BH923" s="107"/>
      <c r="BI923" s="107"/>
      <c r="BJ923" s="107"/>
    </row>
    <row r="924" spans="1:62" ht="36" x14ac:dyDescent="0.25">
      <c r="A924" s="169"/>
      <c r="B924" s="169"/>
      <c r="C924" s="169"/>
      <c r="D924" s="169"/>
      <c r="E924" s="169"/>
      <c r="F924" s="169"/>
      <c r="G924" s="169"/>
      <c r="H924" s="169"/>
      <c r="I924" s="169"/>
      <c r="J924" s="169"/>
      <c r="K924" s="169"/>
      <c r="L924" s="169"/>
      <c r="M924" s="169"/>
      <c r="N924" s="169"/>
      <c r="O924" s="169"/>
      <c r="P924" s="169"/>
      <c r="Q924" s="169"/>
      <c r="R924" s="169"/>
      <c r="S924" s="169"/>
      <c r="T924" s="169"/>
      <c r="U924" s="169"/>
      <c r="V924" s="169"/>
      <c r="W924" s="169"/>
      <c r="X924" s="169"/>
      <c r="Y924" s="169"/>
      <c r="Z924" s="169"/>
      <c r="AA924" s="169"/>
      <c r="AB924" s="169"/>
      <c r="AC924" s="169"/>
      <c r="AD924" s="169"/>
      <c r="AE924" s="169"/>
      <c r="AF924" s="169"/>
      <c r="AG924" s="169"/>
      <c r="AH924" s="169"/>
      <c r="AI924" s="169"/>
      <c r="AJ924" s="169"/>
      <c r="AK924" s="169"/>
      <c r="AL924" s="169"/>
      <c r="AM924" s="169"/>
      <c r="AN924" s="169"/>
      <c r="AO924" s="169"/>
      <c r="AP924" s="169"/>
      <c r="AQ924" s="169"/>
      <c r="AR924" s="169"/>
      <c r="AS924" s="169"/>
      <c r="AT924" s="169"/>
      <c r="AU924" s="169"/>
      <c r="AV924" s="169"/>
      <c r="AW924" s="169"/>
      <c r="AX924" s="169"/>
      <c r="AY924" s="169"/>
      <c r="AZ924" s="169"/>
      <c r="BA924" s="169"/>
      <c r="BB924" s="169"/>
      <c r="BC924" s="169"/>
      <c r="BD924" s="169"/>
      <c r="BE924" s="169"/>
      <c r="BF924" s="169"/>
      <c r="BG924" s="169"/>
      <c r="BH924" s="169"/>
      <c r="BI924" s="169"/>
      <c r="BJ924" s="169"/>
    </row>
    <row r="925" spans="1:62" ht="36" x14ac:dyDescent="0.25">
      <c r="A925" s="169"/>
      <c r="B925" s="169"/>
      <c r="C925" s="169"/>
      <c r="D925" s="169"/>
      <c r="E925" s="169"/>
      <c r="F925" s="169"/>
      <c r="G925" s="169"/>
      <c r="H925" s="169"/>
      <c r="I925" s="169"/>
      <c r="J925" s="169"/>
      <c r="K925" s="169"/>
      <c r="L925" s="169"/>
      <c r="M925" s="169"/>
      <c r="N925" s="169"/>
      <c r="O925" s="169"/>
      <c r="P925" s="169"/>
      <c r="Q925" s="169"/>
      <c r="R925" s="169"/>
      <c r="S925" s="169"/>
      <c r="T925" s="169"/>
      <c r="U925" s="169"/>
      <c r="V925" s="169"/>
      <c r="W925" s="169"/>
      <c r="X925" s="169"/>
      <c r="Y925" s="169"/>
      <c r="Z925" s="169"/>
      <c r="AA925" s="169"/>
      <c r="AB925" s="169"/>
      <c r="AC925" s="169"/>
      <c r="AD925" s="169"/>
      <c r="AE925" s="169"/>
      <c r="AF925" s="169"/>
      <c r="AG925" s="169"/>
      <c r="AH925" s="169"/>
      <c r="AI925" s="169"/>
      <c r="AJ925" s="169"/>
      <c r="AK925" s="169"/>
      <c r="AL925" s="169"/>
      <c r="AM925" s="169"/>
      <c r="AN925" s="169"/>
      <c r="AO925" s="169"/>
      <c r="AP925" s="169"/>
      <c r="AQ925" s="169"/>
      <c r="AR925" s="169"/>
      <c r="AS925" s="169"/>
      <c r="AT925" s="169"/>
      <c r="AU925" s="169"/>
      <c r="AV925" s="169"/>
      <c r="AW925" s="169"/>
      <c r="AX925" s="169"/>
      <c r="AY925" s="169"/>
      <c r="AZ925" s="169"/>
      <c r="BA925" s="169"/>
      <c r="BB925" s="169"/>
      <c r="BC925" s="169"/>
      <c r="BD925" s="169"/>
      <c r="BE925" s="169"/>
      <c r="BF925" s="169"/>
      <c r="BG925" s="169"/>
      <c r="BH925" s="169"/>
      <c r="BI925" s="169"/>
      <c r="BJ925" s="169"/>
    </row>
    <row r="926" spans="1:62" ht="36" x14ac:dyDescent="0.25">
      <c r="A926" s="169"/>
      <c r="B926" s="169"/>
      <c r="C926" s="169"/>
      <c r="D926" s="169"/>
      <c r="E926" s="169"/>
      <c r="F926" s="169"/>
      <c r="G926" s="169"/>
      <c r="H926" s="169"/>
      <c r="I926" s="169"/>
      <c r="J926" s="169"/>
      <c r="K926" s="169"/>
      <c r="L926" s="169"/>
      <c r="M926" s="169"/>
      <c r="N926" s="169"/>
      <c r="O926" s="169"/>
      <c r="P926" s="169"/>
      <c r="Q926" s="169"/>
      <c r="R926" s="169"/>
      <c r="S926" s="169"/>
      <c r="T926" s="169"/>
      <c r="U926" s="169"/>
      <c r="V926" s="169"/>
      <c r="W926" s="169"/>
      <c r="X926" s="169"/>
      <c r="Y926" s="169"/>
      <c r="Z926" s="169"/>
      <c r="AA926" s="169"/>
      <c r="AB926" s="169"/>
      <c r="AC926" s="169"/>
      <c r="AD926" s="169"/>
      <c r="AE926" s="169"/>
      <c r="AF926" s="169"/>
      <c r="AG926" s="169"/>
      <c r="AH926" s="169"/>
      <c r="AI926" s="169"/>
      <c r="AJ926" s="169"/>
      <c r="AK926" s="169"/>
      <c r="AL926" s="169"/>
      <c r="AM926" s="169"/>
      <c r="AN926" s="169"/>
      <c r="AO926" s="169"/>
      <c r="AP926" s="169"/>
      <c r="AQ926" s="169"/>
      <c r="AR926" s="169"/>
      <c r="AS926" s="169"/>
      <c r="AT926" s="169"/>
      <c r="AU926" s="169"/>
      <c r="AV926" s="169"/>
      <c r="AW926" s="169"/>
      <c r="AX926" s="169"/>
      <c r="AY926" s="169"/>
      <c r="AZ926" s="169"/>
      <c r="BA926" s="169"/>
      <c r="BB926" s="169"/>
      <c r="BC926" s="169"/>
      <c r="BD926" s="169"/>
      <c r="BE926" s="169"/>
      <c r="BF926" s="169"/>
      <c r="BG926" s="169"/>
      <c r="BH926" s="169"/>
      <c r="BI926" s="169"/>
      <c r="BJ926" s="169"/>
    </row>
    <row r="927" spans="1:62" x14ac:dyDescent="0.25">
      <c r="F927" s="194"/>
      <c r="G927" s="194"/>
    </row>
    <row r="929" spans="1:62" x14ac:dyDescent="0.25">
      <c r="A929" s="199"/>
      <c r="B929" s="136"/>
      <c r="C929" s="199"/>
      <c r="D929" s="199"/>
      <c r="E929" s="199"/>
      <c r="F929" s="199"/>
      <c r="G929" s="199"/>
      <c r="H929" s="199"/>
      <c r="I929" s="136"/>
      <c r="J929" s="199"/>
      <c r="K929" s="199"/>
      <c r="L929" s="199"/>
      <c r="M929" s="199"/>
      <c r="N929" s="136"/>
      <c r="O929" s="199"/>
      <c r="P929" s="199"/>
      <c r="Q929" s="199"/>
      <c r="R929" s="199"/>
      <c r="S929" s="136"/>
      <c r="T929" s="199"/>
      <c r="U929" s="199"/>
      <c r="V929" s="199"/>
      <c r="W929" s="199"/>
      <c r="X929" s="136"/>
      <c r="Y929" s="199"/>
      <c r="Z929" s="199"/>
      <c r="AA929" s="199"/>
      <c r="AB929" s="199"/>
      <c r="AC929" s="136"/>
      <c r="AD929" s="199"/>
      <c r="AE929" s="199"/>
      <c r="AF929" s="199"/>
      <c r="AG929" s="199"/>
      <c r="AH929" s="136"/>
      <c r="AI929" s="199"/>
      <c r="AJ929" s="199"/>
      <c r="AK929" s="199"/>
      <c r="AL929" s="199"/>
      <c r="AM929" s="136"/>
      <c r="AN929" s="199"/>
      <c r="AO929" s="199"/>
      <c r="AP929" s="199"/>
      <c r="AQ929" s="199"/>
      <c r="AR929" s="136"/>
      <c r="AS929" s="199"/>
      <c r="AT929" s="199"/>
      <c r="AU929" s="199"/>
      <c r="AV929" s="199"/>
      <c r="AW929" s="136"/>
      <c r="AX929" s="199"/>
      <c r="AY929" s="199"/>
      <c r="AZ929" s="199"/>
      <c r="BA929" s="199"/>
      <c r="BB929" s="136"/>
      <c r="BC929" s="199"/>
      <c r="BD929" s="199"/>
      <c r="BE929" s="199"/>
      <c r="BF929" s="199"/>
      <c r="BG929" s="136"/>
      <c r="BH929" s="199"/>
      <c r="BI929" s="199"/>
      <c r="BJ929" s="199"/>
    </row>
    <row r="930" spans="1:62" x14ac:dyDescent="0.25">
      <c r="A930" s="199"/>
      <c r="B930" s="136"/>
      <c r="C930" s="199"/>
      <c r="D930" s="199"/>
      <c r="E930" s="199"/>
      <c r="F930" s="199"/>
      <c r="G930" s="199"/>
      <c r="H930" s="199"/>
      <c r="I930" s="136"/>
      <c r="J930" s="199"/>
      <c r="K930" s="199"/>
      <c r="L930" s="199"/>
      <c r="M930" s="199"/>
      <c r="N930" s="136"/>
      <c r="O930" s="199"/>
      <c r="P930" s="199"/>
      <c r="Q930" s="199"/>
      <c r="R930" s="199"/>
      <c r="S930" s="136"/>
      <c r="T930" s="199"/>
      <c r="U930" s="199"/>
      <c r="V930" s="199"/>
      <c r="W930" s="199"/>
      <c r="X930" s="136"/>
      <c r="Y930" s="199"/>
      <c r="Z930" s="199"/>
      <c r="AA930" s="199"/>
      <c r="AB930" s="199"/>
      <c r="AC930" s="136"/>
      <c r="AD930" s="199"/>
      <c r="AE930" s="199"/>
      <c r="AF930" s="199"/>
      <c r="AG930" s="199"/>
      <c r="AH930" s="136"/>
      <c r="AI930" s="199"/>
      <c r="AJ930" s="199"/>
      <c r="AK930" s="199"/>
      <c r="AL930" s="199"/>
      <c r="AM930" s="136"/>
      <c r="AN930" s="199"/>
      <c r="AO930" s="199"/>
      <c r="AP930" s="199"/>
      <c r="AQ930" s="199"/>
      <c r="AR930" s="136"/>
      <c r="AS930" s="199"/>
      <c r="AT930" s="199"/>
      <c r="AU930" s="199"/>
      <c r="AV930" s="199"/>
      <c r="AW930" s="136"/>
      <c r="AX930" s="199"/>
      <c r="AY930" s="199"/>
      <c r="AZ930" s="199"/>
      <c r="BA930" s="199"/>
      <c r="BB930" s="136"/>
      <c r="BC930" s="199"/>
      <c r="BD930" s="199"/>
      <c r="BE930" s="199"/>
      <c r="BF930" s="199"/>
      <c r="BG930" s="136"/>
      <c r="BH930" s="199"/>
      <c r="BI930" s="199"/>
      <c r="BJ930" s="199"/>
    </row>
    <row r="931" spans="1:62" x14ac:dyDescent="0.25">
      <c r="A931" s="199"/>
      <c r="B931" s="136"/>
      <c r="C931" s="199"/>
      <c r="D931" s="199"/>
      <c r="E931" s="199"/>
      <c r="F931" s="199"/>
      <c r="G931" s="199"/>
      <c r="H931" s="199"/>
      <c r="I931" s="136"/>
      <c r="J931" s="199"/>
      <c r="K931" s="199"/>
      <c r="L931" s="199"/>
      <c r="M931" s="199"/>
      <c r="N931" s="136"/>
      <c r="O931" s="199"/>
      <c r="P931" s="199"/>
      <c r="Q931" s="199"/>
      <c r="R931" s="199"/>
      <c r="S931" s="136"/>
      <c r="T931" s="199"/>
      <c r="U931" s="199"/>
      <c r="V931" s="199"/>
      <c r="W931" s="199"/>
      <c r="X931" s="136"/>
      <c r="Y931" s="199"/>
      <c r="Z931" s="199"/>
      <c r="AA931" s="199"/>
      <c r="AB931" s="199"/>
      <c r="AC931" s="136"/>
      <c r="AD931" s="199"/>
      <c r="AE931" s="199"/>
      <c r="AF931" s="199"/>
      <c r="AG931" s="199"/>
      <c r="AH931" s="136"/>
      <c r="AI931" s="199"/>
      <c r="AJ931" s="199"/>
      <c r="AK931" s="199"/>
      <c r="AL931" s="199"/>
      <c r="AM931" s="136"/>
      <c r="AN931" s="199"/>
      <c r="AO931" s="199"/>
      <c r="AP931" s="199"/>
      <c r="AQ931" s="199"/>
      <c r="AR931" s="136"/>
      <c r="AS931" s="199"/>
      <c r="AT931" s="199"/>
      <c r="AU931" s="199"/>
      <c r="AV931" s="199"/>
      <c r="AW931" s="136"/>
      <c r="AX931" s="199"/>
      <c r="AY931" s="199"/>
      <c r="AZ931" s="199"/>
      <c r="BA931" s="199"/>
      <c r="BB931" s="136"/>
      <c r="BC931" s="199"/>
      <c r="BD931" s="199"/>
      <c r="BE931" s="199"/>
      <c r="BF931" s="199"/>
      <c r="BG931" s="136"/>
      <c r="BH931" s="199"/>
      <c r="BI931" s="199"/>
      <c r="BJ931" s="199"/>
    </row>
    <row r="932" spans="1:62" x14ac:dyDescent="0.25">
      <c r="A932" s="199"/>
      <c r="B932" s="136"/>
      <c r="C932" s="199"/>
      <c r="D932" s="199"/>
      <c r="E932" s="199"/>
      <c r="F932" s="199"/>
      <c r="G932" s="199"/>
      <c r="H932" s="199"/>
      <c r="I932" s="136"/>
      <c r="J932" s="199"/>
      <c r="K932" s="199"/>
      <c r="L932" s="199"/>
      <c r="M932" s="199"/>
      <c r="N932" s="136"/>
      <c r="O932" s="199"/>
      <c r="P932" s="199"/>
      <c r="Q932" s="199"/>
      <c r="R932" s="199"/>
      <c r="S932" s="136"/>
      <c r="T932" s="199"/>
      <c r="U932" s="199"/>
      <c r="V932" s="199"/>
      <c r="W932" s="199"/>
      <c r="X932" s="136"/>
      <c r="Y932" s="199"/>
      <c r="Z932" s="199"/>
      <c r="AA932" s="199"/>
      <c r="AB932" s="199"/>
      <c r="AC932" s="136"/>
      <c r="AD932" s="199"/>
      <c r="AE932" s="199"/>
      <c r="AF932" s="199"/>
      <c r="AG932" s="199"/>
      <c r="AH932" s="136"/>
      <c r="AI932" s="199"/>
      <c r="AJ932" s="199"/>
      <c r="AK932" s="199"/>
      <c r="AL932" s="199"/>
      <c r="AM932" s="136"/>
      <c r="AN932" s="199"/>
      <c r="AO932" s="199"/>
      <c r="AP932" s="199"/>
      <c r="AQ932" s="199"/>
      <c r="AR932" s="136"/>
      <c r="AS932" s="199"/>
      <c r="AT932" s="199"/>
      <c r="AU932" s="199"/>
      <c r="AV932" s="199"/>
      <c r="AW932" s="136"/>
      <c r="AX932" s="199"/>
      <c r="AY932" s="199"/>
      <c r="AZ932" s="199"/>
      <c r="BA932" s="199"/>
      <c r="BB932" s="136"/>
      <c r="BC932" s="199"/>
      <c r="BD932" s="199"/>
      <c r="BE932" s="199"/>
      <c r="BF932" s="199"/>
      <c r="BG932" s="136"/>
      <c r="BH932" s="199"/>
      <c r="BI932" s="199"/>
      <c r="BJ932" s="199"/>
    </row>
    <row r="933" spans="1:62" x14ac:dyDescent="0.25">
      <c r="A933" s="199"/>
      <c r="B933" s="136"/>
      <c r="C933" s="199"/>
      <c r="D933" s="199"/>
      <c r="E933" s="199"/>
      <c r="F933" s="199"/>
      <c r="G933" s="199"/>
      <c r="H933" s="199"/>
      <c r="I933" s="136"/>
      <c r="J933" s="199"/>
      <c r="K933" s="199"/>
      <c r="L933" s="199"/>
      <c r="M933" s="199"/>
      <c r="N933" s="136"/>
      <c r="O933" s="199"/>
      <c r="P933" s="199"/>
      <c r="Q933" s="199"/>
      <c r="R933" s="199"/>
      <c r="S933" s="136"/>
      <c r="T933" s="199"/>
      <c r="U933" s="199"/>
      <c r="V933" s="199"/>
      <c r="W933" s="199"/>
      <c r="X933" s="136"/>
      <c r="Y933" s="199"/>
      <c r="Z933" s="199"/>
      <c r="AA933" s="199"/>
      <c r="AB933" s="199"/>
      <c r="AC933" s="136"/>
      <c r="AD933" s="199"/>
      <c r="AE933" s="199"/>
      <c r="AF933" s="199"/>
      <c r="AG933" s="199"/>
      <c r="AH933" s="136"/>
      <c r="AI933" s="199"/>
      <c r="AJ933" s="199"/>
      <c r="AK933" s="199"/>
      <c r="AL933" s="199"/>
      <c r="AM933" s="136"/>
      <c r="AN933" s="199"/>
      <c r="AO933" s="199"/>
      <c r="AP933" s="199"/>
      <c r="AQ933" s="199"/>
      <c r="AR933" s="136"/>
      <c r="AS933" s="199"/>
      <c r="AT933" s="199"/>
      <c r="AU933" s="199"/>
      <c r="AV933" s="199"/>
      <c r="AW933" s="136"/>
      <c r="AX933" s="199"/>
      <c r="AY933" s="199"/>
      <c r="AZ933" s="199"/>
      <c r="BA933" s="199"/>
      <c r="BB933" s="136"/>
      <c r="BC933" s="199"/>
      <c r="BD933" s="199"/>
      <c r="BE933" s="199"/>
      <c r="BF933" s="199"/>
      <c r="BG933" s="136"/>
      <c r="BH933" s="199"/>
      <c r="BI933" s="199"/>
      <c r="BJ933" s="199"/>
    </row>
    <row r="934" spans="1:62" x14ac:dyDescent="0.25">
      <c r="A934" s="199"/>
      <c r="B934" s="136"/>
      <c r="C934" s="199"/>
      <c r="D934" s="199"/>
      <c r="E934" s="199"/>
      <c r="F934" s="199"/>
      <c r="G934" s="199"/>
      <c r="H934" s="199"/>
      <c r="I934" s="136"/>
      <c r="J934" s="199"/>
      <c r="K934" s="199"/>
      <c r="L934" s="199"/>
      <c r="M934" s="199"/>
      <c r="N934" s="136"/>
      <c r="O934" s="199"/>
      <c r="P934" s="199"/>
      <c r="Q934" s="199"/>
      <c r="R934" s="199"/>
      <c r="S934" s="136"/>
      <c r="T934" s="199"/>
      <c r="U934" s="199"/>
      <c r="V934" s="199"/>
      <c r="W934" s="199"/>
      <c r="X934" s="136"/>
      <c r="Y934" s="199"/>
      <c r="Z934" s="199"/>
      <c r="AA934" s="199"/>
      <c r="AB934" s="199"/>
      <c r="AC934" s="136"/>
      <c r="AD934" s="199"/>
      <c r="AE934" s="199"/>
      <c r="AF934" s="199"/>
      <c r="AG934" s="199"/>
      <c r="AH934" s="136"/>
      <c r="AI934" s="199"/>
      <c r="AJ934" s="199"/>
      <c r="AK934" s="199"/>
      <c r="AL934" s="199"/>
      <c r="AM934" s="136"/>
      <c r="AN934" s="199"/>
      <c r="AO934" s="199"/>
      <c r="AP934" s="199"/>
      <c r="AQ934" s="199"/>
      <c r="AR934" s="136"/>
      <c r="AS934" s="199"/>
      <c r="AT934" s="199"/>
      <c r="AU934" s="199"/>
      <c r="AV934" s="199"/>
      <c r="AW934" s="136"/>
      <c r="AX934" s="199"/>
      <c r="AY934" s="199"/>
      <c r="AZ934" s="199"/>
      <c r="BA934" s="199"/>
      <c r="BB934" s="136"/>
      <c r="BC934" s="199"/>
      <c r="BD934" s="199"/>
      <c r="BE934" s="199"/>
      <c r="BF934" s="199"/>
      <c r="BG934" s="136"/>
      <c r="BH934" s="199"/>
      <c r="BI934" s="199"/>
      <c r="BJ934" s="199"/>
    </row>
    <row r="935" spans="1:62" x14ac:dyDescent="0.25">
      <c r="A935" s="199"/>
      <c r="B935" s="136"/>
      <c r="C935" s="199"/>
      <c r="D935" s="199"/>
      <c r="E935" s="199"/>
      <c r="F935" s="199"/>
      <c r="G935" s="199"/>
      <c r="H935" s="199"/>
      <c r="I935" s="136"/>
      <c r="J935" s="199"/>
      <c r="K935" s="199"/>
      <c r="L935" s="199"/>
      <c r="M935" s="199"/>
      <c r="N935" s="136"/>
      <c r="O935" s="199"/>
      <c r="P935" s="199"/>
      <c r="Q935" s="199"/>
      <c r="R935" s="199"/>
      <c r="S935" s="136"/>
      <c r="T935" s="199"/>
      <c r="U935" s="199"/>
      <c r="V935" s="199"/>
      <c r="W935" s="199"/>
      <c r="X935" s="136"/>
      <c r="Y935" s="199"/>
      <c r="Z935" s="199"/>
      <c r="AA935" s="199"/>
      <c r="AB935" s="199"/>
      <c r="AC935" s="136"/>
      <c r="AD935" s="199"/>
      <c r="AE935" s="199"/>
      <c r="AF935" s="199"/>
      <c r="AG935" s="199"/>
      <c r="AH935" s="136"/>
      <c r="AI935" s="199"/>
      <c r="AJ935" s="199"/>
      <c r="AK935" s="199"/>
      <c r="AL935" s="199"/>
      <c r="AM935" s="136"/>
      <c r="AN935" s="199"/>
      <c r="AO935" s="199"/>
      <c r="AP935" s="199"/>
      <c r="AQ935" s="199"/>
      <c r="AR935" s="136"/>
      <c r="AS935" s="199"/>
      <c r="AT935" s="199"/>
      <c r="AU935" s="199"/>
      <c r="AV935" s="199"/>
      <c r="AW935" s="136"/>
      <c r="AX935" s="199"/>
      <c r="AY935" s="199"/>
      <c r="AZ935" s="199"/>
      <c r="BA935" s="199"/>
      <c r="BB935" s="136"/>
      <c r="BC935" s="199"/>
      <c r="BD935" s="199"/>
      <c r="BE935" s="199"/>
      <c r="BF935" s="199"/>
      <c r="BG935" s="136"/>
      <c r="BH935" s="199"/>
      <c r="BI935" s="199"/>
      <c r="BJ935" s="199"/>
    </row>
    <row r="936" spans="1:62" x14ac:dyDescent="0.25">
      <c r="A936" s="199"/>
      <c r="B936" s="136"/>
      <c r="C936" s="199"/>
      <c r="D936" s="199"/>
      <c r="E936" s="199"/>
      <c r="F936" s="199"/>
      <c r="G936" s="199"/>
      <c r="H936" s="199"/>
      <c r="I936" s="136"/>
      <c r="J936" s="199"/>
      <c r="K936" s="199"/>
      <c r="L936" s="199"/>
      <c r="M936" s="199"/>
      <c r="N936" s="136"/>
      <c r="O936" s="199"/>
      <c r="P936" s="199"/>
      <c r="Q936" s="199"/>
      <c r="R936" s="199"/>
      <c r="S936" s="136"/>
      <c r="T936" s="199"/>
      <c r="U936" s="199"/>
      <c r="V936" s="199"/>
      <c r="W936" s="199"/>
      <c r="X936" s="136"/>
      <c r="Y936" s="199"/>
      <c r="Z936" s="199"/>
      <c r="AA936" s="199"/>
      <c r="AB936" s="199"/>
      <c r="AC936" s="136"/>
      <c r="AD936" s="199"/>
      <c r="AE936" s="199"/>
      <c r="AF936" s="199"/>
      <c r="AG936" s="199"/>
      <c r="AH936" s="136"/>
      <c r="AI936" s="199"/>
      <c r="AJ936" s="199"/>
      <c r="AK936" s="199"/>
      <c r="AL936" s="199"/>
      <c r="AM936" s="136"/>
      <c r="AN936" s="199"/>
      <c r="AO936" s="199"/>
      <c r="AP936" s="199"/>
      <c r="AQ936" s="199"/>
      <c r="AR936" s="136"/>
      <c r="AS936" s="199"/>
      <c r="AT936" s="199"/>
      <c r="AU936" s="199"/>
      <c r="AV936" s="199"/>
      <c r="AW936" s="136"/>
      <c r="AX936" s="199"/>
      <c r="AY936" s="199"/>
      <c r="AZ936" s="199"/>
      <c r="BA936" s="199"/>
      <c r="BB936" s="136"/>
      <c r="BC936" s="199"/>
      <c r="BD936" s="199"/>
      <c r="BE936" s="199"/>
      <c r="BF936" s="199"/>
      <c r="BG936" s="136"/>
      <c r="BH936" s="199"/>
      <c r="BI936" s="199"/>
      <c r="BJ936" s="199"/>
    </row>
    <row r="940" spans="1:62" ht="36" x14ac:dyDescent="0.25">
      <c r="A940" s="169"/>
      <c r="B940" s="107"/>
      <c r="C940" s="107"/>
      <c r="D940" s="107"/>
      <c r="E940" s="107"/>
      <c r="F940" s="107"/>
      <c r="G940" s="107"/>
      <c r="H940" s="107"/>
      <c r="I940" s="107"/>
      <c r="J940" s="107"/>
      <c r="K940" s="107"/>
      <c r="L940" s="107"/>
      <c r="M940" s="107"/>
      <c r="N940" s="107"/>
      <c r="O940" s="107"/>
      <c r="P940" s="107"/>
      <c r="Q940" s="107"/>
      <c r="R940" s="107"/>
      <c r="S940" s="107"/>
      <c r="T940" s="107"/>
      <c r="U940" s="107"/>
      <c r="V940" s="107"/>
      <c r="W940" s="107"/>
      <c r="X940" s="107"/>
      <c r="Y940" s="107"/>
      <c r="Z940" s="107"/>
      <c r="AA940" s="107"/>
      <c r="AB940" s="107"/>
      <c r="AC940" s="107"/>
      <c r="AD940" s="107"/>
      <c r="AE940" s="107"/>
      <c r="AF940" s="107"/>
      <c r="AG940" s="107"/>
      <c r="AH940" s="107"/>
      <c r="AI940" s="107"/>
      <c r="AJ940" s="107"/>
      <c r="AK940" s="107"/>
      <c r="AL940" s="107"/>
      <c r="AM940" s="107"/>
      <c r="AN940" s="107"/>
      <c r="AO940" s="107"/>
      <c r="AP940" s="107"/>
      <c r="AQ940" s="107"/>
      <c r="AR940" s="107"/>
      <c r="AS940" s="107"/>
      <c r="AT940" s="107"/>
      <c r="AU940" s="107"/>
      <c r="AV940" s="107"/>
      <c r="AW940" s="107"/>
      <c r="AX940" s="107"/>
      <c r="AY940" s="107"/>
      <c r="AZ940" s="107"/>
      <c r="BA940" s="107"/>
      <c r="BB940" s="107"/>
      <c r="BC940" s="107"/>
      <c r="BD940" s="107"/>
      <c r="BE940" s="107"/>
      <c r="BF940" s="107"/>
      <c r="BG940" s="107"/>
      <c r="BH940" s="107"/>
      <c r="BI940" s="107"/>
      <c r="BJ940" s="107"/>
    </row>
    <row r="941" spans="1:62" x14ac:dyDescent="0.25">
      <c r="A941" s="107"/>
      <c r="B941" s="107"/>
      <c r="C941" s="107"/>
      <c r="D941" s="107"/>
      <c r="E941" s="107"/>
      <c r="F941" s="107"/>
      <c r="G941" s="107"/>
      <c r="H941" s="107"/>
      <c r="I941" s="107"/>
      <c r="J941" s="107"/>
      <c r="K941" s="107"/>
      <c r="L941" s="107"/>
      <c r="M941" s="107"/>
      <c r="N941" s="107"/>
      <c r="O941" s="107"/>
      <c r="P941" s="107"/>
      <c r="Q941" s="107"/>
      <c r="R941" s="107"/>
      <c r="S941" s="107"/>
      <c r="T941" s="107"/>
      <c r="U941" s="107"/>
      <c r="V941" s="107"/>
      <c r="W941" s="107"/>
      <c r="X941" s="107"/>
      <c r="Y941" s="107"/>
      <c r="Z941" s="107"/>
      <c r="AA941" s="107"/>
      <c r="AB941" s="107"/>
      <c r="AC941" s="107"/>
      <c r="AD941" s="107"/>
      <c r="AE941" s="107"/>
      <c r="AF941" s="107"/>
      <c r="AG941" s="107"/>
      <c r="AH941" s="107"/>
      <c r="AI941" s="107"/>
      <c r="AJ941" s="107"/>
      <c r="AK941" s="107"/>
      <c r="AL941" s="107"/>
      <c r="AM941" s="107"/>
      <c r="AN941" s="107"/>
      <c r="AO941" s="107"/>
      <c r="AP941" s="107"/>
      <c r="AQ941" s="107"/>
      <c r="AR941" s="107"/>
      <c r="AS941" s="107"/>
      <c r="AT941" s="107"/>
      <c r="AU941" s="107"/>
      <c r="AV941" s="107"/>
      <c r="AW941" s="107"/>
      <c r="AX941" s="107"/>
      <c r="AY941" s="107"/>
      <c r="AZ941" s="107"/>
      <c r="BA941" s="107"/>
      <c r="BB941" s="107"/>
      <c r="BC941" s="107"/>
      <c r="BD941" s="107"/>
      <c r="BE941" s="107"/>
      <c r="BF941" s="107"/>
      <c r="BG941" s="107"/>
      <c r="BH941" s="107"/>
      <c r="BI941" s="107"/>
      <c r="BJ941" s="107"/>
    </row>
    <row r="942" spans="1:62" x14ac:dyDescent="0.25">
      <c r="A942" s="107"/>
      <c r="B942" s="107"/>
      <c r="C942" s="107"/>
      <c r="D942" s="107"/>
      <c r="E942" s="107"/>
      <c r="F942" s="107"/>
      <c r="G942" s="107"/>
      <c r="H942" s="107"/>
      <c r="I942" s="107"/>
      <c r="J942" s="107"/>
      <c r="K942" s="107"/>
      <c r="L942" s="107"/>
      <c r="M942" s="107"/>
      <c r="N942" s="107"/>
      <c r="O942" s="107"/>
      <c r="P942" s="107"/>
      <c r="Q942" s="107"/>
      <c r="R942" s="107"/>
      <c r="S942" s="107"/>
      <c r="T942" s="107"/>
      <c r="U942" s="107"/>
      <c r="V942" s="107"/>
      <c r="W942" s="107"/>
      <c r="X942" s="107"/>
      <c r="Y942" s="107"/>
      <c r="Z942" s="107"/>
      <c r="AA942" s="107"/>
      <c r="AB942" s="107"/>
      <c r="AC942" s="107"/>
      <c r="AD942" s="107"/>
      <c r="AE942" s="107"/>
      <c r="AF942" s="107"/>
      <c r="AG942" s="107"/>
      <c r="AH942" s="107"/>
      <c r="AI942" s="107"/>
      <c r="AJ942" s="107"/>
      <c r="AK942" s="107"/>
      <c r="AL942" s="107"/>
      <c r="AM942" s="107"/>
      <c r="AN942" s="107"/>
      <c r="AO942" s="107"/>
      <c r="AP942" s="107"/>
      <c r="AQ942" s="107"/>
      <c r="AR942" s="107"/>
      <c r="AS942" s="107"/>
      <c r="AT942" s="107"/>
      <c r="AU942" s="107"/>
      <c r="AV942" s="107"/>
      <c r="AW942" s="107"/>
      <c r="AX942" s="107"/>
      <c r="AY942" s="107"/>
      <c r="AZ942" s="107"/>
      <c r="BA942" s="107"/>
      <c r="BB942" s="107"/>
      <c r="BC942" s="107"/>
      <c r="BD942" s="107"/>
      <c r="BE942" s="107"/>
      <c r="BF942" s="107"/>
      <c r="BG942" s="107"/>
      <c r="BH942" s="107"/>
      <c r="BI942" s="107"/>
      <c r="BJ942" s="107"/>
    </row>
    <row r="943" spans="1:62" ht="36" x14ac:dyDescent="0.25">
      <c r="A943" s="169"/>
      <c r="B943" s="169"/>
      <c r="C943" s="169"/>
      <c r="D943" s="169"/>
      <c r="E943" s="169"/>
      <c r="F943" s="169"/>
      <c r="G943" s="169"/>
      <c r="H943" s="169"/>
      <c r="I943" s="169"/>
      <c r="J943" s="169"/>
      <c r="K943" s="169"/>
      <c r="L943" s="169"/>
      <c r="M943" s="169"/>
      <c r="N943" s="169"/>
      <c r="O943" s="169"/>
      <c r="P943" s="169"/>
      <c r="Q943" s="169"/>
      <c r="R943" s="169"/>
      <c r="S943" s="169"/>
      <c r="T943" s="169"/>
      <c r="U943" s="169"/>
      <c r="V943" s="169"/>
      <c r="W943" s="169"/>
      <c r="X943" s="169"/>
      <c r="Y943" s="169"/>
      <c r="Z943" s="169"/>
      <c r="AA943" s="169"/>
      <c r="AB943" s="169"/>
      <c r="AC943" s="169"/>
      <c r="AD943" s="169"/>
      <c r="AE943" s="169"/>
      <c r="AF943" s="169"/>
      <c r="AG943" s="169"/>
      <c r="AH943" s="169"/>
      <c r="AI943" s="169"/>
      <c r="AJ943" s="169"/>
      <c r="AK943" s="169"/>
      <c r="AL943" s="169"/>
      <c r="AM943" s="169"/>
      <c r="AN943" s="169"/>
      <c r="AO943" s="169"/>
      <c r="AP943" s="169"/>
      <c r="AQ943" s="169"/>
      <c r="AR943" s="169"/>
      <c r="AS943" s="169"/>
      <c r="AT943" s="169"/>
      <c r="AU943" s="169"/>
      <c r="AV943" s="169"/>
      <c r="AW943" s="169"/>
      <c r="AX943" s="169"/>
      <c r="AY943" s="169"/>
      <c r="AZ943" s="169"/>
      <c r="BA943" s="169"/>
      <c r="BB943" s="169"/>
      <c r="BC943" s="169"/>
      <c r="BD943" s="169"/>
      <c r="BE943" s="169"/>
      <c r="BF943" s="169"/>
      <c r="BG943" s="169"/>
      <c r="BH943" s="169"/>
      <c r="BI943" s="169"/>
      <c r="BJ943" s="169"/>
    </row>
    <row r="944" spans="1:62" ht="36" x14ac:dyDescent="0.25">
      <c r="A944" s="169"/>
      <c r="B944" s="169"/>
      <c r="C944" s="169"/>
      <c r="D944" s="169"/>
      <c r="E944" s="169"/>
      <c r="F944" s="169"/>
      <c r="G944" s="169"/>
      <c r="H944" s="169"/>
      <c r="I944" s="169"/>
      <c r="J944" s="169"/>
      <c r="K944" s="169"/>
      <c r="L944" s="169"/>
      <c r="M944" s="169"/>
      <c r="N944" s="169"/>
      <c r="O944" s="169"/>
      <c r="P944" s="169"/>
      <c r="Q944" s="169"/>
      <c r="R944" s="169"/>
      <c r="S944" s="169"/>
      <c r="T944" s="169"/>
      <c r="U944" s="169"/>
      <c r="V944" s="169"/>
      <c r="W944" s="169"/>
      <c r="X944" s="169"/>
      <c r="Y944" s="169"/>
      <c r="Z944" s="169"/>
      <c r="AA944" s="169"/>
      <c r="AB944" s="169"/>
      <c r="AC944" s="169"/>
      <c r="AD944" s="169"/>
      <c r="AE944" s="169"/>
      <c r="AF944" s="169"/>
      <c r="AG944" s="169"/>
      <c r="AH944" s="169"/>
      <c r="AI944" s="169"/>
      <c r="AJ944" s="169"/>
      <c r="AK944" s="169"/>
      <c r="AL944" s="169"/>
      <c r="AM944" s="169"/>
      <c r="AN944" s="169"/>
      <c r="AO944" s="169"/>
      <c r="AP944" s="169"/>
      <c r="AQ944" s="169"/>
      <c r="AR944" s="169"/>
      <c r="AS944" s="169"/>
      <c r="AT944" s="169"/>
      <c r="AU944" s="169"/>
      <c r="AV944" s="169"/>
      <c r="AW944" s="169"/>
      <c r="AX944" s="169"/>
      <c r="AY944" s="169"/>
      <c r="AZ944" s="169"/>
      <c r="BA944" s="169"/>
      <c r="BB944" s="169"/>
      <c r="BC944" s="169"/>
      <c r="BD944" s="169"/>
      <c r="BE944" s="169"/>
      <c r="BF944" s="169"/>
      <c r="BG944" s="169"/>
      <c r="BH944" s="169"/>
      <c r="BI944" s="169"/>
      <c r="BJ944" s="169"/>
    </row>
    <row r="945" spans="1:62" ht="36" x14ac:dyDescent="0.25">
      <c r="A945" s="169"/>
      <c r="B945" s="169"/>
      <c r="C945" s="169"/>
      <c r="D945" s="169"/>
      <c r="E945" s="169"/>
      <c r="F945" s="169"/>
      <c r="G945" s="169"/>
      <c r="H945" s="169"/>
      <c r="I945" s="169"/>
      <c r="J945" s="169"/>
      <c r="K945" s="169"/>
      <c r="L945" s="169"/>
      <c r="M945" s="169"/>
      <c r="N945" s="169"/>
      <c r="O945" s="169"/>
      <c r="P945" s="169"/>
      <c r="Q945" s="169"/>
      <c r="R945" s="169"/>
      <c r="S945" s="169"/>
      <c r="T945" s="169"/>
      <c r="U945" s="169"/>
      <c r="V945" s="169"/>
      <c r="W945" s="169"/>
      <c r="X945" s="169"/>
      <c r="Y945" s="169"/>
      <c r="Z945" s="169"/>
      <c r="AA945" s="169"/>
      <c r="AB945" s="169"/>
      <c r="AC945" s="169"/>
      <c r="AD945" s="169"/>
      <c r="AE945" s="169"/>
      <c r="AF945" s="169"/>
      <c r="AG945" s="169"/>
      <c r="AH945" s="169"/>
      <c r="AI945" s="169"/>
      <c r="AJ945" s="169"/>
      <c r="AK945" s="169"/>
      <c r="AL945" s="169"/>
      <c r="AM945" s="169"/>
      <c r="AN945" s="169"/>
      <c r="AO945" s="169"/>
      <c r="AP945" s="169"/>
      <c r="AQ945" s="169"/>
      <c r="AR945" s="169"/>
      <c r="AS945" s="169"/>
      <c r="AT945" s="169"/>
      <c r="AU945" s="169"/>
      <c r="AV945" s="169"/>
      <c r="AW945" s="169"/>
      <c r="AX945" s="169"/>
      <c r="AY945" s="169"/>
      <c r="AZ945" s="169"/>
      <c r="BA945" s="169"/>
      <c r="BB945" s="169"/>
      <c r="BC945" s="169"/>
      <c r="BD945" s="169"/>
      <c r="BE945" s="169"/>
      <c r="BF945" s="169"/>
      <c r="BG945" s="169"/>
      <c r="BH945" s="169"/>
      <c r="BI945" s="169"/>
      <c r="BJ945" s="169"/>
    </row>
    <row r="946" spans="1:62" x14ac:dyDescent="0.25">
      <c r="F946" s="194"/>
      <c r="G946" s="194"/>
    </row>
    <row r="948" spans="1:62" x14ac:dyDescent="0.25">
      <c r="A948" s="199"/>
      <c r="B948" s="136"/>
      <c r="C948" s="199"/>
      <c r="D948" s="199"/>
      <c r="E948" s="199"/>
      <c r="F948" s="199"/>
      <c r="G948" s="199"/>
      <c r="H948" s="199"/>
      <c r="I948" s="136"/>
      <c r="J948" s="199"/>
      <c r="K948" s="199"/>
      <c r="L948" s="199"/>
      <c r="M948" s="199"/>
      <c r="N948" s="136"/>
      <c r="O948" s="199"/>
      <c r="P948" s="199"/>
      <c r="Q948" s="199"/>
      <c r="R948" s="199"/>
      <c r="S948" s="136"/>
      <c r="T948" s="199"/>
      <c r="U948" s="199"/>
      <c r="V948" s="199"/>
      <c r="W948" s="199"/>
      <c r="X948" s="136"/>
      <c r="Y948" s="199"/>
      <c r="Z948" s="199"/>
      <c r="AA948" s="199"/>
      <c r="AB948" s="199"/>
      <c r="AC948" s="136"/>
      <c r="AD948" s="199"/>
      <c r="AE948" s="199"/>
      <c r="AF948" s="199"/>
      <c r="AG948" s="199"/>
      <c r="AH948" s="136"/>
      <c r="AI948" s="199"/>
      <c r="AJ948" s="199"/>
      <c r="AK948" s="199"/>
      <c r="AL948" s="199"/>
      <c r="AM948" s="136"/>
      <c r="AN948" s="199"/>
      <c r="AO948" s="199"/>
      <c r="AP948" s="199"/>
      <c r="AQ948" s="199"/>
      <c r="AR948" s="136"/>
      <c r="AS948" s="199"/>
      <c r="AT948" s="199"/>
      <c r="AU948" s="199"/>
      <c r="AV948" s="199"/>
      <c r="AW948" s="136"/>
      <c r="AX948" s="199"/>
      <c r="AY948" s="199"/>
      <c r="AZ948" s="199"/>
      <c r="BA948" s="199"/>
      <c r="BB948" s="136"/>
      <c r="BC948" s="199"/>
      <c r="BD948" s="199"/>
      <c r="BE948" s="199"/>
      <c r="BF948" s="199"/>
      <c r="BG948" s="136"/>
      <c r="BH948" s="199"/>
      <c r="BI948" s="199"/>
      <c r="BJ948" s="199"/>
    </row>
    <row r="949" spans="1:62" x14ac:dyDescent="0.25">
      <c r="A949" s="199"/>
      <c r="B949" s="136"/>
      <c r="C949" s="199"/>
      <c r="D949" s="199"/>
      <c r="E949" s="199"/>
      <c r="F949" s="199"/>
      <c r="G949" s="199"/>
      <c r="H949" s="199"/>
      <c r="I949" s="136"/>
      <c r="J949" s="199"/>
      <c r="K949" s="199"/>
      <c r="L949" s="199"/>
      <c r="M949" s="199"/>
      <c r="N949" s="136"/>
      <c r="O949" s="199"/>
      <c r="P949" s="199"/>
      <c r="Q949" s="199"/>
      <c r="R949" s="199"/>
      <c r="S949" s="136"/>
      <c r="T949" s="199"/>
      <c r="U949" s="199"/>
      <c r="V949" s="199"/>
      <c r="W949" s="199"/>
      <c r="X949" s="136"/>
      <c r="Y949" s="199"/>
      <c r="Z949" s="199"/>
      <c r="AA949" s="199"/>
      <c r="AB949" s="199"/>
      <c r="AC949" s="136"/>
      <c r="AD949" s="199"/>
      <c r="AE949" s="199"/>
      <c r="AF949" s="199"/>
      <c r="AG949" s="199"/>
      <c r="AH949" s="136"/>
      <c r="AI949" s="199"/>
      <c r="AJ949" s="199"/>
      <c r="AK949" s="199"/>
      <c r="AL949" s="199"/>
      <c r="AM949" s="136"/>
      <c r="AN949" s="199"/>
      <c r="AO949" s="199"/>
      <c r="AP949" s="199"/>
      <c r="AQ949" s="199"/>
      <c r="AR949" s="136"/>
      <c r="AS949" s="199"/>
      <c r="AT949" s="199"/>
      <c r="AU949" s="199"/>
      <c r="AV949" s="199"/>
      <c r="AW949" s="136"/>
      <c r="AX949" s="199"/>
      <c r="AY949" s="199"/>
      <c r="AZ949" s="199"/>
      <c r="BA949" s="199"/>
      <c r="BB949" s="136"/>
      <c r="BC949" s="199"/>
      <c r="BD949" s="199"/>
      <c r="BE949" s="199"/>
      <c r="BF949" s="199"/>
      <c r="BG949" s="136"/>
      <c r="BH949" s="199"/>
      <c r="BI949" s="199"/>
      <c r="BJ949" s="199"/>
    </row>
    <row r="950" spans="1:62" x14ac:dyDescent="0.25">
      <c r="A950" s="199"/>
      <c r="B950" s="136"/>
      <c r="C950" s="199"/>
      <c r="D950" s="199"/>
      <c r="E950" s="199"/>
      <c r="F950" s="199"/>
      <c r="G950" s="199"/>
      <c r="H950" s="199"/>
      <c r="I950" s="136"/>
      <c r="J950" s="199"/>
      <c r="K950" s="199"/>
      <c r="L950" s="199"/>
      <c r="M950" s="199"/>
      <c r="N950" s="136"/>
      <c r="O950" s="199"/>
      <c r="P950" s="199"/>
      <c r="Q950" s="199"/>
      <c r="R950" s="199"/>
      <c r="S950" s="136"/>
      <c r="T950" s="199"/>
      <c r="U950" s="199"/>
      <c r="V950" s="199"/>
      <c r="W950" s="199"/>
      <c r="X950" s="136"/>
      <c r="Y950" s="199"/>
      <c r="Z950" s="199"/>
      <c r="AA950" s="199"/>
      <c r="AB950" s="199"/>
      <c r="AC950" s="136"/>
      <c r="AD950" s="199"/>
      <c r="AE950" s="199"/>
      <c r="AF950" s="199"/>
      <c r="AG950" s="199"/>
      <c r="AH950" s="136"/>
      <c r="AI950" s="199"/>
      <c r="AJ950" s="199"/>
      <c r="AK950" s="199"/>
      <c r="AL950" s="199"/>
      <c r="AM950" s="136"/>
      <c r="AN950" s="199"/>
      <c r="AO950" s="199"/>
      <c r="AP950" s="199"/>
      <c r="AQ950" s="199"/>
      <c r="AR950" s="136"/>
      <c r="AS950" s="199"/>
      <c r="AT950" s="199"/>
      <c r="AU950" s="199"/>
      <c r="AV950" s="199"/>
      <c r="AW950" s="136"/>
      <c r="AX950" s="199"/>
      <c r="AY950" s="199"/>
      <c r="AZ950" s="199"/>
      <c r="BA950" s="199"/>
      <c r="BB950" s="136"/>
      <c r="BC950" s="199"/>
      <c r="BD950" s="199"/>
      <c r="BE950" s="199"/>
      <c r="BF950" s="199"/>
      <c r="BG950" s="136"/>
      <c r="BH950" s="199"/>
      <c r="BI950" s="199"/>
      <c r="BJ950" s="199"/>
    </row>
    <row r="951" spans="1:62" x14ac:dyDescent="0.25">
      <c r="A951" s="199"/>
      <c r="B951" s="136"/>
      <c r="C951" s="199"/>
      <c r="D951" s="199"/>
      <c r="E951" s="199"/>
      <c r="F951" s="199"/>
      <c r="G951" s="199"/>
      <c r="H951" s="199"/>
      <c r="I951" s="136"/>
      <c r="J951" s="199"/>
      <c r="K951" s="199"/>
      <c r="L951" s="199"/>
      <c r="M951" s="199"/>
      <c r="N951" s="136"/>
      <c r="O951" s="199"/>
      <c r="P951" s="199"/>
      <c r="Q951" s="199"/>
      <c r="R951" s="199"/>
      <c r="S951" s="136"/>
      <c r="T951" s="199"/>
      <c r="U951" s="199"/>
      <c r="V951" s="199"/>
      <c r="W951" s="199"/>
      <c r="X951" s="136"/>
      <c r="Y951" s="199"/>
      <c r="Z951" s="199"/>
      <c r="AA951" s="199"/>
      <c r="AB951" s="199"/>
      <c r="AC951" s="136"/>
      <c r="AD951" s="199"/>
      <c r="AE951" s="199"/>
      <c r="AF951" s="199"/>
      <c r="AG951" s="199"/>
      <c r="AH951" s="136"/>
      <c r="AI951" s="199"/>
      <c r="AJ951" s="199"/>
      <c r="AK951" s="199"/>
      <c r="AL951" s="199"/>
      <c r="AM951" s="136"/>
      <c r="AN951" s="199"/>
      <c r="AO951" s="199"/>
      <c r="AP951" s="199"/>
      <c r="AQ951" s="199"/>
      <c r="AR951" s="136"/>
      <c r="AS951" s="199"/>
      <c r="AT951" s="199"/>
      <c r="AU951" s="199"/>
      <c r="AV951" s="199"/>
      <c r="AW951" s="136"/>
      <c r="AX951" s="199"/>
      <c r="AY951" s="199"/>
      <c r="AZ951" s="199"/>
      <c r="BA951" s="199"/>
      <c r="BB951" s="136"/>
      <c r="BC951" s="199"/>
      <c r="BD951" s="199"/>
      <c r="BE951" s="199"/>
      <c r="BF951" s="199"/>
      <c r="BG951" s="136"/>
      <c r="BH951" s="199"/>
      <c r="BI951" s="199"/>
      <c r="BJ951" s="199"/>
    </row>
    <row r="952" spans="1:62" x14ac:dyDescent="0.25">
      <c r="A952" s="199"/>
      <c r="B952" s="136"/>
      <c r="C952" s="199"/>
      <c r="D952" s="199"/>
      <c r="E952" s="199"/>
      <c r="F952" s="199"/>
      <c r="G952" s="199"/>
      <c r="H952" s="199"/>
      <c r="I952" s="136"/>
      <c r="J952" s="199"/>
      <c r="K952" s="199"/>
      <c r="L952" s="199"/>
      <c r="M952" s="199"/>
      <c r="N952" s="136"/>
      <c r="O952" s="199"/>
      <c r="P952" s="199"/>
      <c r="Q952" s="199"/>
      <c r="R952" s="199"/>
      <c r="S952" s="136"/>
      <c r="T952" s="199"/>
      <c r="U952" s="199"/>
      <c r="V952" s="199"/>
      <c r="W952" s="199"/>
      <c r="X952" s="136"/>
      <c r="Y952" s="199"/>
      <c r="Z952" s="199"/>
      <c r="AA952" s="199"/>
      <c r="AB952" s="199"/>
      <c r="AC952" s="136"/>
      <c r="AD952" s="199"/>
      <c r="AE952" s="199"/>
      <c r="AF952" s="199"/>
      <c r="AG952" s="199"/>
      <c r="AH952" s="136"/>
      <c r="AI952" s="199"/>
      <c r="AJ952" s="199"/>
      <c r="AK952" s="199"/>
      <c r="AL952" s="199"/>
      <c r="AM952" s="136"/>
      <c r="AN952" s="199"/>
      <c r="AO952" s="199"/>
      <c r="AP952" s="199"/>
      <c r="AQ952" s="199"/>
      <c r="AR952" s="136"/>
      <c r="AS952" s="199"/>
      <c r="AT952" s="199"/>
      <c r="AU952" s="199"/>
      <c r="AV952" s="199"/>
      <c r="AW952" s="136"/>
      <c r="AX952" s="199"/>
      <c r="AY952" s="199"/>
      <c r="AZ952" s="199"/>
      <c r="BA952" s="199"/>
      <c r="BB952" s="136"/>
      <c r="BC952" s="199"/>
      <c r="BD952" s="199"/>
      <c r="BE952" s="199"/>
      <c r="BF952" s="199"/>
      <c r="BG952" s="136"/>
      <c r="BH952" s="199"/>
      <c r="BI952" s="199"/>
      <c r="BJ952" s="199"/>
    </row>
    <row r="953" spans="1:62" x14ac:dyDescent="0.25">
      <c r="A953" s="199"/>
      <c r="B953" s="136"/>
      <c r="C953" s="199"/>
      <c r="D953" s="199"/>
      <c r="E953" s="199"/>
      <c r="F953" s="199"/>
      <c r="G953" s="199"/>
      <c r="H953" s="199"/>
      <c r="I953" s="136"/>
      <c r="J953" s="199"/>
      <c r="K953" s="199"/>
      <c r="L953" s="199"/>
      <c r="M953" s="199"/>
      <c r="N953" s="136"/>
      <c r="O953" s="199"/>
      <c r="P953" s="199"/>
      <c r="Q953" s="199"/>
      <c r="R953" s="199"/>
      <c r="S953" s="136"/>
      <c r="T953" s="199"/>
      <c r="U953" s="199"/>
      <c r="V953" s="199"/>
      <c r="W953" s="199"/>
      <c r="X953" s="136"/>
      <c r="Y953" s="199"/>
      <c r="Z953" s="199"/>
      <c r="AA953" s="199"/>
      <c r="AB953" s="199"/>
      <c r="AC953" s="136"/>
      <c r="AD953" s="199"/>
      <c r="AE953" s="199"/>
      <c r="AF953" s="199"/>
      <c r="AG953" s="199"/>
      <c r="AH953" s="136"/>
      <c r="AI953" s="199"/>
      <c r="AJ953" s="199"/>
      <c r="AK953" s="199"/>
      <c r="AL953" s="199"/>
      <c r="AM953" s="136"/>
      <c r="AN953" s="199"/>
      <c r="AO953" s="199"/>
      <c r="AP953" s="199"/>
      <c r="AQ953" s="199"/>
      <c r="AR953" s="136"/>
      <c r="AS953" s="199"/>
      <c r="AT953" s="199"/>
      <c r="AU953" s="199"/>
      <c r="AV953" s="199"/>
      <c r="AW953" s="136"/>
      <c r="AX953" s="199"/>
      <c r="AY953" s="199"/>
      <c r="AZ953" s="199"/>
      <c r="BA953" s="199"/>
      <c r="BB953" s="136"/>
      <c r="BC953" s="199"/>
      <c r="BD953" s="199"/>
      <c r="BE953" s="199"/>
      <c r="BF953" s="199"/>
      <c r="BG953" s="136"/>
      <c r="BH953" s="199"/>
      <c r="BI953" s="199"/>
      <c r="BJ953" s="199"/>
    </row>
    <row r="954" spans="1:62" x14ac:dyDescent="0.25">
      <c r="A954" s="199"/>
      <c r="B954" s="136"/>
      <c r="C954" s="199"/>
      <c r="D954" s="199"/>
      <c r="E954" s="199"/>
      <c r="F954" s="199"/>
      <c r="G954" s="199"/>
      <c r="H954" s="199"/>
      <c r="I954" s="136"/>
      <c r="J954" s="199"/>
      <c r="K954" s="199"/>
      <c r="L954" s="199"/>
      <c r="M954" s="199"/>
      <c r="N954" s="136"/>
      <c r="O954" s="199"/>
      <c r="P954" s="199"/>
      <c r="Q954" s="199"/>
      <c r="R954" s="199"/>
      <c r="S954" s="136"/>
      <c r="T954" s="199"/>
      <c r="U954" s="199"/>
      <c r="V954" s="199"/>
      <c r="W954" s="199"/>
      <c r="X954" s="136"/>
      <c r="Y954" s="199"/>
      <c r="Z954" s="199"/>
      <c r="AA954" s="199"/>
      <c r="AB954" s="199"/>
      <c r="AC954" s="136"/>
      <c r="AD954" s="199"/>
      <c r="AE954" s="199"/>
      <c r="AF954" s="199"/>
      <c r="AG954" s="199"/>
      <c r="AH954" s="136"/>
      <c r="AI954" s="199"/>
      <c r="AJ954" s="199"/>
      <c r="AK954" s="199"/>
      <c r="AL954" s="199"/>
      <c r="AM954" s="136"/>
      <c r="AN954" s="199"/>
      <c r="AO954" s="199"/>
      <c r="AP954" s="199"/>
      <c r="AQ954" s="199"/>
      <c r="AR954" s="136"/>
      <c r="AS954" s="199"/>
      <c r="AT954" s="199"/>
      <c r="AU954" s="199"/>
      <c r="AV954" s="199"/>
      <c r="AW954" s="136"/>
      <c r="AX954" s="199"/>
      <c r="AY954" s="199"/>
      <c r="AZ954" s="199"/>
      <c r="BA954" s="199"/>
      <c r="BB954" s="136"/>
      <c r="BC954" s="199"/>
      <c r="BD954" s="199"/>
      <c r="BE954" s="199"/>
      <c r="BF954" s="199"/>
      <c r="BG954" s="136"/>
      <c r="BH954" s="199"/>
      <c r="BI954" s="199"/>
      <c r="BJ954" s="199"/>
    </row>
    <row r="955" spans="1:62" x14ac:dyDescent="0.25">
      <c r="A955" s="199"/>
      <c r="B955" s="136"/>
      <c r="C955" s="199"/>
      <c r="D955" s="199"/>
      <c r="E955" s="199"/>
      <c r="F955" s="199"/>
      <c r="G955" s="199"/>
      <c r="H955" s="199"/>
      <c r="I955" s="136"/>
      <c r="J955" s="199"/>
      <c r="K955" s="199"/>
      <c r="L955" s="199"/>
      <c r="M955" s="199"/>
      <c r="N955" s="136"/>
      <c r="O955" s="199"/>
      <c r="P955" s="199"/>
      <c r="Q955" s="199"/>
      <c r="R955" s="199"/>
      <c r="S955" s="136"/>
      <c r="T955" s="199"/>
      <c r="U955" s="199"/>
      <c r="V955" s="199"/>
      <c r="W955" s="199"/>
      <c r="X955" s="136"/>
      <c r="Y955" s="199"/>
      <c r="Z955" s="199"/>
      <c r="AA955" s="199"/>
      <c r="AB955" s="199"/>
      <c r="AC955" s="136"/>
      <c r="AD955" s="199"/>
      <c r="AE955" s="199"/>
      <c r="AF955" s="199"/>
      <c r="AG955" s="199"/>
      <c r="AH955" s="136"/>
      <c r="AI955" s="199"/>
      <c r="AJ955" s="199"/>
      <c r="AK955" s="199"/>
      <c r="AL955" s="199"/>
      <c r="AM955" s="136"/>
      <c r="AN955" s="199"/>
      <c r="AO955" s="199"/>
      <c r="AP955" s="199"/>
      <c r="AQ955" s="199"/>
      <c r="AR955" s="136"/>
      <c r="AS955" s="199"/>
      <c r="AT955" s="199"/>
      <c r="AU955" s="199"/>
      <c r="AV955" s="199"/>
      <c r="AW955" s="136"/>
      <c r="AX955" s="199"/>
      <c r="AY955" s="199"/>
      <c r="AZ955" s="199"/>
      <c r="BA955" s="199"/>
      <c r="BB955" s="136"/>
      <c r="BC955" s="199"/>
      <c r="BD955" s="199"/>
      <c r="BE955" s="199"/>
      <c r="BF955" s="199"/>
      <c r="BG955" s="136"/>
      <c r="BH955" s="199"/>
      <c r="BI955" s="199"/>
      <c r="BJ955" s="199"/>
    </row>
    <row r="959" spans="1:62" ht="36" x14ac:dyDescent="0.25">
      <c r="A959" s="169"/>
      <c r="B959" s="107"/>
      <c r="C959" s="107"/>
      <c r="D959" s="107"/>
      <c r="E959" s="107"/>
      <c r="F959" s="107"/>
      <c r="G959" s="107"/>
      <c r="H959" s="107"/>
      <c r="I959" s="107"/>
      <c r="J959" s="107"/>
      <c r="K959" s="107"/>
      <c r="L959" s="107"/>
      <c r="M959" s="107"/>
      <c r="N959" s="107"/>
      <c r="O959" s="107"/>
      <c r="P959" s="107"/>
      <c r="Q959" s="107"/>
      <c r="R959" s="107"/>
      <c r="S959" s="107"/>
      <c r="T959" s="107"/>
      <c r="U959" s="107"/>
      <c r="V959" s="107"/>
      <c r="W959" s="107"/>
      <c r="X959" s="107"/>
      <c r="Y959" s="107"/>
      <c r="Z959" s="107"/>
      <c r="AA959" s="107"/>
      <c r="AB959" s="107"/>
      <c r="AC959" s="107"/>
      <c r="AD959" s="107"/>
      <c r="AE959" s="107"/>
      <c r="AF959" s="107"/>
      <c r="AG959" s="107"/>
      <c r="AH959" s="107"/>
      <c r="AI959" s="107"/>
      <c r="AJ959" s="107"/>
      <c r="AK959" s="107"/>
      <c r="AL959" s="107"/>
      <c r="AM959" s="107"/>
      <c r="AN959" s="107"/>
      <c r="AO959" s="107"/>
      <c r="AP959" s="107"/>
      <c r="AQ959" s="107"/>
      <c r="AR959" s="107"/>
      <c r="AS959" s="107"/>
      <c r="AT959" s="107"/>
      <c r="AU959" s="107"/>
      <c r="AV959" s="107"/>
      <c r="AW959" s="107"/>
      <c r="AX959" s="107"/>
      <c r="AY959" s="107"/>
      <c r="AZ959" s="107"/>
      <c r="BA959" s="107"/>
      <c r="BB959" s="107"/>
      <c r="BC959" s="107"/>
      <c r="BD959" s="107"/>
      <c r="BE959" s="107"/>
      <c r="BF959" s="107"/>
      <c r="BG959" s="107"/>
      <c r="BH959" s="107"/>
      <c r="BI959" s="107"/>
      <c r="BJ959" s="107"/>
    </row>
    <row r="960" spans="1:62" x14ac:dyDescent="0.25">
      <c r="A960" s="107"/>
      <c r="B960" s="107"/>
      <c r="C960" s="107"/>
      <c r="D960" s="107"/>
      <c r="E960" s="107"/>
      <c r="F960" s="107"/>
      <c r="G960" s="107"/>
      <c r="H960" s="107"/>
      <c r="I960" s="107"/>
      <c r="J960" s="107"/>
      <c r="K960" s="107"/>
      <c r="L960" s="107"/>
      <c r="M960" s="107"/>
      <c r="N960" s="107"/>
      <c r="O960" s="107"/>
      <c r="P960" s="107"/>
      <c r="Q960" s="107"/>
      <c r="R960" s="107"/>
      <c r="S960" s="107"/>
      <c r="T960" s="107"/>
      <c r="U960" s="107"/>
      <c r="V960" s="107"/>
      <c r="W960" s="107"/>
      <c r="X960" s="107"/>
      <c r="Y960" s="107"/>
      <c r="Z960" s="107"/>
      <c r="AA960" s="107"/>
      <c r="AB960" s="107"/>
      <c r="AC960" s="107"/>
      <c r="AD960" s="107"/>
      <c r="AE960" s="107"/>
      <c r="AF960" s="107"/>
      <c r="AG960" s="107"/>
      <c r="AH960" s="107"/>
      <c r="AI960" s="107"/>
      <c r="AJ960" s="107"/>
      <c r="AK960" s="107"/>
      <c r="AL960" s="107"/>
      <c r="AM960" s="107"/>
      <c r="AN960" s="107"/>
      <c r="AO960" s="107"/>
      <c r="AP960" s="107"/>
      <c r="AQ960" s="107"/>
      <c r="AR960" s="107"/>
      <c r="AS960" s="107"/>
      <c r="AT960" s="107"/>
      <c r="AU960" s="107"/>
      <c r="AV960" s="107"/>
      <c r="AW960" s="107"/>
      <c r="AX960" s="107"/>
      <c r="AY960" s="107"/>
      <c r="AZ960" s="107"/>
      <c r="BA960" s="107"/>
      <c r="BB960" s="107"/>
      <c r="BC960" s="107"/>
      <c r="BD960" s="107"/>
      <c r="BE960" s="107"/>
      <c r="BF960" s="107"/>
      <c r="BG960" s="107"/>
      <c r="BH960" s="107"/>
      <c r="BI960" s="107"/>
      <c r="BJ960" s="107"/>
    </row>
    <row r="961" spans="1:62" x14ac:dyDescent="0.25">
      <c r="A961" s="107"/>
      <c r="B961" s="107"/>
      <c r="C961" s="107"/>
      <c r="D961" s="107"/>
      <c r="E961" s="107"/>
      <c r="F961" s="107"/>
      <c r="G961" s="107"/>
      <c r="H961" s="107"/>
      <c r="I961" s="107"/>
      <c r="J961" s="107"/>
      <c r="K961" s="107"/>
      <c r="L961" s="107"/>
      <c r="M961" s="107"/>
      <c r="N961" s="107"/>
      <c r="O961" s="107"/>
      <c r="P961" s="107"/>
      <c r="Q961" s="107"/>
      <c r="R961" s="107"/>
      <c r="S961" s="107"/>
      <c r="T961" s="107"/>
      <c r="U961" s="107"/>
      <c r="V961" s="107"/>
      <c r="W961" s="107"/>
      <c r="X961" s="107"/>
      <c r="Y961" s="107"/>
      <c r="Z961" s="107"/>
      <c r="AA961" s="107"/>
      <c r="AB961" s="107"/>
      <c r="AC961" s="107"/>
      <c r="AD961" s="107"/>
      <c r="AE961" s="107"/>
      <c r="AF961" s="107"/>
      <c r="AG961" s="107"/>
      <c r="AH961" s="107"/>
      <c r="AI961" s="107"/>
      <c r="AJ961" s="107"/>
      <c r="AK961" s="107"/>
      <c r="AL961" s="107"/>
      <c r="AM961" s="107"/>
      <c r="AN961" s="107"/>
      <c r="AO961" s="107"/>
      <c r="AP961" s="107"/>
      <c r="AQ961" s="107"/>
      <c r="AR961" s="107"/>
      <c r="AS961" s="107"/>
      <c r="AT961" s="107"/>
      <c r="AU961" s="107"/>
      <c r="AV961" s="107"/>
      <c r="AW961" s="107"/>
      <c r="AX961" s="107"/>
      <c r="AY961" s="107"/>
      <c r="AZ961" s="107"/>
      <c r="BA961" s="107"/>
      <c r="BB961" s="107"/>
      <c r="BC961" s="107"/>
      <c r="BD961" s="107"/>
      <c r="BE961" s="107"/>
      <c r="BF961" s="107"/>
      <c r="BG961" s="107"/>
      <c r="BH961" s="107"/>
      <c r="BI961" s="107"/>
      <c r="BJ961" s="107"/>
    </row>
    <row r="962" spans="1:62" ht="36" x14ac:dyDescent="0.25">
      <c r="A962" s="169"/>
      <c r="B962" s="169"/>
      <c r="C962" s="169"/>
      <c r="D962" s="169"/>
      <c r="E962" s="169"/>
      <c r="F962" s="169"/>
      <c r="G962" s="169"/>
      <c r="H962" s="169"/>
      <c r="I962" s="169"/>
      <c r="J962" s="169"/>
      <c r="K962" s="169"/>
      <c r="L962" s="169"/>
      <c r="M962" s="169"/>
      <c r="N962" s="169"/>
      <c r="O962" s="169"/>
      <c r="P962" s="169"/>
      <c r="Q962" s="169"/>
      <c r="R962" s="169"/>
      <c r="S962" s="169"/>
      <c r="T962" s="169"/>
      <c r="U962" s="169"/>
      <c r="V962" s="169"/>
      <c r="W962" s="169"/>
      <c r="X962" s="169"/>
      <c r="Y962" s="169"/>
      <c r="Z962" s="169"/>
      <c r="AA962" s="169"/>
      <c r="AB962" s="169"/>
      <c r="AC962" s="169"/>
      <c r="AD962" s="169"/>
      <c r="AE962" s="169"/>
      <c r="AF962" s="169"/>
      <c r="AG962" s="169"/>
      <c r="AH962" s="169"/>
      <c r="AI962" s="169"/>
      <c r="AJ962" s="169"/>
      <c r="AK962" s="169"/>
      <c r="AL962" s="169"/>
      <c r="AM962" s="169"/>
      <c r="AN962" s="169"/>
      <c r="AO962" s="169"/>
      <c r="AP962" s="169"/>
      <c r="AQ962" s="169"/>
      <c r="AR962" s="169"/>
      <c r="AS962" s="169"/>
      <c r="AT962" s="169"/>
      <c r="AU962" s="169"/>
      <c r="AV962" s="169"/>
      <c r="AW962" s="169"/>
      <c r="AX962" s="169"/>
      <c r="AY962" s="169"/>
      <c r="AZ962" s="169"/>
      <c r="BA962" s="169"/>
      <c r="BB962" s="169"/>
      <c r="BC962" s="169"/>
      <c r="BD962" s="169"/>
      <c r="BE962" s="169"/>
      <c r="BF962" s="169"/>
      <c r="BG962" s="169"/>
      <c r="BH962" s="169"/>
      <c r="BI962" s="169"/>
      <c r="BJ962" s="169"/>
    </row>
    <row r="963" spans="1:62" ht="36" x14ac:dyDescent="0.25">
      <c r="A963" s="169"/>
      <c r="B963" s="169"/>
      <c r="C963" s="169"/>
      <c r="D963" s="169"/>
      <c r="E963" s="169"/>
      <c r="F963" s="169"/>
      <c r="G963" s="169"/>
      <c r="H963" s="169"/>
      <c r="I963" s="169"/>
      <c r="J963" s="169"/>
      <c r="K963" s="169"/>
      <c r="L963" s="169"/>
      <c r="M963" s="169"/>
      <c r="N963" s="169"/>
      <c r="O963" s="169"/>
      <c r="P963" s="169"/>
      <c r="Q963" s="169"/>
      <c r="R963" s="169"/>
      <c r="S963" s="169"/>
      <c r="T963" s="169"/>
      <c r="U963" s="169"/>
      <c r="V963" s="169"/>
      <c r="W963" s="169"/>
      <c r="X963" s="169"/>
      <c r="Y963" s="169"/>
      <c r="Z963" s="169"/>
      <c r="AA963" s="169"/>
      <c r="AB963" s="169"/>
      <c r="AC963" s="169"/>
      <c r="AD963" s="169"/>
      <c r="AE963" s="169"/>
      <c r="AF963" s="169"/>
      <c r="AG963" s="169"/>
      <c r="AH963" s="169"/>
      <c r="AI963" s="169"/>
      <c r="AJ963" s="169"/>
      <c r="AK963" s="169"/>
      <c r="AL963" s="169"/>
      <c r="AM963" s="169"/>
      <c r="AN963" s="169"/>
      <c r="AO963" s="169"/>
      <c r="AP963" s="169"/>
      <c r="AQ963" s="169"/>
      <c r="AR963" s="169"/>
      <c r="AS963" s="169"/>
      <c r="AT963" s="169"/>
      <c r="AU963" s="169"/>
      <c r="AV963" s="169"/>
      <c r="AW963" s="169"/>
      <c r="AX963" s="169"/>
      <c r="AY963" s="169"/>
      <c r="AZ963" s="169"/>
      <c r="BA963" s="169"/>
      <c r="BB963" s="169"/>
      <c r="BC963" s="169"/>
      <c r="BD963" s="169"/>
      <c r="BE963" s="169"/>
      <c r="BF963" s="169"/>
      <c r="BG963" s="169"/>
      <c r="BH963" s="169"/>
      <c r="BI963" s="169"/>
      <c r="BJ963" s="169"/>
    </row>
    <row r="964" spans="1:62" ht="36" x14ac:dyDescent="0.25">
      <c r="A964" s="169"/>
      <c r="B964" s="169"/>
      <c r="C964" s="169"/>
      <c r="D964" s="169"/>
      <c r="E964" s="169"/>
      <c r="F964" s="169"/>
      <c r="G964" s="169"/>
      <c r="H964" s="169"/>
      <c r="I964" s="169"/>
      <c r="J964" s="169"/>
      <c r="K964" s="169"/>
      <c r="L964" s="169"/>
      <c r="M964" s="169"/>
      <c r="N964" s="169"/>
      <c r="O964" s="169"/>
      <c r="P964" s="169"/>
      <c r="Q964" s="169"/>
      <c r="R964" s="169"/>
      <c r="S964" s="169"/>
      <c r="T964" s="169"/>
      <c r="U964" s="169"/>
      <c r="V964" s="169"/>
      <c r="W964" s="169"/>
      <c r="X964" s="169"/>
      <c r="Y964" s="169"/>
      <c r="Z964" s="169"/>
      <c r="AA964" s="169"/>
      <c r="AB964" s="169"/>
      <c r="AC964" s="169"/>
      <c r="AD964" s="169"/>
      <c r="AE964" s="169"/>
      <c r="AF964" s="169"/>
      <c r="AG964" s="169"/>
      <c r="AH964" s="169"/>
      <c r="AI964" s="169"/>
      <c r="AJ964" s="169"/>
      <c r="AK964" s="169"/>
      <c r="AL964" s="169"/>
      <c r="AM964" s="169"/>
      <c r="AN964" s="169"/>
      <c r="AO964" s="169"/>
      <c r="AP964" s="169"/>
      <c r="AQ964" s="169"/>
      <c r="AR964" s="169"/>
      <c r="AS964" s="169"/>
      <c r="AT964" s="169"/>
      <c r="AU964" s="169"/>
      <c r="AV964" s="169"/>
      <c r="AW964" s="169"/>
      <c r="AX964" s="169"/>
      <c r="AY964" s="169"/>
      <c r="AZ964" s="169"/>
      <c r="BA964" s="169"/>
      <c r="BB964" s="169"/>
      <c r="BC964" s="169"/>
      <c r="BD964" s="169"/>
      <c r="BE964" s="169"/>
      <c r="BF964" s="169"/>
      <c r="BG964" s="169"/>
      <c r="BH964" s="169"/>
      <c r="BI964" s="169"/>
      <c r="BJ964" s="169"/>
    </row>
    <row r="965" spans="1:62" x14ac:dyDescent="0.25">
      <c r="F965" s="194"/>
      <c r="G965" s="194"/>
    </row>
    <row r="967" spans="1:62" x14ac:dyDescent="0.25">
      <c r="A967" s="199"/>
      <c r="B967" s="136"/>
      <c r="C967" s="199"/>
      <c r="D967" s="199"/>
      <c r="E967" s="199"/>
      <c r="F967" s="199"/>
      <c r="G967" s="199"/>
      <c r="H967" s="199"/>
      <c r="I967" s="136"/>
      <c r="J967" s="199"/>
      <c r="K967" s="199"/>
      <c r="L967" s="199"/>
      <c r="M967" s="199"/>
      <c r="N967" s="136"/>
      <c r="O967" s="199"/>
      <c r="P967" s="199"/>
      <c r="Q967" s="199"/>
      <c r="R967" s="199"/>
      <c r="S967" s="136"/>
      <c r="T967" s="199"/>
      <c r="U967" s="199"/>
      <c r="V967" s="199"/>
      <c r="W967" s="199"/>
      <c r="X967" s="136"/>
      <c r="Y967" s="199"/>
      <c r="Z967" s="199"/>
      <c r="AA967" s="199"/>
      <c r="AB967" s="199"/>
      <c r="AC967" s="136"/>
      <c r="AD967" s="199"/>
      <c r="AE967" s="199"/>
      <c r="AF967" s="199"/>
      <c r="AG967" s="199"/>
      <c r="AH967" s="136"/>
      <c r="AI967" s="199"/>
      <c r="AJ967" s="199"/>
      <c r="AK967" s="199"/>
      <c r="AL967" s="199"/>
      <c r="AM967" s="136"/>
      <c r="AN967" s="199"/>
      <c r="AO967" s="199"/>
      <c r="AP967" s="199"/>
      <c r="AQ967" s="199"/>
      <c r="AR967" s="136"/>
      <c r="AS967" s="199"/>
      <c r="AT967" s="199"/>
      <c r="AU967" s="199"/>
      <c r="AV967" s="199"/>
      <c r="AW967" s="136"/>
      <c r="AX967" s="199"/>
      <c r="AY967" s="199"/>
      <c r="AZ967" s="199"/>
      <c r="BA967" s="199"/>
      <c r="BB967" s="136"/>
      <c r="BC967" s="199"/>
      <c r="BD967" s="199"/>
      <c r="BE967" s="199"/>
      <c r="BF967" s="199"/>
      <c r="BG967" s="136"/>
      <c r="BH967" s="199"/>
      <c r="BI967" s="199"/>
      <c r="BJ967" s="199"/>
    </row>
    <row r="968" spans="1:62" x14ac:dyDescent="0.25">
      <c r="A968" s="199"/>
      <c r="B968" s="136"/>
      <c r="C968" s="199"/>
      <c r="D968" s="199"/>
      <c r="E968" s="199"/>
      <c r="F968" s="199"/>
      <c r="G968" s="199"/>
      <c r="H968" s="199"/>
      <c r="I968" s="136"/>
      <c r="J968" s="199"/>
      <c r="K968" s="199"/>
      <c r="L968" s="199"/>
      <c r="M968" s="199"/>
      <c r="N968" s="136"/>
      <c r="O968" s="199"/>
      <c r="P968" s="199"/>
      <c r="Q968" s="199"/>
      <c r="R968" s="199"/>
      <c r="S968" s="136"/>
      <c r="T968" s="199"/>
      <c r="U968" s="199"/>
      <c r="V968" s="199"/>
      <c r="W968" s="199"/>
      <c r="X968" s="136"/>
      <c r="Y968" s="199"/>
      <c r="Z968" s="199"/>
      <c r="AA968" s="199"/>
      <c r="AB968" s="199"/>
      <c r="AC968" s="136"/>
      <c r="AD968" s="199"/>
      <c r="AE968" s="199"/>
      <c r="AF968" s="199"/>
      <c r="AG968" s="199"/>
      <c r="AH968" s="136"/>
      <c r="AI968" s="199"/>
      <c r="AJ968" s="199"/>
      <c r="AK968" s="199"/>
      <c r="AL968" s="199"/>
      <c r="AM968" s="136"/>
      <c r="AN968" s="199"/>
      <c r="AO968" s="199"/>
      <c r="AP968" s="199"/>
      <c r="AQ968" s="199"/>
      <c r="AR968" s="136"/>
      <c r="AS968" s="199"/>
      <c r="AT968" s="199"/>
      <c r="AU968" s="199"/>
      <c r="AV968" s="199"/>
      <c r="AW968" s="136"/>
      <c r="AX968" s="199"/>
      <c r="AY968" s="199"/>
      <c r="AZ968" s="199"/>
      <c r="BA968" s="199"/>
      <c r="BB968" s="136"/>
      <c r="BC968" s="199"/>
      <c r="BD968" s="199"/>
      <c r="BE968" s="199"/>
      <c r="BF968" s="199"/>
      <c r="BG968" s="136"/>
      <c r="BH968" s="199"/>
      <c r="BI968" s="199"/>
      <c r="BJ968" s="199"/>
    </row>
    <row r="969" spans="1:62" x14ac:dyDescent="0.25">
      <c r="A969" s="199"/>
      <c r="B969" s="136"/>
      <c r="C969" s="199"/>
      <c r="D969" s="199"/>
      <c r="E969" s="199"/>
      <c r="F969" s="199"/>
      <c r="G969" s="199"/>
      <c r="H969" s="199"/>
      <c r="I969" s="136"/>
      <c r="J969" s="199"/>
      <c r="K969" s="199"/>
      <c r="L969" s="199"/>
      <c r="M969" s="199"/>
      <c r="N969" s="136"/>
      <c r="O969" s="199"/>
      <c r="P969" s="199"/>
      <c r="Q969" s="199"/>
      <c r="R969" s="199"/>
      <c r="S969" s="136"/>
      <c r="T969" s="199"/>
      <c r="U969" s="199"/>
      <c r="V969" s="199"/>
      <c r="W969" s="199"/>
      <c r="X969" s="136"/>
      <c r="Y969" s="199"/>
      <c r="Z969" s="199"/>
      <c r="AA969" s="199"/>
      <c r="AB969" s="199"/>
      <c r="AC969" s="136"/>
      <c r="AD969" s="199"/>
      <c r="AE969" s="199"/>
      <c r="AF969" s="199"/>
      <c r="AG969" s="199"/>
      <c r="AH969" s="136"/>
      <c r="AI969" s="199"/>
      <c r="AJ969" s="199"/>
      <c r="AK969" s="199"/>
      <c r="AL969" s="199"/>
      <c r="AM969" s="136"/>
      <c r="AN969" s="199"/>
      <c r="AO969" s="199"/>
      <c r="AP969" s="199"/>
      <c r="AQ969" s="199"/>
      <c r="AR969" s="136"/>
      <c r="AS969" s="199"/>
      <c r="AT969" s="199"/>
      <c r="AU969" s="199"/>
      <c r="AV969" s="199"/>
      <c r="AW969" s="136"/>
      <c r="AX969" s="199"/>
      <c r="AY969" s="199"/>
      <c r="AZ969" s="199"/>
      <c r="BA969" s="199"/>
      <c r="BB969" s="136"/>
      <c r="BC969" s="199"/>
      <c r="BD969" s="199"/>
      <c r="BE969" s="199"/>
      <c r="BF969" s="199"/>
      <c r="BG969" s="136"/>
      <c r="BH969" s="199"/>
      <c r="BI969" s="199"/>
      <c r="BJ969" s="199"/>
    </row>
    <row r="970" spans="1:62" x14ac:dyDescent="0.25">
      <c r="A970" s="199"/>
      <c r="B970" s="136"/>
      <c r="C970" s="199"/>
      <c r="D970" s="199"/>
      <c r="E970" s="199"/>
      <c r="F970" s="199"/>
      <c r="G970" s="199"/>
      <c r="H970" s="199"/>
      <c r="I970" s="136"/>
      <c r="J970" s="199"/>
      <c r="K970" s="199"/>
      <c r="L970" s="199"/>
      <c r="M970" s="199"/>
      <c r="N970" s="136"/>
      <c r="O970" s="199"/>
      <c r="P970" s="199"/>
      <c r="Q970" s="199"/>
      <c r="R970" s="199"/>
      <c r="S970" s="136"/>
      <c r="T970" s="199"/>
      <c r="U970" s="199"/>
      <c r="V970" s="199"/>
      <c r="W970" s="199"/>
      <c r="X970" s="136"/>
      <c r="Y970" s="199"/>
      <c r="Z970" s="199"/>
      <c r="AA970" s="199"/>
      <c r="AB970" s="199"/>
      <c r="AC970" s="136"/>
      <c r="AD970" s="199"/>
      <c r="AE970" s="199"/>
      <c r="AF970" s="199"/>
      <c r="AG970" s="199"/>
      <c r="AH970" s="136"/>
      <c r="AI970" s="199"/>
      <c r="AJ970" s="199"/>
      <c r="AK970" s="199"/>
      <c r="AL970" s="199"/>
      <c r="AM970" s="136"/>
      <c r="AN970" s="199"/>
      <c r="AO970" s="199"/>
      <c r="AP970" s="199"/>
      <c r="AQ970" s="199"/>
      <c r="AR970" s="136"/>
      <c r="AS970" s="199"/>
      <c r="AT970" s="199"/>
      <c r="AU970" s="199"/>
      <c r="AV970" s="199"/>
      <c r="AW970" s="136"/>
      <c r="AX970" s="199"/>
      <c r="AY970" s="199"/>
      <c r="AZ970" s="199"/>
      <c r="BA970" s="199"/>
      <c r="BB970" s="136"/>
      <c r="BC970" s="199"/>
      <c r="BD970" s="199"/>
      <c r="BE970" s="199"/>
      <c r="BF970" s="199"/>
      <c r="BG970" s="136"/>
      <c r="BH970" s="199"/>
      <c r="BI970" s="199"/>
      <c r="BJ970" s="199"/>
    </row>
    <row r="971" spans="1:62" x14ac:dyDescent="0.25">
      <c r="A971" s="199"/>
      <c r="B971" s="136"/>
      <c r="C971" s="199"/>
      <c r="D971" s="199"/>
      <c r="E971" s="199"/>
      <c r="F971" s="199"/>
      <c r="G971" s="199"/>
      <c r="H971" s="199"/>
      <c r="I971" s="136"/>
      <c r="J971" s="199"/>
      <c r="K971" s="199"/>
      <c r="L971" s="199"/>
      <c r="M971" s="199"/>
      <c r="N971" s="136"/>
      <c r="O971" s="199"/>
      <c r="P971" s="199"/>
      <c r="Q971" s="199"/>
      <c r="R971" s="199"/>
      <c r="S971" s="136"/>
      <c r="T971" s="199"/>
      <c r="U971" s="199"/>
      <c r="V971" s="199"/>
      <c r="W971" s="199"/>
      <c r="X971" s="136"/>
      <c r="Y971" s="199"/>
      <c r="Z971" s="199"/>
      <c r="AA971" s="199"/>
      <c r="AB971" s="199"/>
      <c r="AC971" s="136"/>
      <c r="AD971" s="199"/>
      <c r="AE971" s="199"/>
      <c r="AF971" s="199"/>
      <c r="AG971" s="199"/>
      <c r="AH971" s="136"/>
      <c r="AI971" s="199"/>
      <c r="AJ971" s="199"/>
      <c r="AK971" s="199"/>
      <c r="AL971" s="199"/>
      <c r="AM971" s="136"/>
      <c r="AN971" s="199"/>
      <c r="AO971" s="199"/>
      <c r="AP971" s="199"/>
      <c r="AQ971" s="199"/>
      <c r="AR971" s="136"/>
      <c r="AS971" s="199"/>
      <c r="AT971" s="199"/>
      <c r="AU971" s="199"/>
      <c r="AV971" s="199"/>
      <c r="AW971" s="136"/>
      <c r="AX971" s="199"/>
      <c r="AY971" s="199"/>
      <c r="AZ971" s="199"/>
      <c r="BA971" s="199"/>
      <c r="BB971" s="136"/>
      <c r="BC971" s="199"/>
      <c r="BD971" s="199"/>
      <c r="BE971" s="199"/>
      <c r="BF971" s="199"/>
      <c r="BG971" s="136"/>
      <c r="BH971" s="199"/>
      <c r="BI971" s="199"/>
      <c r="BJ971" s="199"/>
    </row>
    <row r="972" spans="1:62" x14ac:dyDescent="0.25">
      <c r="A972" s="199"/>
      <c r="B972" s="136"/>
      <c r="C972" s="199"/>
      <c r="D972" s="199"/>
      <c r="E972" s="199"/>
      <c r="F972" s="199"/>
      <c r="G972" s="199"/>
      <c r="H972" s="199"/>
      <c r="I972" s="136"/>
      <c r="J972" s="199"/>
      <c r="K972" s="199"/>
      <c r="L972" s="199"/>
      <c r="M972" s="199"/>
      <c r="N972" s="136"/>
      <c r="O972" s="199"/>
      <c r="P972" s="199"/>
      <c r="Q972" s="199"/>
      <c r="R972" s="199"/>
      <c r="S972" s="136"/>
      <c r="T972" s="199"/>
      <c r="U972" s="199"/>
      <c r="V972" s="199"/>
      <c r="W972" s="199"/>
      <c r="X972" s="136"/>
      <c r="Y972" s="199"/>
      <c r="Z972" s="199"/>
      <c r="AA972" s="199"/>
      <c r="AB972" s="199"/>
      <c r="AC972" s="136"/>
      <c r="AD972" s="199"/>
      <c r="AE972" s="199"/>
      <c r="AF972" s="199"/>
      <c r="AG972" s="199"/>
      <c r="AH972" s="136"/>
      <c r="AI972" s="199"/>
      <c r="AJ972" s="199"/>
      <c r="AK972" s="199"/>
      <c r="AL972" s="199"/>
      <c r="AM972" s="136"/>
      <c r="AN972" s="199"/>
      <c r="AO972" s="199"/>
      <c r="AP972" s="199"/>
      <c r="AQ972" s="199"/>
      <c r="AR972" s="136"/>
      <c r="AS972" s="199"/>
      <c r="AT972" s="199"/>
      <c r="AU972" s="199"/>
      <c r="AV972" s="199"/>
      <c r="AW972" s="136"/>
      <c r="AX972" s="199"/>
      <c r="AY972" s="199"/>
      <c r="AZ972" s="199"/>
      <c r="BA972" s="199"/>
      <c r="BB972" s="136"/>
      <c r="BC972" s="199"/>
      <c r="BD972" s="199"/>
      <c r="BE972" s="199"/>
      <c r="BF972" s="199"/>
      <c r="BG972" s="136"/>
      <c r="BH972" s="199"/>
      <c r="BI972" s="199"/>
      <c r="BJ972" s="199"/>
    </row>
    <row r="973" spans="1:62" x14ac:dyDescent="0.25">
      <c r="A973" s="199"/>
      <c r="B973" s="136"/>
      <c r="C973" s="199"/>
      <c r="D973" s="199"/>
      <c r="E973" s="199"/>
      <c r="F973" s="199"/>
      <c r="G973" s="199"/>
      <c r="H973" s="199"/>
      <c r="I973" s="136"/>
      <c r="J973" s="199"/>
      <c r="K973" s="199"/>
      <c r="L973" s="199"/>
      <c r="M973" s="199"/>
      <c r="N973" s="136"/>
      <c r="O973" s="199"/>
      <c r="P973" s="199"/>
      <c r="Q973" s="199"/>
      <c r="R973" s="199"/>
      <c r="S973" s="136"/>
      <c r="T973" s="199"/>
      <c r="U973" s="199"/>
      <c r="V973" s="199"/>
      <c r="W973" s="199"/>
      <c r="X973" s="136"/>
      <c r="Y973" s="199"/>
      <c r="Z973" s="199"/>
      <c r="AA973" s="199"/>
      <c r="AB973" s="199"/>
      <c r="AC973" s="136"/>
      <c r="AD973" s="199"/>
      <c r="AE973" s="199"/>
      <c r="AF973" s="199"/>
      <c r="AG973" s="199"/>
      <c r="AH973" s="136"/>
      <c r="AI973" s="199"/>
      <c r="AJ973" s="199"/>
      <c r="AK973" s="199"/>
      <c r="AL973" s="199"/>
      <c r="AM973" s="136"/>
      <c r="AN973" s="199"/>
      <c r="AO973" s="199"/>
      <c r="AP973" s="199"/>
      <c r="AQ973" s="199"/>
      <c r="AR973" s="136"/>
      <c r="AS973" s="199"/>
      <c r="AT973" s="199"/>
      <c r="AU973" s="199"/>
      <c r="AV973" s="199"/>
      <c r="AW973" s="136"/>
      <c r="AX973" s="199"/>
      <c r="AY973" s="199"/>
      <c r="AZ973" s="199"/>
      <c r="BA973" s="199"/>
      <c r="BB973" s="136"/>
      <c r="BC973" s="199"/>
      <c r="BD973" s="199"/>
      <c r="BE973" s="199"/>
      <c r="BF973" s="199"/>
      <c r="BG973" s="136"/>
      <c r="BH973" s="199"/>
      <c r="BI973" s="199"/>
      <c r="BJ973" s="199"/>
    </row>
    <row r="974" spans="1:62" x14ac:dyDescent="0.25">
      <c r="A974" s="199"/>
      <c r="B974" s="136"/>
      <c r="C974" s="199"/>
      <c r="D974" s="199"/>
      <c r="E974" s="199"/>
      <c r="F974" s="199"/>
      <c r="G974" s="199"/>
      <c r="H974" s="199"/>
      <c r="I974" s="136"/>
      <c r="J974" s="199"/>
      <c r="K974" s="199"/>
      <c r="L974" s="199"/>
      <c r="M974" s="199"/>
      <c r="N974" s="136"/>
      <c r="O974" s="199"/>
      <c r="P974" s="199"/>
      <c r="Q974" s="199"/>
      <c r="R974" s="199"/>
      <c r="S974" s="136"/>
      <c r="T974" s="199"/>
      <c r="U974" s="199"/>
      <c r="V974" s="199"/>
      <c r="W974" s="199"/>
      <c r="X974" s="136"/>
      <c r="Y974" s="199"/>
      <c r="Z974" s="199"/>
      <c r="AA974" s="199"/>
      <c r="AB974" s="199"/>
      <c r="AC974" s="136"/>
      <c r="AD974" s="199"/>
      <c r="AE974" s="199"/>
      <c r="AF974" s="199"/>
      <c r="AG974" s="199"/>
      <c r="AH974" s="136"/>
      <c r="AI974" s="199"/>
      <c r="AJ974" s="199"/>
      <c r="AK974" s="199"/>
      <c r="AL974" s="199"/>
      <c r="AM974" s="136"/>
      <c r="AN974" s="199"/>
      <c r="AO974" s="199"/>
      <c r="AP974" s="199"/>
      <c r="AQ974" s="199"/>
      <c r="AR974" s="136"/>
      <c r="AS974" s="199"/>
      <c r="AT974" s="199"/>
      <c r="AU974" s="199"/>
      <c r="AV974" s="199"/>
      <c r="AW974" s="136"/>
      <c r="AX974" s="199"/>
      <c r="AY974" s="199"/>
      <c r="AZ974" s="199"/>
      <c r="BA974" s="199"/>
      <c r="BB974" s="136"/>
      <c r="BC974" s="199"/>
      <c r="BD974" s="199"/>
      <c r="BE974" s="199"/>
      <c r="BF974" s="199"/>
      <c r="BG974" s="136"/>
      <c r="BH974" s="199"/>
      <c r="BI974" s="199"/>
      <c r="BJ974" s="199"/>
    </row>
    <row r="978" spans="1:62" ht="36" x14ac:dyDescent="0.25">
      <c r="A978" s="169"/>
      <c r="B978" s="107"/>
      <c r="C978" s="107"/>
      <c r="D978" s="107"/>
      <c r="E978" s="107"/>
      <c r="F978" s="107"/>
      <c r="G978" s="107"/>
      <c r="H978" s="107"/>
      <c r="I978" s="107"/>
      <c r="J978" s="107"/>
      <c r="K978" s="107"/>
      <c r="L978" s="107"/>
      <c r="M978" s="107"/>
      <c r="N978" s="107"/>
      <c r="O978" s="107"/>
      <c r="P978" s="107"/>
      <c r="Q978" s="107"/>
      <c r="R978" s="107"/>
      <c r="S978" s="107"/>
      <c r="T978" s="107"/>
      <c r="U978" s="107"/>
      <c r="V978" s="107"/>
      <c r="W978" s="107"/>
      <c r="X978" s="107"/>
      <c r="Y978" s="107"/>
      <c r="Z978" s="107"/>
      <c r="AA978" s="107"/>
      <c r="AB978" s="107"/>
      <c r="AC978" s="107"/>
      <c r="AD978" s="107"/>
      <c r="AE978" s="107"/>
      <c r="AF978" s="107"/>
      <c r="AG978" s="107"/>
      <c r="AH978" s="107"/>
      <c r="AI978" s="107"/>
      <c r="AJ978" s="107"/>
      <c r="AK978" s="107"/>
      <c r="AL978" s="107"/>
      <c r="AM978" s="107"/>
      <c r="AN978" s="107"/>
      <c r="AO978" s="107"/>
      <c r="AP978" s="107"/>
      <c r="AQ978" s="107"/>
      <c r="AR978" s="107"/>
      <c r="AS978" s="107"/>
      <c r="AT978" s="107"/>
      <c r="AU978" s="107"/>
      <c r="AV978" s="107"/>
      <c r="AW978" s="107"/>
      <c r="AX978" s="107"/>
      <c r="AY978" s="107"/>
      <c r="AZ978" s="107"/>
      <c r="BA978" s="107"/>
      <c r="BB978" s="107"/>
      <c r="BC978" s="107"/>
      <c r="BD978" s="107"/>
      <c r="BE978" s="107"/>
      <c r="BF978" s="107"/>
      <c r="BG978" s="107"/>
      <c r="BH978" s="107"/>
      <c r="BI978" s="107"/>
      <c r="BJ978" s="107"/>
    </row>
    <row r="979" spans="1:62" x14ac:dyDescent="0.25">
      <c r="A979" s="107"/>
      <c r="B979" s="107"/>
      <c r="C979" s="107"/>
      <c r="D979" s="107"/>
      <c r="E979" s="107"/>
      <c r="F979" s="107"/>
      <c r="G979" s="107"/>
      <c r="H979" s="107"/>
      <c r="I979" s="107"/>
      <c r="J979" s="107"/>
      <c r="K979" s="107"/>
      <c r="L979" s="107"/>
      <c r="M979" s="107"/>
      <c r="N979" s="107"/>
      <c r="O979" s="107"/>
      <c r="P979" s="107"/>
      <c r="Q979" s="107"/>
      <c r="R979" s="107"/>
      <c r="S979" s="107"/>
      <c r="T979" s="107"/>
      <c r="U979" s="107"/>
      <c r="V979" s="107"/>
      <c r="W979" s="107"/>
      <c r="X979" s="107"/>
      <c r="Y979" s="107"/>
      <c r="Z979" s="107"/>
      <c r="AA979" s="107"/>
      <c r="AB979" s="107"/>
      <c r="AC979" s="107"/>
      <c r="AD979" s="107"/>
      <c r="AE979" s="107"/>
      <c r="AF979" s="107"/>
      <c r="AG979" s="107"/>
      <c r="AH979" s="107"/>
      <c r="AI979" s="107"/>
      <c r="AJ979" s="107"/>
      <c r="AK979" s="107"/>
      <c r="AL979" s="107"/>
      <c r="AM979" s="107"/>
      <c r="AN979" s="107"/>
      <c r="AO979" s="107"/>
      <c r="AP979" s="107"/>
      <c r="AQ979" s="107"/>
      <c r="AR979" s="107"/>
      <c r="AS979" s="107"/>
      <c r="AT979" s="107"/>
      <c r="AU979" s="107"/>
      <c r="AV979" s="107"/>
      <c r="AW979" s="107"/>
      <c r="AX979" s="107"/>
      <c r="AY979" s="107"/>
      <c r="AZ979" s="107"/>
      <c r="BA979" s="107"/>
      <c r="BB979" s="107"/>
      <c r="BC979" s="107"/>
      <c r="BD979" s="107"/>
      <c r="BE979" s="107"/>
      <c r="BF979" s="107"/>
      <c r="BG979" s="107"/>
      <c r="BH979" s="107"/>
      <c r="BI979" s="107"/>
      <c r="BJ979" s="107"/>
    </row>
    <row r="980" spans="1:62" x14ac:dyDescent="0.25">
      <c r="A980" s="107"/>
      <c r="B980" s="107"/>
      <c r="C980" s="107"/>
      <c r="D980" s="107"/>
      <c r="E980" s="107"/>
      <c r="F980" s="107"/>
      <c r="G980" s="107"/>
      <c r="H980" s="107"/>
      <c r="I980" s="107"/>
      <c r="J980" s="107"/>
      <c r="K980" s="107"/>
      <c r="L980" s="107"/>
      <c r="M980" s="107"/>
      <c r="N980" s="107"/>
      <c r="O980" s="107"/>
      <c r="P980" s="107"/>
      <c r="Q980" s="107"/>
      <c r="R980" s="107"/>
      <c r="S980" s="107"/>
      <c r="T980" s="107"/>
      <c r="U980" s="107"/>
      <c r="V980" s="107"/>
      <c r="W980" s="107"/>
      <c r="X980" s="107"/>
      <c r="Y980" s="107"/>
      <c r="Z980" s="107"/>
      <c r="AA980" s="107"/>
      <c r="AB980" s="107"/>
      <c r="AC980" s="107"/>
      <c r="AD980" s="107"/>
      <c r="AE980" s="107"/>
      <c r="AF980" s="107"/>
      <c r="AG980" s="107"/>
      <c r="AH980" s="107"/>
      <c r="AI980" s="107"/>
      <c r="AJ980" s="107"/>
      <c r="AK980" s="107"/>
      <c r="AL980" s="107"/>
      <c r="AM980" s="107"/>
      <c r="AN980" s="107"/>
      <c r="AO980" s="107"/>
      <c r="AP980" s="107"/>
      <c r="AQ980" s="107"/>
      <c r="AR980" s="107"/>
      <c r="AS980" s="107"/>
      <c r="AT980" s="107"/>
      <c r="AU980" s="107"/>
      <c r="AV980" s="107"/>
      <c r="AW980" s="107"/>
      <c r="AX980" s="107"/>
      <c r="AY980" s="107"/>
      <c r="AZ980" s="107"/>
      <c r="BA980" s="107"/>
      <c r="BB980" s="107"/>
      <c r="BC980" s="107"/>
      <c r="BD980" s="107"/>
      <c r="BE980" s="107"/>
      <c r="BF980" s="107"/>
      <c r="BG980" s="107"/>
      <c r="BH980" s="107"/>
      <c r="BI980" s="107"/>
      <c r="BJ980" s="107"/>
    </row>
    <row r="981" spans="1:62" ht="36" x14ac:dyDescent="0.25">
      <c r="A981" s="169"/>
      <c r="B981" s="169"/>
      <c r="C981" s="169"/>
      <c r="D981" s="169"/>
      <c r="E981" s="169"/>
      <c r="F981" s="169"/>
      <c r="G981" s="169"/>
      <c r="H981" s="169"/>
      <c r="I981" s="169"/>
      <c r="J981" s="169"/>
      <c r="K981" s="169"/>
      <c r="L981" s="169"/>
      <c r="M981" s="169"/>
      <c r="N981" s="169"/>
      <c r="O981" s="169"/>
      <c r="P981" s="169"/>
      <c r="Q981" s="169"/>
      <c r="R981" s="169"/>
      <c r="S981" s="169"/>
      <c r="T981" s="169"/>
      <c r="U981" s="169"/>
      <c r="V981" s="169"/>
      <c r="W981" s="169"/>
      <c r="X981" s="169"/>
      <c r="Y981" s="169"/>
      <c r="Z981" s="169"/>
      <c r="AA981" s="169"/>
      <c r="AB981" s="169"/>
      <c r="AC981" s="169"/>
      <c r="AD981" s="169"/>
      <c r="AE981" s="169"/>
      <c r="AF981" s="169"/>
      <c r="AG981" s="169"/>
      <c r="AH981" s="169"/>
      <c r="AI981" s="169"/>
      <c r="AJ981" s="169"/>
      <c r="AK981" s="169"/>
      <c r="AL981" s="169"/>
      <c r="AM981" s="169"/>
      <c r="AN981" s="169"/>
      <c r="AO981" s="169"/>
      <c r="AP981" s="169"/>
      <c r="AQ981" s="169"/>
      <c r="AR981" s="169"/>
      <c r="AS981" s="169"/>
      <c r="AT981" s="169"/>
      <c r="AU981" s="169"/>
      <c r="AV981" s="169"/>
      <c r="AW981" s="169"/>
      <c r="AX981" s="169"/>
      <c r="AY981" s="169"/>
      <c r="AZ981" s="169"/>
      <c r="BA981" s="169"/>
      <c r="BB981" s="169"/>
      <c r="BC981" s="169"/>
      <c r="BD981" s="169"/>
      <c r="BE981" s="169"/>
      <c r="BF981" s="169"/>
      <c r="BG981" s="169"/>
      <c r="BH981" s="169"/>
      <c r="BI981" s="169"/>
      <c r="BJ981" s="169"/>
    </row>
    <row r="982" spans="1:62" ht="36" x14ac:dyDescent="0.25">
      <c r="A982" s="169"/>
      <c r="B982" s="169"/>
      <c r="C982" s="169"/>
      <c r="D982" s="169"/>
      <c r="E982" s="169"/>
      <c r="F982" s="169"/>
      <c r="G982" s="169"/>
      <c r="H982" s="169"/>
      <c r="I982" s="169"/>
      <c r="J982" s="169"/>
      <c r="K982" s="169"/>
      <c r="L982" s="169"/>
      <c r="M982" s="169"/>
      <c r="N982" s="169"/>
      <c r="O982" s="169"/>
      <c r="P982" s="169"/>
      <c r="Q982" s="169"/>
      <c r="R982" s="169"/>
      <c r="S982" s="169"/>
      <c r="T982" s="169"/>
      <c r="U982" s="169"/>
      <c r="V982" s="169"/>
      <c r="W982" s="169"/>
      <c r="X982" s="169"/>
      <c r="Y982" s="169"/>
      <c r="Z982" s="169"/>
      <c r="AA982" s="169"/>
      <c r="AB982" s="169"/>
      <c r="AC982" s="169"/>
      <c r="AD982" s="169"/>
      <c r="AE982" s="169"/>
      <c r="AF982" s="169"/>
      <c r="AG982" s="169"/>
      <c r="AH982" s="169"/>
      <c r="AI982" s="169"/>
      <c r="AJ982" s="169"/>
      <c r="AK982" s="169"/>
      <c r="AL982" s="169"/>
      <c r="AM982" s="169"/>
      <c r="AN982" s="169"/>
      <c r="AO982" s="169"/>
      <c r="AP982" s="169"/>
      <c r="AQ982" s="169"/>
      <c r="AR982" s="169"/>
      <c r="AS982" s="169"/>
      <c r="AT982" s="169"/>
      <c r="AU982" s="169"/>
      <c r="AV982" s="169"/>
      <c r="AW982" s="169"/>
      <c r="AX982" s="169"/>
      <c r="AY982" s="169"/>
      <c r="AZ982" s="169"/>
      <c r="BA982" s="169"/>
      <c r="BB982" s="169"/>
      <c r="BC982" s="169"/>
      <c r="BD982" s="169"/>
      <c r="BE982" s="169"/>
      <c r="BF982" s="169"/>
      <c r="BG982" s="169"/>
      <c r="BH982" s="169"/>
      <c r="BI982" s="169"/>
      <c r="BJ982" s="169"/>
    </row>
    <row r="983" spans="1:62" ht="36" x14ac:dyDescent="0.25">
      <c r="A983" s="169"/>
      <c r="B983" s="169"/>
      <c r="C983" s="169"/>
      <c r="D983" s="169"/>
      <c r="E983" s="169"/>
      <c r="F983" s="169"/>
      <c r="G983" s="169"/>
      <c r="H983" s="169"/>
      <c r="I983" s="169"/>
      <c r="J983" s="169"/>
      <c r="K983" s="169"/>
      <c r="L983" s="169"/>
      <c r="M983" s="169"/>
      <c r="N983" s="169"/>
      <c r="O983" s="169"/>
      <c r="P983" s="169"/>
      <c r="Q983" s="169"/>
      <c r="R983" s="169"/>
      <c r="S983" s="169"/>
      <c r="T983" s="169"/>
      <c r="U983" s="169"/>
      <c r="V983" s="169"/>
      <c r="W983" s="169"/>
      <c r="X983" s="169"/>
      <c r="Y983" s="169"/>
      <c r="Z983" s="169"/>
      <c r="AA983" s="169"/>
      <c r="AB983" s="169"/>
      <c r="AC983" s="169"/>
      <c r="AD983" s="169"/>
      <c r="AE983" s="169"/>
      <c r="AF983" s="169"/>
      <c r="AG983" s="169"/>
      <c r="AH983" s="169"/>
      <c r="AI983" s="169"/>
      <c r="AJ983" s="169"/>
      <c r="AK983" s="169"/>
      <c r="AL983" s="169"/>
      <c r="AM983" s="169"/>
      <c r="AN983" s="169"/>
      <c r="AO983" s="169"/>
      <c r="AP983" s="169"/>
      <c r="AQ983" s="169"/>
      <c r="AR983" s="169"/>
      <c r="AS983" s="169"/>
      <c r="AT983" s="169"/>
      <c r="AU983" s="169"/>
      <c r="AV983" s="169"/>
      <c r="AW983" s="169"/>
      <c r="AX983" s="169"/>
      <c r="AY983" s="169"/>
      <c r="AZ983" s="169"/>
      <c r="BA983" s="169"/>
      <c r="BB983" s="169"/>
      <c r="BC983" s="169"/>
      <c r="BD983" s="169"/>
      <c r="BE983" s="169"/>
      <c r="BF983" s="169"/>
      <c r="BG983" s="169"/>
      <c r="BH983" s="169"/>
      <c r="BI983" s="169"/>
      <c r="BJ983" s="169"/>
    </row>
    <row r="984" spans="1:62" x14ac:dyDescent="0.25">
      <c r="F984" s="194"/>
      <c r="G984" s="194"/>
    </row>
    <row r="986" spans="1:62" x14ac:dyDescent="0.25">
      <c r="A986" s="199"/>
      <c r="B986" s="136"/>
      <c r="C986" s="199"/>
      <c r="D986" s="199"/>
      <c r="E986" s="199"/>
      <c r="F986" s="199"/>
      <c r="G986" s="199"/>
      <c r="H986" s="199"/>
      <c r="I986" s="136"/>
      <c r="J986" s="199"/>
      <c r="K986" s="199"/>
      <c r="L986" s="199"/>
      <c r="M986" s="199"/>
      <c r="N986" s="136"/>
      <c r="O986" s="199"/>
      <c r="P986" s="199"/>
      <c r="Q986" s="199"/>
      <c r="R986" s="199"/>
      <c r="S986" s="136"/>
      <c r="T986" s="199"/>
      <c r="U986" s="199"/>
      <c r="V986" s="199"/>
      <c r="W986" s="199"/>
      <c r="X986" s="136"/>
      <c r="Y986" s="199"/>
      <c r="Z986" s="199"/>
      <c r="AA986" s="199"/>
      <c r="AB986" s="199"/>
      <c r="AC986" s="136"/>
      <c r="AD986" s="199"/>
      <c r="AE986" s="199"/>
      <c r="AF986" s="199"/>
      <c r="AG986" s="199"/>
      <c r="AH986" s="136"/>
      <c r="AI986" s="199"/>
      <c r="AJ986" s="199"/>
      <c r="AK986" s="199"/>
      <c r="AL986" s="199"/>
      <c r="AM986" s="136"/>
      <c r="AN986" s="199"/>
      <c r="AO986" s="199"/>
      <c r="AP986" s="199"/>
      <c r="AQ986" s="199"/>
      <c r="AR986" s="136"/>
      <c r="AS986" s="199"/>
      <c r="AT986" s="199"/>
      <c r="AU986" s="199"/>
      <c r="AV986" s="199"/>
      <c r="AW986" s="136"/>
      <c r="AX986" s="199"/>
      <c r="AY986" s="199"/>
      <c r="AZ986" s="199"/>
      <c r="BA986" s="199"/>
      <c r="BB986" s="136"/>
      <c r="BC986" s="199"/>
      <c r="BD986" s="199"/>
      <c r="BE986" s="199"/>
      <c r="BF986" s="199"/>
      <c r="BG986" s="136"/>
      <c r="BH986" s="199"/>
      <c r="BI986" s="199"/>
      <c r="BJ986" s="199"/>
    </row>
    <row r="987" spans="1:62" x14ac:dyDescent="0.25">
      <c r="A987" s="199"/>
      <c r="B987" s="136"/>
      <c r="C987" s="199"/>
      <c r="D987" s="199"/>
      <c r="E987" s="199"/>
      <c r="F987" s="199"/>
      <c r="G987" s="199"/>
      <c r="H987" s="199"/>
      <c r="I987" s="136"/>
      <c r="J987" s="199"/>
      <c r="K987" s="199"/>
      <c r="L987" s="199"/>
      <c r="M987" s="199"/>
      <c r="N987" s="136"/>
      <c r="O987" s="199"/>
      <c r="P987" s="199"/>
      <c r="Q987" s="199"/>
      <c r="R987" s="199"/>
      <c r="S987" s="136"/>
      <c r="T987" s="199"/>
      <c r="U987" s="199"/>
      <c r="V987" s="199"/>
      <c r="W987" s="199"/>
      <c r="X987" s="136"/>
      <c r="Y987" s="199"/>
      <c r="Z987" s="199"/>
      <c r="AA987" s="199"/>
      <c r="AB987" s="199"/>
      <c r="AC987" s="136"/>
      <c r="AD987" s="199"/>
      <c r="AE987" s="199"/>
      <c r="AF987" s="199"/>
      <c r="AG987" s="199"/>
      <c r="AH987" s="136"/>
      <c r="AI987" s="199"/>
      <c r="AJ987" s="199"/>
      <c r="AK987" s="199"/>
      <c r="AL987" s="199"/>
      <c r="AM987" s="136"/>
      <c r="AN987" s="199"/>
      <c r="AO987" s="199"/>
      <c r="AP987" s="199"/>
      <c r="AQ987" s="199"/>
      <c r="AR987" s="136"/>
      <c r="AS987" s="199"/>
      <c r="AT987" s="199"/>
      <c r="AU987" s="199"/>
      <c r="AV987" s="199"/>
      <c r="AW987" s="136"/>
      <c r="AX987" s="199"/>
      <c r="AY987" s="199"/>
      <c r="AZ987" s="199"/>
      <c r="BA987" s="199"/>
      <c r="BB987" s="136"/>
      <c r="BC987" s="199"/>
      <c r="BD987" s="199"/>
      <c r="BE987" s="199"/>
      <c r="BF987" s="199"/>
      <c r="BG987" s="136"/>
      <c r="BH987" s="199"/>
      <c r="BI987" s="199"/>
      <c r="BJ987" s="199"/>
    </row>
    <row r="988" spans="1:62" x14ac:dyDescent="0.25">
      <c r="A988" s="199"/>
      <c r="B988" s="136"/>
      <c r="C988" s="199"/>
      <c r="D988" s="199"/>
      <c r="E988" s="199"/>
      <c r="F988" s="199"/>
      <c r="G988" s="199"/>
      <c r="H988" s="199"/>
      <c r="I988" s="136"/>
      <c r="J988" s="199"/>
      <c r="K988" s="199"/>
      <c r="L988" s="199"/>
      <c r="M988" s="199"/>
      <c r="N988" s="136"/>
      <c r="O988" s="199"/>
      <c r="P988" s="199"/>
      <c r="Q988" s="199"/>
      <c r="R988" s="199"/>
      <c r="S988" s="136"/>
      <c r="T988" s="199"/>
      <c r="U988" s="199"/>
      <c r="V988" s="199"/>
      <c r="W988" s="199"/>
      <c r="X988" s="136"/>
      <c r="Y988" s="199"/>
      <c r="Z988" s="199"/>
      <c r="AA988" s="199"/>
      <c r="AB988" s="199"/>
      <c r="AC988" s="136"/>
      <c r="AD988" s="199"/>
      <c r="AE988" s="199"/>
      <c r="AF988" s="199"/>
      <c r="AG988" s="199"/>
      <c r="AH988" s="136"/>
      <c r="AI988" s="199"/>
      <c r="AJ988" s="199"/>
      <c r="AK988" s="199"/>
      <c r="AL988" s="199"/>
      <c r="AM988" s="136"/>
      <c r="AN988" s="199"/>
      <c r="AO988" s="199"/>
      <c r="AP988" s="199"/>
      <c r="AQ988" s="199"/>
      <c r="AR988" s="136"/>
      <c r="AS988" s="199"/>
      <c r="AT988" s="199"/>
      <c r="AU988" s="199"/>
      <c r="AV988" s="199"/>
      <c r="AW988" s="136"/>
      <c r="AX988" s="199"/>
      <c r="AY988" s="199"/>
      <c r="AZ988" s="199"/>
      <c r="BA988" s="199"/>
      <c r="BB988" s="136"/>
      <c r="BC988" s="199"/>
      <c r="BD988" s="199"/>
      <c r="BE988" s="199"/>
      <c r="BF988" s="199"/>
      <c r="BG988" s="136"/>
      <c r="BH988" s="199"/>
      <c r="BI988" s="199"/>
      <c r="BJ988" s="199"/>
    </row>
    <row r="989" spans="1:62" x14ac:dyDescent="0.25">
      <c r="A989" s="199"/>
      <c r="B989" s="136"/>
      <c r="C989" s="199"/>
      <c r="D989" s="199"/>
      <c r="E989" s="199"/>
      <c r="F989" s="199"/>
      <c r="G989" s="199"/>
      <c r="H989" s="199"/>
      <c r="I989" s="136"/>
      <c r="J989" s="199"/>
      <c r="K989" s="199"/>
      <c r="L989" s="199"/>
      <c r="M989" s="199"/>
      <c r="N989" s="136"/>
      <c r="O989" s="199"/>
      <c r="P989" s="199"/>
      <c r="Q989" s="199"/>
      <c r="R989" s="199"/>
      <c r="S989" s="136"/>
      <c r="T989" s="199"/>
      <c r="U989" s="199"/>
      <c r="V989" s="199"/>
      <c r="W989" s="199"/>
      <c r="X989" s="136"/>
      <c r="Y989" s="199"/>
      <c r="Z989" s="199"/>
      <c r="AA989" s="199"/>
      <c r="AB989" s="199"/>
      <c r="AC989" s="136"/>
      <c r="AD989" s="199"/>
      <c r="AE989" s="199"/>
      <c r="AF989" s="199"/>
      <c r="AG989" s="199"/>
      <c r="AH989" s="136"/>
      <c r="AI989" s="199"/>
      <c r="AJ989" s="199"/>
      <c r="AK989" s="199"/>
      <c r="AL989" s="199"/>
      <c r="AM989" s="136"/>
      <c r="AN989" s="199"/>
      <c r="AO989" s="199"/>
      <c r="AP989" s="199"/>
      <c r="AQ989" s="199"/>
      <c r="AR989" s="136"/>
      <c r="AS989" s="199"/>
      <c r="AT989" s="199"/>
      <c r="AU989" s="199"/>
      <c r="AV989" s="199"/>
      <c r="AW989" s="136"/>
      <c r="AX989" s="199"/>
      <c r="AY989" s="199"/>
      <c r="AZ989" s="199"/>
      <c r="BA989" s="199"/>
      <c r="BB989" s="136"/>
      <c r="BC989" s="199"/>
      <c r="BD989" s="199"/>
      <c r="BE989" s="199"/>
      <c r="BF989" s="199"/>
      <c r="BG989" s="136"/>
      <c r="BH989" s="199"/>
      <c r="BI989" s="199"/>
      <c r="BJ989" s="199"/>
    </row>
    <row r="990" spans="1:62" x14ac:dyDescent="0.25">
      <c r="A990" s="199"/>
      <c r="B990" s="136"/>
      <c r="C990" s="199"/>
      <c r="D990" s="199"/>
      <c r="E990" s="199"/>
      <c r="F990" s="199"/>
      <c r="G990" s="199"/>
      <c r="H990" s="199"/>
      <c r="I990" s="136"/>
      <c r="J990" s="199"/>
      <c r="K990" s="199"/>
      <c r="L990" s="199"/>
      <c r="M990" s="199"/>
      <c r="N990" s="136"/>
      <c r="O990" s="199"/>
      <c r="P990" s="199"/>
      <c r="Q990" s="199"/>
      <c r="R990" s="199"/>
      <c r="S990" s="136"/>
      <c r="T990" s="199"/>
      <c r="U990" s="199"/>
      <c r="V990" s="199"/>
      <c r="W990" s="199"/>
      <c r="X990" s="136"/>
      <c r="Y990" s="199"/>
      <c r="Z990" s="199"/>
      <c r="AA990" s="199"/>
      <c r="AB990" s="199"/>
      <c r="AC990" s="136"/>
      <c r="AD990" s="199"/>
      <c r="AE990" s="199"/>
      <c r="AF990" s="199"/>
      <c r="AG990" s="199"/>
      <c r="AH990" s="136"/>
      <c r="AI990" s="199"/>
      <c r="AJ990" s="199"/>
      <c r="AK990" s="199"/>
      <c r="AL990" s="199"/>
      <c r="AM990" s="136"/>
      <c r="AN990" s="199"/>
      <c r="AO990" s="199"/>
      <c r="AP990" s="199"/>
      <c r="AQ990" s="199"/>
      <c r="AR990" s="136"/>
      <c r="AS990" s="199"/>
      <c r="AT990" s="199"/>
      <c r="AU990" s="199"/>
      <c r="AV990" s="199"/>
      <c r="AW990" s="136"/>
      <c r="AX990" s="199"/>
      <c r="AY990" s="199"/>
      <c r="AZ990" s="199"/>
      <c r="BA990" s="199"/>
      <c r="BB990" s="136"/>
      <c r="BC990" s="199"/>
      <c r="BD990" s="199"/>
      <c r="BE990" s="199"/>
      <c r="BF990" s="199"/>
      <c r="BG990" s="136"/>
      <c r="BH990" s="199"/>
      <c r="BI990" s="199"/>
      <c r="BJ990" s="199"/>
    </row>
    <row r="991" spans="1:62" x14ac:dyDescent="0.25">
      <c r="A991" s="199"/>
      <c r="B991" s="136"/>
      <c r="C991" s="199"/>
      <c r="D991" s="199"/>
      <c r="E991" s="199"/>
      <c r="F991" s="199"/>
      <c r="G991" s="199"/>
      <c r="H991" s="199"/>
      <c r="I991" s="136"/>
      <c r="J991" s="199"/>
      <c r="K991" s="199"/>
      <c r="L991" s="199"/>
      <c r="M991" s="199"/>
      <c r="N991" s="136"/>
      <c r="O991" s="199"/>
      <c r="P991" s="199"/>
      <c r="Q991" s="199"/>
      <c r="R991" s="199"/>
      <c r="S991" s="136"/>
      <c r="T991" s="199"/>
      <c r="U991" s="199"/>
      <c r="V991" s="199"/>
      <c r="W991" s="199"/>
      <c r="X991" s="136"/>
      <c r="Y991" s="199"/>
      <c r="Z991" s="199"/>
      <c r="AA991" s="199"/>
      <c r="AB991" s="199"/>
      <c r="AC991" s="136"/>
      <c r="AD991" s="199"/>
      <c r="AE991" s="199"/>
      <c r="AF991" s="199"/>
      <c r="AG991" s="199"/>
      <c r="AH991" s="136"/>
      <c r="AI991" s="199"/>
      <c r="AJ991" s="199"/>
      <c r="AK991" s="199"/>
      <c r="AL991" s="199"/>
      <c r="AM991" s="136"/>
      <c r="AN991" s="199"/>
      <c r="AO991" s="199"/>
      <c r="AP991" s="199"/>
      <c r="AQ991" s="199"/>
      <c r="AR991" s="136"/>
      <c r="AS991" s="199"/>
      <c r="AT991" s="199"/>
      <c r="AU991" s="199"/>
      <c r="AV991" s="199"/>
      <c r="AW991" s="136"/>
      <c r="AX991" s="199"/>
      <c r="AY991" s="199"/>
      <c r="AZ991" s="199"/>
      <c r="BA991" s="199"/>
      <c r="BB991" s="136"/>
      <c r="BC991" s="199"/>
      <c r="BD991" s="199"/>
      <c r="BE991" s="199"/>
      <c r="BF991" s="199"/>
      <c r="BG991" s="136"/>
      <c r="BH991" s="199"/>
      <c r="BI991" s="199"/>
      <c r="BJ991" s="199"/>
    </row>
    <row r="992" spans="1:62" x14ac:dyDescent="0.25">
      <c r="A992" s="199"/>
      <c r="B992" s="136"/>
      <c r="C992" s="199"/>
      <c r="D992" s="199"/>
      <c r="E992" s="199"/>
      <c r="F992" s="199"/>
      <c r="G992" s="199"/>
      <c r="H992" s="199"/>
      <c r="I992" s="136"/>
      <c r="J992" s="199"/>
      <c r="K992" s="199"/>
      <c r="L992" s="199"/>
      <c r="M992" s="199"/>
      <c r="N992" s="136"/>
      <c r="O992" s="199"/>
      <c r="P992" s="199"/>
      <c r="Q992" s="199"/>
      <c r="R992" s="199"/>
      <c r="S992" s="136"/>
      <c r="T992" s="199"/>
      <c r="U992" s="199"/>
      <c r="V992" s="199"/>
      <c r="W992" s="199"/>
      <c r="X992" s="136"/>
      <c r="Y992" s="199"/>
      <c r="Z992" s="199"/>
      <c r="AA992" s="199"/>
      <c r="AB992" s="199"/>
      <c r="AC992" s="136"/>
      <c r="AD992" s="199"/>
      <c r="AE992" s="199"/>
      <c r="AF992" s="199"/>
      <c r="AG992" s="199"/>
      <c r="AH992" s="136"/>
      <c r="AI992" s="199"/>
      <c r="AJ992" s="199"/>
      <c r="AK992" s="199"/>
      <c r="AL992" s="199"/>
      <c r="AM992" s="136"/>
      <c r="AN992" s="199"/>
      <c r="AO992" s="199"/>
      <c r="AP992" s="199"/>
      <c r="AQ992" s="199"/>
      <c r="AR992" s="136"/>
      <c r="AS992" s="199"/>
      <c r="AT992" s="199"/>
      <c r="AU992" s="199"/>
      <c r="AV992" s="199"/>
      <c r="AW992" s="136"/>
      <c r="AX992" s="199"/>
      <c r="AY992" s="199"/>
      <c r="AZ992" s="199"/>
      <c r="BA992" s="199"/>
      <c r="BB992" s="136"/>
      <c r="BC992" s="199"/>
      <c r="BD992" s="199"/>
      <c r="BE992" s="199"/>
      <c r="BF992" s="199"/>
      <c r="BG992" s="136"/>
      <c r="BH992" s="199"/>
      <c r="BI992" s="199"/>
      <c r="BJ992" s="199"/>
    </row>
    <row r="993" spans="1:62" x14ac:dyDescent="0.25">
      <c r="A993" s="199"/>
      <c r="B993" s="136"/>
      <c r="C993" s="199"/>
      <c r="D993" s="199"/>
      <c r="E993" s="199"/>
      <c r="F993" s="199"/>
      <c r="G993" s="199"/>
      <c r="H993" s="199"/>
      <c r="I993" s="136"/>
      <c r="J993" s="199"/>
      <c r="K993" s="199"/>
      <c r="L993" s="199"/>
      <c r="M993" s="199"/>
      <c r="N993" s="136"/>
      <c r="O993" s="199"/>
      <c r="P993" s="199"/>
      <c r="Q993" s="199"/>
      <c r="R993" s="199"/>
      <c r="S993" s="136"/>
      <c r="T993" s="199"/>
      <c r="U993" s="199"/>
      <c r="V993" s="199"/>
      <c r="W993" s="199"/>
      <c r="X993" s="136"/>
      <c r="Y993" s="199"/>
      <c r="Z993" s="199"/>
      <c r="AA993" s="199"/>
      <c r="AB993" s="199"/>
      <c r="AC993" s="136"/>
      <c r="AD993" s="199"/>
      <c r="AE993" s="199"/>
      <c r="AF993" s="199"/>
      <c r="AG993" s="199"/>
      <c r="AH993" s="136"/>
      <c r="AI993" s="199"/>
      <c r="AJ993" s="199"/>
      <c r="AK993" s="199"/>
      <c r="AL993" s="199"/>
      <c r="AM993" s="136"/>
      <c r="AN993" s="199"/>
      <c r="AO993" s="199"/>
      <c r="AP993" s="199"/>
      <c r="AQ993" s="199"/>
      <c r="AR993" s="136"/>
      <c r="AS993" s="199"/>
      <c r="AT993" s="199"/>
      <c r="AU993" s="199"/>
      <c r="AV993" s="199"/>
      <c r="AW993" s="136"/>
      <c r="AX993" s="199"/>
      <c r="AY993" s="199"/>
      <c r="AZ993" s="199"/>
      <c r="BA993" s="199"/>
      <c r="BB993" s="136"/>
      <c r="BC993" s="199"/>
      <c r="BD993" s="199"/>
      <c r="BE993" s="199"/>
      <c r="BF993" s="199"/>
      <c r="BG993" s="136"/>
      <c r="BH993" s="199"/>
      <c r="BI993" s="199"/>
      <c r="BJ993" s="199"/>
    </row>
    <row r="997" spans="1:62" ht="36" x14ac:dyDescent="0.25">
      <c r="A997" s="169"/>
      <c r="B997" s="107"/>
      <c r="C997" s="107"/>
      <c r="D997" s="107"/>
      <c r="E997" s="107"/>
      <c r="F997" s="107"/>
      <c r="G997" s="107"/>
      <c r="H997" s="107"/>
      <c r="I997" s="107"/>
      <c r="J997" s="107"/>
      <c r="K997" s="107"/>
      <c r="L997" s="107"/>
      <c r="M997" s="107"/>
      <c r="N997" s="107"/>
      <c r="O997" s="107"/>
      <c r="P997" s="107"/>
      <c r="Q997" s="107"/>
      <c r="R997" s="107"/>
      <c r="S997" s="107"/>
      <c r="T997" s="107"/>
      <c r="U997" s="107"/>
      <c r="V997" s="107"/>
      <c r="W997" s="107"/>
      <c r="X997" s="107"/>
      <c r="Y997" s="107"/>
      <c r="Z997" s="107"/>
      <c r="AA997" s="107"/>
      <c r="AB997" s="107"/>
      <c r="AC997" s="107"/>
      <c r="AD997" s="107"/>
      <c r="AE997" s="107"/>
      <c r="AF997" s="107"/>
      <c r="AG997" s="107"/>
      <c r="AH997" s="107"/>
      <c r="AI997" s="107"/>
      <c r="AJ997" s="107"/>
      <c r="AK997" s="107"/>
      <c r="AL997" s="107"/>
      <c r="AM997" s="107"/>
      <c r="AN997" s="107"/>
      <c r="AO997" s="107"/>
      <c r="AP997" s="107"/>
      <c r="AQ997" s="107"/>
      <c r="AR997" s="107"/>
      <c r="AS997" s="107"/>
      <c r="AT997" s="107"/>
      <c r="AU997" s="107"/>
      <c r="AV997" s="107"/>
      <c r="AW997" s="107"/>
      <c r="AX997" s="107"/>
      <c r="AY997" s="107"/>
      <c r="AZ997" s="107"/>
      <c r="BA997" s="107"/>
      <c r="BB997" s="107"/>
      <c r="BC997" s="107"/>
      <c r="BD997" s="107"/>
      <c r="BE997" s="107"/>
      <c r="BF997" s="107"/>
      <c r="BG997" s="107"/>
      <c r="BH997" s="107"/>
      <c r="BI997" s="107"/>
      <c r="BJ997" s="107"/>
    </row>
    <row r="998" spans="1:62" x14ac:dyDescent="0.25">
      <c r="A998" s="107"/>
      <c r="B998" s="107"/>
      <c r="C998" s="107"/>
      <c r="D998" s="107"/>
      <c r="E998" s="107"/>
      <c r="F998" s="107"/>
      <c r="G998" s="107"/>
      <c r="H998" s="107"/>
      <c r="I998" s="107"/>
      <c r="J998" s="107"/>
      <c r="K998" s="107"/>
      <c r="L998" s="107"/>
      <c r="M998" s="107"/>
      <c r="N998" s="107"/>
      <c r="O998" s="107"/>
      <c r="P998" s="107"/>
      <c r="Q998" s="107"/>
      <c r="R998" s="107"/>
      <c r="S998" s="107"/>
      <c r="T998" s="107"/>
      <c r="U998" s="107"/>
      <c r="V998" s="107"/>
      <c r="W998" s="107"/>
      <c r="X998" s="107"/>
      <c r="Y998" s="107"/>
      <c r="Z998" s="107"/>
      <c r="AA998" s="107"/>
      <c r="AB998" s="107"/>
      <c r="AC998" s="107"/>
      <c r="AD998" s="107"/>
      <c r="AE998" s="107"/>
      <c r="AF998" s="107"/>
      <c r="AG998" s="107"/>
      <c r="AH998" s="107"/>
      <c r="AI998" s="107"/>
      <c r="AJ998" s="107"/>
      <c r="AK998" s="107"/>
      <c r="AL998" s="107"/>
      <c r="AM998" s="107"/>
      <c r="AN998" s="107"/>
      <c r="AO998" s="107"/>
      <c r="AP998" s="107"/>
      <c r="AQ998" s="107"/>
      <c r="AR998" s="107"/>
      <c r="AS998" s="107"/>
      <c r="AT998" s="107"/>
      <c r="AU998" s="107"/>
      <c r="AV998" s="107"/>
      <c r="AW998" s="107"/>
      <c r="AX998" s="107"/>
      <c r="AY998" s="107"/>
      <c r="AZ998" s="107"/>
      <c r="BA998" s="107"/>
      <c r="BB998" s="107"/>
      <c r="BC998" s="107"/>
      <c r="BD998" s="107"/>
      <c r="BE998" s="107"/>
      <c r="BF998" s="107"/>
      <c r="BG998" s="107"/>
      <c r="BH998" s="107"/>
      <c r="BI998" s="107"/>
      <c r="BJ998" s="107"/>
    </row>
    <row r="999" spans="1:62" x14ac:dyDescent="0.25">
      <c r="A999" s="107"/>
      <c r="B999" s="107"/>
      <c r="C999" s="107"/>
      <c r="D999" s="107"/>
      <c r="E999" s="107"/>
      <c r="F999" s="107"/>
      <c r="G999" s="107"/>
      <c r="H999" s="107"/>
      <c r="I999" s="107"/>
      <c r="J999" s="107"/>
      <c r="K999" s="107"/>
      <c r="L999" s="107"/>
      <c r="M999" s="107"/>
      <c r="N999" s="107"/>
      <c r="O999" s="107"/>
      <c r="P999" s="107"/>
      <c r="Q999" s="107"/>
      <c r="R999" s="107"/>
      <c r="S999" s="107"/>
      <c r="T999" s="107"/>
      <c r="U999" s="107"/>
      <c r="V999" s="107"/>
      <c r="W999" s="107"/>
      <c r="X999" s="107"/>
      <c r="Y999" s="107"/>
      <c r="Z999" s="107"/>
      <c r="AA999" s="107"/>
      <c r="AB999" s="107"/>
      <c r="AC999" s="107"/>
      <c r="AD999" s="107"/>
      <c r="AE999" s="107"/>
      <c r="AF999" s="107"/>
      <c r="AG999" s="107"/>
      <c r="AH999" s="107"/>
      <c r="AI999" s="107"/>
      <c r="AJ999" s="107"/>
      <c r="AK999" s="107"/>
      <c r="AL999" s="107"/>
      <c r="AM999" s="107"/>
      <c r="AN999" s="107"/>
      <c r="AO999" s="107"/>
      <c r="AP999" s="107"/>
      <c r="AQ999" s="107"/>
      <c r="AR999" s="107"/>
      <c r="AS999" s="107"/>
      <c r="AT999" s="107"/>
      <c r="AU999" s="107"/>
      <c r="AV999" s="107"/>
      <c r="AW999" s="107"/>
      <c r="AX999" s="107"/>
      <c r="AY999" s="107"/>
      <c r="AZ999" s="107"/>
      <c r="BA999" s="107"/>
      <c r="BB999" s="107"/>
      <c r="BC999" s="107"/>
      <c r="BD999" s="107"/>
      <c r="BE999" s="107"/>
      <c r="BF999" s="107"/>
      <c r="BG999" s="107"/>
      <c r="BH999" s="107"/>
      <c r="BI999" s="107"/>
      <c r="BJ999" s="107"/>
    </row>
    <row r="1000" spans="1:62" ht="36" x14ac:dyDescent="0.25">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c r="V1000" s="169"/>
      <c r="W1000" s="169"/>
      <c r="X1000" s="169"/>
      <c r="Y1000" s="169"/>
      <c r="Z1000" s="169"/>
      <c r="AA1000" s="169"/>
      <c r="AB1000" s="169"/>
      <c r="AC1000" s="169"/>
      <c r="AD1000" s="169"/>
      <c r="AE1000" s="169"/>
      <c r="AF1000" s="169"/>
      <c r="AG1000" s="169"/>
      <c r="AH1000" s="169"/>
      <c r="AI1000" s="169"/>
      <c r="AJ1000" s="169"/>
      <c r="AK1000" s="169"/>
      <c r="AL1000" s="169"/>
      <c r="AM1000" s="169"/>
      <c r="AN1000" s="169"/>
      <c r="AO1000" s="169"/>
      <c r="AP1000" s="169"/>
      <c r="AQ1000" s="169"/>
      <c r="AR1000" s="169"/>
      <c r="AS1000" s="169"/>
      <c r="AT1000" s="169"/>
      <c r="AU1000" s="169"/>
      <c r="AV1000" s="169"/>
      <c r="AW1000" s="169"/>
      <c r="AX1000" s="169"/>
      <c r="AY1000" s="169"/>
      <c r="AZ1000" s="169"/>
      <c r="BA1000" s="169"/>
      <c r="BB1000" s="169"/>
      <c r="BC1000" s="169"/>
      <c r="BD1000" s="169"/>
      <c r="BE1000" s="169"/>
      <c r="BF1000" s="169"/>
      <c r="BG1000" s="169"/>
      <c r="BH1000" s="169"/>
      <c r="BI1000" s="169"/>
      <c r="BJ1000" s="169"/>
    </row>
    <row r="1001" spans="1:62" ht="36" x14ac:dyDescent="0.25">
      <c r="A1001" s="169"/>
      <c r="B1001" s="169"/>
      <c r="C1001" s="169"/>
      <c r="D1001" s="169"/>
      <c r="E1001" s="169"/>
      <c r="F1001" s="169"/>
      <c r="G1001" s="169"/>
      <c r="H1001" s="169"/>
      <c r="I1001" s="169"/>
      <c r="J1001" s="169"/>
      <c r="K1001" s="169"/>
      <c r="L1001" s="169"/>
      <c r="M1001" s="169"/>
      <c r="N1001" s="169"/>
      <c r="O1001" s="169"/>
      <c r="P1001" s="169"/>
      <c r="Q1001" s="169"/>
      <c r="R1001" s="169"/>
      <c r="S1001" s="169"/>
      <c r="T1001" s="169"/>
      <c r="U1001" s="169"/>
      <c r="V1001" s="169"/>
      <c r="W1001" s="169"/>
      <c r="X1001" s="169"/>
      <c r="Y1001" s="169"/>
      <c r="Z1001" s="169"/>
      <c r="AA1001" s="169"/>
      <c r="AB1001" s="169"/>
      <c r="AC1001" s="169"/>
      <c r="AD1001" s="169"/>
      <c r="AE1001" s="169"/>
      <c r="AF1001" s="169"/>
      <c r="AG1001" s="169"/>
      <c r="AH1001" s="169"/>
      <c r="AI1001" s="169"/>
      <c r="AJ1001" s="169"/>
      <c r="AK1001" s="169"/>
      <c r="AL1001" s="169"/>
      <c r="AM1001" s="169"/>
      <c r="AN1001" s="169"/>
      <c r="AO1001" s="169"/>
      <c r="AP1001" s="169"/>
      <c r="AQ1001" s="169"/>
      <c r="AR1001" s="169"/>
      <c r="AS1001" s="169"/>
      <c r="AT1001" s="169"/>
      <c r="AU1001" s="169"/>
      <c r="AV1001" s="169"/>
      <c r="AW1001" s="169"/>
      <c r="AX1001" s="169"/>
      <c r="AY1001" s="169"/>
      <c r="AZ1001" s="169"/>
      <c r="BA1001" s="169"/>
      <c r="BB1001" s="169"/>
      <c r="BC1001" s="169"/>
      <c r="BD1001" s="169"/>
      <c r="BE1001" s="169"/>
      <c r="BF1001" s="169"/>
      <c r="BG1001" s="169"/>
      <c r="BH1001" s="169"/>
      <c r="BI1001" s="169"/>
      <c r="BJ1001" s="169"/>
    </row>
    <row r="1002" spans="1:62" ht="36" x14ac:dyDescent="0.25">
      <c r="A1002" s="169"/>
      <c r="B1002" s="169"/>
      <c r="C1002" s="169"/>
      <c r="D1002" s="169"/>
      <c r="E1002" s="169"/>
      <c r="F1002" s="169"/>
      <c r="G1002" s="169"/>
      <c r="H1002" s="169"/>
      <c r="I1002" s="169"/>
      <c r="J1002" s="169"/>
      <c r="K1002" s="169"/>
      <c r="L1002" s="169"/>
      <c r="M1002" s="169"/>
      <c r="N1002" s="169"/>
      <c r="O1002" s="169"/>
      <c r="P1002" s="169"/>
      <c r="Q1002" s="169"/>
      <c r="R1002" s="169"/>
      <c r="S1002" s="169"/>
      <c r="T1002" s="169"/>
      <c r="U1002" s="169"/>
      <c r="V1002" s="169"/>
      <c r="W1002" s="169"/>
      <c r="X1002" s="169"/>
      <c r="Y1002" s="169"/>
      <c r="Z1002" s="169"/>
      <c r="AA1002" s="169"/>
      <c r="AB1002" s="169"/>
      <c r="AC1002" s="169"/>
      <c r="AD1002" s="169"/>
      <c r="AE1002" s="169"/>
      <c r="AF1002" s="169"/>
      <c r="AG1002" s="169"/>
      <c r="AH1002" s="169"/>
      <c r="AI1002" s="169"/>
      <c r="AJ1002" s="169"/>
      <c r="AK1002" s="169"/>
      <c r="AL1002" s="169"/>
      <c r="AM1002" s="169"/>
      <c r="AN1002" s="169"/>
      <c r="AO1002" s="169"/>
      <c r="AP1002" s="169"/>
      <c r="AQ1002" s="169"/>
      <c r="AR1002" s="169"/>
      <c r="AS1002" s="169"/>
      <c r="AT1002" s="169"/>
      <c r="AU1002" s="169"/>
      <c r="AV1002" s="169"/>
      <c r="AW1002" s="169"/>
      <c r="AX1002" s="169"/>
      <c r="AY1002" s="169"/>
      <c r="AZ1002" s="169"/>
      <c r="BA1002" s="169"/>
      <c r="BB1002" s="169"/>
      <c r="BC1002" s="169"/>
      <c r="BD1002" s="169"/>
      <c r="BE1002" s="169"/>
      <c r="BF1002" s="169"/>
      <c r="BG1002" s="169"/>
      <c r="BH1002" s="169"/>
      <c r="BI1002" s="169"/>
      <c r="BJ1002" s="169"/>
    </row>
    <row r="1003" spans="1:62" x14ac:dyDescent="0.25">
      <c r="F1003" s="194"/>
      <c r="G1003" s="194"/>
    </row>
    <row r="1005" spans="1:62" x14ac:dyDescent="0.25">
      <c r="A1005" s="199"/>
      <c r="B1005" s="136"/>
      <c r="C1005" s="199"/>
      <c r="D1005" s="199"/>
      <c r="E1005" s="199"/>
      <c r="F1005" s="199"/>
      <c r="G1005" s="199"/>
      <c r="H1005" s="199"/>
      <c r="I1005" s="136"/>
      <c r="J1005" s="199"/>
      <c r="K1005" s="199"/>
      <c r="L1005" s="199"/>
      <c r="M1005" s="199"/>
      <c r="N1005" s="136"/>
      <c r="O1005" s="199"/>
      <c r="P1005" s="199"/>
      <c r="Q1005" s="199"/>
      <c r="R1005" s="199"/>
      <c r="S1005" s="136"/>
      <c r="T1005" s="199"/>
      <c r="U1005" s="199"/>
      <c r="V1005" s="199"/>
      <c r="W1005" s="199"/>
      <c r="X1005" s="136"/>
      <c r="Y1005" s="199"/>
      <c r="Z1005" s="199"/>
      <c r="AA1005" s="199"/>
      <c r="AB1005" s="199"/>
      <c r="AC1005" s="136"/>
      <c r="AD1005" s="199"/>
      <c r="AE1005" s="199"/>
      <c r="AF1005" s="199"/>
      <c r="AG1005" s="199"/>
      <c r="AH1005" s="136"/>
      <c r="AI1005" s="199"/>
      <c r="AJ1005" s="199"/>
      <c r="AK1005" s="199"/>
      <c r="AL1005" s="199"/>
      <c r="AM1005" s="136"/>
      <c r="AN1005" s="199"/>
      <c r="AO1005" s="199"/>
      <c r="AP1005" s="199"/>
      <c r="AQ1005" s="199"/>
      <c r="AR1005" s="136"/>
      <c r="AS1005" s="199"/>
      <c r="AT1005" s="199"/>
      <c r="AU1005" s="199"/>
      <c r="AV1005" s="199"/>
      <c r="AW1005" s="136"/>
      <c r="AX1005" s="199"/>
      <c r="AY1005" s="199"/>
      <c r="AZ1005" s="199"/>
      <c r="BA1005" s="199"/>
      <c r="BB1005" s="136"/>
      <c r="BC1005" s="199"/>
      <c r="BD1005" s="199"/>
      <c r="BE1005" s="199"/>
      <c r="BF1005" s="199"/>
      <c r="BG1005" s="136"/>
      <c r="BH1005" s="199"/>
      <c r="BI1005" s="199"/>
      <c r="BJ1005" s="199"/>
    </row>
    <row r="1006" spans="1:62" x14ac:dyDescent="0.25">
      <c r="A1006" s="199"/>
      <c r="B1006" s="136"/>
      <c r="C1006" s="199"/>
      <c r="D1006" s="199"/>
      <c r="E1006" s="199"/>
      <c r="F1006" s="199"/>
      <c r="G1006" s="199"/>
      <c r="H1006" s="199"/>
      <c r="I1006" s="136"/>
      <c r="J1006" s="199"/>
      <c r="K1006" s="199"/>
      <c r="L1006" s="199"/>
      <c r="M1006" s="199"/>
      <c r="N1006" s="136"/>
      <c r="O1006" s="199"/>
      <c r="P1006" s="199"/>
      <c r="Q1006" s="199"/>
      <c r="R1006" s="199"/>
      <c r="S1006" s="136"/>
      <c r="T1006" s="199"/>
      <c r="U1006" s="199"/>
      <c r="V1006" s="199"/>
      <c r="W1006" s="199"/>
      <c r="X1006" s="136"/>
      <c r="Y1006" s="199"/>
      <c r="Z1006" s="199"/>
      <c r="AA1006" s="199"/>
      <c r="AB1006" s="199"/>
      <c r="AC1006" s="136"/>
      <c r="AD1006" s="199"/>
      <c r="AE1006" s="199"/>
      <c r="AF1006" s="199"/>
      <c r="AG1006" s="199"/>
      <c r="AH1006" s="136"/>
      <c r="AI1006" s="199"/>
      <c r="AJ1006" s="199"/>
      <c r="AK1006" s="199"/>
      <c r="AL1006" s="199"/>
      <c r="AM1006" s="136"/>
      <c r="AN1006" s="199"/>
      <c r="AO1006" s="199"/>
      <c r="AP1006" s="199"/>
      <c r="AQ1006" s="199"/>
      <c r="AR1006" s="136"/>
      <c r="AS1006" s="199"/>
      <c r="AT1006" s="199"/>
      <c r="AU1006" s="199"/>
      <c r="AV1006" s="199"/>
      <c r="AW1006" s="136"/>
      <c r="AX1006" s="199"/>
      <c r="AY1006" s="199"/>
      <c r="AZ1006" s="199"/>
      <c r="BA1006" s="199"/>
      <c r="BB1006" s="136"/>
      <c r="BC1006" s="199"/>
      <c r="BD1006" s="199"/>
      <c r="BE1006" s="199"/>
      <c r="BF1006" s="199"/>
      <c r="BG1006" s="136"/>
      <c r="BH1006" s="199"/>
      <c r="BI1006" s="199"/>
      <c r="BJ1006" s="199"/>
    </row>
    <row r="1007" spans="1:62" x14ac:dyDescent="0.25">
      <c r="A1007" s="199"/>
      <c r="B1007" s="136"/>
      <c r="C1007" s="199"/>
      <c r="D1007" s="199"/>
      <c r="E1007" s="199"/>
      <c r="F1007" s="199"/>
      <c r="G1007" s="199"/>
      <c r="H1007" s="199"/>
      <c r="I1007" s="136"/>
      <c r="J1007" s="199"/>
      <c r="K1007" s="199"/>
      <c r="L1007" s="199"/>
      <c r="M1007" s="199"/>
      <c r="N1007" s="136"/>
      <c r="O1007" s="199"/>
      <c r="P1007" s="199"/>
      <c r="Q1007" s="199"/>
      <c r="R1007" s="199"/>
      <c r="S1007" s="136"/>
      <c r="T1007" s="199"/>
      <c r="U1007" s="199"/>
      <c r="V1007" s="199"/>
      <c r="W1007" s="199"/>
      <c r="X1007" s="136"/>
      <c r="Y1007" s="199"/>
      <c r="Z1007" s="199"/>
      <c r="AA1007" s="199"/>
      <c r="AB1007" s="199"/>
      <c r="AC1007" s="136"/>
      <c r="AD1007" s="199"/>
      <c r="AE1007" s="199"/>
      <c r="AF1007" s="199"/>
      <c r="AG1007" s="199"/>
      <c r="AH1007" s="136"/>
      <c r="AI1007" s="199"/>
      <c r="AJ1007" s="199"/>
      <c r="AK1007" s="199"/>
      <c r="AL1007" s="199"/>
      <c r="AM1007" s="136"/>
      <c r="AN1007" s="199"/>
      <c r="AO1007" s="199"/>
      <c r="AP1007" s="199"/>
      <c r="AQ1007" s="199"/>
      <c r="AR1007" s="136"/>
      <c r="AS1007" s="199"/>
      <c r="AT1007" s="199"/>
      <c r="AU1007" s="199"/>
      <c r="AV1007" s="199"/>
      <c r="AW1007" s="136"/>
      <c r="AX1007" s="199"/>
      <c r="AY1007" s="199"/>
      <c r="AZ1007" s="199"/>
      <c r="BA1007" s="199"/>
      <c r="BB1007" s="136"/>
      <c r="BC1007" s="199"/>
      <c r="BD1007" s="199"/>
      <c r="BE1007" s="199"/>
      <c r="BF1007" s="199"/>
      <c r="BG1007" s="136"/>
      <c r="BH1007" s="199"/>
      <c r="BI1007" s="199"/>
      <c r="BJ1007" s="199"/>
    </row>
    <row r="1008" spans="1:62" x14ac:dyDescent="0.25">
      <c r="A1008" s="199"/>
      <c r="B1008" s="136"/>
      <c r="C1008" s="199"/>
      <c r="D1008" s="199"/>
      <c r="E1008" s="199"/>
      <c r="F1008" s="199"/>
      <c r="G1008" s="199"/>
      <c r="H1008" s="199"/>
      <c r="I1008" s="136"/>
      <c r="J1008" s="199"/>
      <c r="K1008" s="199"/>
      <c r="L1008" s="199"/>
      <c r="M1008" s="199"/>
      <c r="N1008" s="136"/>
      <c r="O1008" s="199"/>
      <c r="P1008" s="199"/>
      <c r="Q1008" s="199"/>
      <c r="R1008" s="199"/>
      <c r="S1008" s="136"/>
      <c r="T1008" s="199"/>
      <c r="U1008" s="199"/>
      <c r="V1008" s="199"/>
      <c r="W1008" s="199"/>
      <c r="X1008" s="136"/>
      <c r="Y1008" s="199"/>
      <c r="Z1008" s="199"/>
      <c r="AA1008" s="199"/>
      <c r="AB1008" s="199"/>
      <c r="AC1008" s="136"/>
      <c r="AD1008" s="199"/>
      <c r="AE1008" s="199"/>
      <c r="AF1008" s="199"/>
      <c r="AG1008" s="199"/>
      <c r="AH1008" s="136"/>
      <c r="AI1008" s="199"/>
      <c r="AJ1008" s="199"/>
      <c r="AK1008" s="199"/>
      <c r="AL1008" s="199"/>
      <c r="AM1008" s="136"/>
      <c r="AN1008" s="199"/>
      <c r="AO1008" s="199"/>
      <c r="AP1008" s="199"/>
      <c r="AQ1008" s="199"/>
      <c r="AR1008" s="136"/>
      <c r="AS1008" s="199"/>
      <c r="AT1008" s="199"/>
      <c r="AU1008" s="199"/>
      <c r="AV1008" s="199"/>
      <c r="AW1008" s="136"/>
      <c r="AX1008" s="199"/>
      <c r="AY1008" s="199"/>
      <c r="AZ1008" s="199"/>
      <c r="BA1008" s="199"/>
      <c r="BB1008" s="136"/>
      <c r="BC1008" s="199"/>
      <c r="BD1008" s="199"/>
      <c r="BE1008" s="199"/>
      <c r="BF1008" s="199"/>
      <c r="BG1008" s="136"/>
      <c r="BH1008" s="199"/>
      <c r="BI1008" s="199"/>
      <c r="BJ1008" s="199"/>
    </row>
    <row r="1009" spans="1:62" x14ac:dyDescent="0.25">
      <c r="A1009" s="199"/>
      <c r="B1009" s="136"/>
      <c r="C1009" s="199"/>
      <c r="D1009" s="199"/>
      <c r="E1009" s="199"/>
      <c r="F1009" s="199"/>
      <c r="G1009" s="199"/>
      <c r="H1009" s="199"/>
      <c r="I1009" s="136"/>
      <c r="J1009" s="199"/>
      <c r="K1009" s="199"/>
      <c r="L1009" s="199"/>
      <c r="M1009" s="199"/>
      <c r="N1009" s="136"/>
      <c r="O1009" s="199"/>
      <c r="P1009" s="199"/>
      <c r="Q1009" s="199"/>
      <c r="R1009" s="199"/>
      <c r="S1009" s="136"/>
      <c r="T1009" s="199"/>
      <c r="U1009" s="199"/>
      <c r="V1009" s="199"/>
      <c r="W1009" s="199"/>
      <c r="X1009" s="136"/>
      <c r="Y1009" s="199"/>
      <c r="Z1009" s="199"/>
      <c r="AA1009" s="199"/>
      <c r="AB1009" s="199"/>
      <c r="AC1009" s="136"/>
      <c r="AD1009" s="199"/>
      <c r="AE1009" s="199"/>
      <c r="AF1009" s="199"/>
      <c r="AG1009" s="199"/>
      <c r="AH1009" s="136"/>
      <c r="AI1009" s="199"/>
      <c r="AJ1009" s="199"/>
      <c r="AK1009" s="199"/>
      <c r="AL1009" s="199"/>
      <c r="AM1009" s="136"/>
      <c r="AN1009" s="199"/>
      <c r="AO1009" s="199"/>
      <c r="AP1009" s="199"/>
      <c r="AQ1009" s="199"/>
      <c r="AR1009" s="136"/>
      <c r="AS1009" s="199"/>
      <c r="AT1009" s="199"/>
      <c r="AU1009" s="199"/>
      <c r="AV1009" s="199"/>
      <c r="AW1009" s="136"/>
      <c r="AX1009" s="199"/>
      <c r="AY1009" s="199"/>
      <c r="AZ1009" s="199"/>
      <c r="BA1009" s="199"/>
      <c r="BB1009" s="136"/>
      <c r="BC1009" s="199"/>
      <c r="BD1009" s="199"/>
      <c r="BE1009" s="199"/>
      <c r="BF1009" s="199"/>
      <c r="BG1009" s="136"/>
      <c r="BH1009" s="199"/>
      <c r="BI1009" s="199"/>
      <c r="BJ1009" s="199"/>
    </row>
    <row r="1010" spans="1:62" x14ac:dyDescent="0.25">
      <c r="A1010" s="199"/>
      <c r="B1010" s="136"/>
      <c r="C1010" s="199"/>
      <c r="D1010" s="199"/>
      <c r="E1010" s="199"/>
      <c r="F1010" s="199"/>
      <c r="G1010" s="199"/>
      <c r="H1010" s="199"/>
      <c r="I1010" s="136"/>
      <c r="J1010" s="199"/>
      <c r="K1010" s="199"/>
      <c r="L1010" s="199"/>
      <c r="M1010" s="199"/>
      <c r="N1010" s="136"/>
      <c r="O1010" s="199"/>
      <c r="P1010" s="199"/>
      <c r="Q1010" s="199"/>
      <c r="R1010" s="199"/>
      <c r="S1010" s="136"/>
      <c r="T1010" s="199"/>
      <c r="U1010" s="199"/>
      <c r="V1010" s="199"/>
      <c r="W1010" s="199"/>
      <c r="X1010" s="136"/>
      <c r="Y1010" s="199"/>
      <c r="Z1010" s="199"/>
      <c r="AA1010" s="199"/>
      <c r="AB1010" s="199"/>
      <c r="AC1010" s="136"/>
      <c r="AD1010" s="199"/>
      <c r="AE1010" s="199"/>
      <c r="AF1010" s="199"/>
      <c r="AG1010" s="199"/>
      <c r="AH1010" s="136"/>
      <c r="AI1010" s="199"/>
      <c r="AJ1010" s="199"/>
      <c r="AK1010" s="199"/>
      <c r="AL1010" s="199"/>
      <c r="AM1010" s="136"/>
      <c r="AN1010" s="199"/>
      <c r="AO1010" s="199"/>
      <c r="AP1010" s="199"/>
      <c r="AQ1010" s="199"/>
      <c r="AR1010" s="136"/>
      <c r="AS1010" s="199"/>
      <c r="AT1010" s="199"/>
      <c r="AU1010" s="199"/>
      <c r="AV1010" s="199"/>
      <c r="AW1010" s="136"/>
      <c r="AX1010" s="199"/>
      <c r="AY1010" s="199"/>
      <c r="AZ1010" s="199"/>
      <c r="BA1010" s="199"/>
      <c r="BB1010" s="136"/>
      <c r="BC1010" s="199"/>
      <c r="BD1010" s="199"/>
      <c r="BE1010" s="199"/>
      <c r="BF1010" s="199"/>
      <c r="BG1010" s="136"/>
      <c r="BH1010" s="199"/>
      <c r="BI1010" s="199"/>
      <c r="BJ1010" s="199"/>
    </row>
    <row r="1011" spans="1:62" x14ac:dyDescent="0.25">
      <c r="A1011" s="199"/>
      <c r="B1011" s="136"/>
      <c r="C1011" s="199"/>
      <c r="D1011" s="199"/>
      <c r="E1011" s="199"/>
      <c r="F1011" s="199"/>
      <c r="G1011" s="199"/>
      <c r="H1011" s="199"/>
      <c r="I1011" s="136"/>
      <c r="J1011" s="199"/>
      <c r="K1011" s="199"/>
      <c r="L1011" s="199"/>
      <c r="M1011" s="199"/>
      <c r="N1011" s="136"/>
      <c r="O1011" s="199"/>
      <c r="P1011" s="199"/>
      <c r="Q1011" s="199"/>
      <c r="R1011" s="199"/>
      <c r="S1011" s="136"/>
      <c r="T1011" s="199"/>
      <c r="U1011" s="199"/>
      <c r="V1011" s="199"/>
      <c r="W1011" s="199"/>
      <c r="X1011" s="136"/>
      <c r="Y1011" s="199"/>
      <c r="Z1011" s="199"/>
      <c r="AA1011" s="199"/>
      <c r="AB1011" s="199"/>
      <c r="AC1011" s="136"/>
      <c r="AD1011" s="199"/>
      <c r="AE1011" s="199"/>
      <c r="AF1011" s="199"/>
      <c r="AG1011" s="199"/>
      <c r="AH1011" s="136"/>
      <c r="AI1011" s="199"/>
      <c r="AJ1011" s="199"/>
      <c r="AK1011" s="199"/>
      <c r="AL1011" s="199"/>
      <c r="AM1011" s="136"/>
      <c r="AN1011" s="199"/>
      <c r="AO1011" s="199"/>
      <c r="AP1011" s="199"/>
      <c r="AQ1011" s="199"/>
      <c r="AR1011" s="136"/>
      <c r="AS1011" s="199"/>
      <c r="AT1011" s="199"/>
      <c r="AU1011" s="199"/>
      <c r="AV1011" s="199"/>
      <c r="AW1011" s="136"/>
      <c r="AX1011" s="199"/>
      <c r="AY1011" s="199"/>
      <c r="AZ1011" s="199"/>
      <c r="BA1011" s="199"/>
      <c r="BB1011" s="136"/>
      <c r="BC1011" s="199"/>
      <c r="BD1011" s="199"/>
      <c r="BE1011" s="199"/>
      <c r="BF1011" s="199"/>
      <c r="BG1011" s="136"/>
      <c r="BH1011" s="199"/>
      <c r="BI1011" s="199"/>
      <c r="BJ1011" s="199"/>
    </row>
    <row r="1012" spans="1:62" x14ac:dyDescent="0.25">
      <c r="A1012" s="199"/>
      <c r="B1012" s="136"/>
      <c r="C1012" s="199"/>
      <c r="D1012" s="199"/>
      <c r="E1012" s="199"/>
      <c r="F1012" s="199"/>
      <c r="G1012" s="199"/>
      <c r="H1012" s="199"/>
      <c r="I1012" s="136"/>
      <c r="J1012" s="199"/>
      <c r="K1012" s="199"/>
      <c r="L1012" s="199"/>
      <c r="M1012" s="199"/>
      <c r="N1012" s="136"/>
      <c r="O1012" s="199"/>
      <c r="P1012" s="199"/>
      <c r="Q1012" s="199"/>
      <c r="R1012" s="199"/>
      <c r="S1012" s="136"/>
      <c r="T1012" s="199"/>
      <c r="U1012" s="199"/>
      <c r="V1012" s="199"/>
      <c r="W1012" s="199"/>
      <c r="X1012" s="136"/>
      <c r="Y1012" s="199"/>
      <c r="Z1012" s="199"/>
      <c r="AA1012" s="199"/>
      <c r="AB1012" s="199"/>
      <c r="AC1012" s="136"/>
      <c r="AD1012" s="199"/>
      <c r="AE1012" s="199"/>
      <c r="AF1012" s="199"/>
      <c r="AG1012" s="199"/>
      <c r="AH1012" s="136"/>
      <c r="AI1012" s="199"/>
      <c r="AJ1012" s="199"/>
      <c r="AK1012" s="199"/>
      <c r="AL1012" s="199"/>
      <c r="AM1012" s="136"/>
      <c r="AN1012" s="199"/>
      <c r="AO1012" s="199"/>
      <c r="AP1012" s="199"/>
      <c r="AQ1012" s="199"/>
      <c r="AR1012" s="136"/>
      <c r="AS1012" s="199"/>
      <c r="AT1012" s="199"/>
      <c r="AU1012" s="199"/>
      <c r="AV1012" s="199"/>
      <c r="AW1012" s="136"/>
      <c r="AX1012" s="199"/>
      <c r="AY1012" s="199"/>
      <c r="AZ1012" s="199"/>
      <c r="BA1012" s="199"/>
      <c r="BB1012" s="136"/>
      <c r="BC1012" s="199"/>
      <c r="BD1012" s="199"/>
      <c r="BE1012" s="199"/>
      <c r="BF1012" s="199"/>
      <c r="BG1012" s="136"/>
      <c r="BH1012" s="199"/>
      <c r="BI1012" s="199"/>
      <c r="BJ1012" s="199"/>
    </row>
    <row r="1016" spans="1:62" ht="36" x14ac:dyDescent="0.25">
      <c r="A1016" s="169"/>
      <c r="B1016" s="107"/>
      <c r="C1016" s="107"/>
      <c r="D1016" s="107"/>
      <c r="E1016" s="107"/>
      <c r="F1016" s="107"/>
      <c r="G1016" s="107"/>
      <c r="H1016" s="107"/>
      <c r="I1016" s="107"/>
      <c r="J1016" s="107"/>
      <c r="K1016" s="107"/>
      <c r="L1016" s="107"/>
      <c r="M1016" s="107"/>
      <c r="N1016" s="107"/>
      <c r="O1016" s="107"/>
      <c r="P1016" s="107"/>
      <c r="Q1016" s="107"/>
      <c r="R1016" s="107"/>
      <c r="S1016" s="107"/>
      <c r="T1016" s="107"/>
      <c r="U1016" s="107"/>
      <c r="V1016" s="107"/>
      <c r="W1016" s="107"/>
      <c r="X1016" s="107"/>
      <c r="Y1016" s="107"/>
      <c r="Z1016" s="107"/>
      <c r="AA1016" s="107"/>
      <c r="AB1016" s="107"/>
      <c r="AC1016" s="107"/>
      <c r="AD1016" s="107"/>
      <c r="AE1016" s="107"/>
      <c r="AF1016" s="107"/>
      <c r="AG1016" s="107"/>
      <c r="AH1016" s="107"/>
      <c r="AI1016" s="107"/>
      <c r="AJ1016" s="107"/>
      <c r="AK1016" s="107"/>
      <c r="AL1016" s="107"/>
      <c r="AM1016" s="107"/>
      <c r="AN1016" s="107"/>
      <c r="AO1016" s="107"/>
      <c r="AP1016" s="107"/>
      <c r="AQ1016" s="107"/>
      <c r="AR1016" s="107"/>
      <c r="AS1016" s="107"/>
      <c r="AT1016" s="107"/>
      <c r="AU1016" s="107"/>
      <c r="AV1016" s="107"/>
      <c r="AW1016" s="107"/>
      <c r="AX1016" s="107"/>
      <c r="AY1016" s="107"/>
      <c r="AZ1016" s="107"/>
      <c r="BA1016" s="107"/>
      <c r="BB1016" s="107"/>
      <c r="BC1016" s="107"/>
      <c r="BD1016" s="107"/>
      <c r="BE1016" s="107"/>
      <c r="BF1016" s="107"/>
      <c r="BG1016" s="107"/>
      <c r="BH1016" s="107"/>
      <c r="BI1016" s="107"/>
      <c r="BJ1016" s="107"/>
    </row>
    <row r="1017" spans="1:62" x14ac:dyDescent="0.25">
      <c r="A1017" s="107"/>
      <c r="B1017" s="107"/>
      <c r="C1017" s="107"/>
      <c r="D1017" s="107"/>
      <c r="E1017" s="107"/>
      <c r="F1017" s="107"/>
      <c r="G1017" s="107"/>
      <c r="H1017" s="107"/>
      <c r="I1017" s="107"/>
      <c r="J1017" s="107"/>
      <c r="K1017" s="107"/>
      <c r="L1017" s="107"/>
      <c r="M1017" s="107"/>
      <c r="N1017" s="107"/>
      <c r="O1017" s="107"/>
      <c r="P1017" s="107"/>
      <c r="Q1017" s="107"/>
      <c r="R1017" s="107"/>
      <c r="S1017" s="107"/>
      <c r="T1017" s="107"/>
      <c r="U1017" s="107"/>
      <c r="V1017" s="107"/>
      <c r="W1017" s="107"/>
      <c r="X1017" s="107"/>
      <c r="Y1017" s="107"/>
      <c r="Z1017" s="107"/>
      <c r="AA1017" s="107"/>
      <c r="AB1017" s="107"/>
      <c r="AC1017" s="107"/>
      <c r="AD1017" s="107"/>
      <c r="AE1017" s="107"/>
      <c r="AF1017" s="107"/>
      <c r="AG1017" s="107"/>
      <c r="AH1017" s="107"/>
      <c r="AI1017" s="107"/>
      <c r="AJ1017" s="107"/>
      <c r="AK1017" s="107"/>
      <c r="AL1017" s="107"/>
      <c r="AM1017" s="107"/>
      <c r="AN1017" s="107"/>
      <c r="AO1017" s="107"/>
      <c r="AP1017" s="107"/>
      <c r="AQ1017" s="107"/>
      <c r="AR1017" s="107"/>
      <c r="AS1017" s="107"/>
      <c r="AT1017" s="107"/>
      <c r="AU1017" s="107"/>
      <c r="AV1017" s="107"/>
      <c r="AW1017" s="107"/>
      <c r="AX1017" s="107"/>
      <c r="AY1017" s="107"/>
      <c r="AZ1017" s="107"/>
      <c r="BA1017" s="107"/>
      <c r="BB1017" s="107"/>
      <c r="BC1017" s="107"/>
      <c r="BD1017" s="107"/>
      <c r="BE1017" s="107"/>
      <c r="BF1017" s="107"/>
      <c r="BG1017" s="107"/>
      <c r="BH1017" s="107"/>
      <c r="BI1017" s="107"/>
      <c r="BJ1017" s="107"/>
    </row>
    <row r="1018" spans="1:62" x14ac:dyDescent="0.25">
      <c r="A1018" s="107"/>
      <c r="B1018" s="107"/>
      <c r="C1018" s="107"/>
      <c r="D1018" s="107"/>
      <c r="E1018" s="107"/>
      <c r="F1018" s="107"/>
      <c r="G1018" s="107"/>
      <c r="H1018" s="107"/>
      <c r="I1018" s="107"/>
      <c r="J1018" s="107"/>
      <c r="K1018" s="107"/>
      <c r="L1018" s="107"/>
      <c r="M1018" s="107"/>
      <c r="N1018" s="107"/>
      <c r="O1018" s="107"/>
      <c r="P1018" s="107"/>
      <c r="Q1018" s="107"/>
      <c r="R1018" s="107"/>
      <c r="S1018" s="107"/>
      <c r="T1018" s="107"/>
      <c r="U1018" s="107"/>
      <c r="V1018" s="107"/>
      <c r="W1018" s="107"/>
      <c r="X1018" s="107"/>
      <c r="Y1018" s="107"/>
      <c r="Z1018" s="107"/>
      <c r="AA1018" s="107"/>
      <c r="AB1018" s="107"/>
      <c r="AC1018" s="107"/>
      <c r="AD1018" s="107"/>
      <c r="AE1018" s="107"/>
      <c r="AF1018" s="107"/>
      <c r="AG1018" s="107"/>
      <c r="AH1018" s="107"/>
      <c r="AI1018" s="107"/>
      <c r="AJ1018" s="107"/>
      <c r="AK1018" s="107"/>
      <c r="AL1018" s="107"/>
      <c r="AM1018" s="107"/>
      <c r="AN1018" s="107"/>
      <c r="AO1018" s="107"/>
      <c r="AP1018" s="107"/>
      <c r="AQ1018" s="107"/>
      <c r="AR1018" s="107"/>
      <c r="AS1018" s="107"/>
      <c r="AT1018" s="107"/>
      <c r="AU1018" s="107"/>
      <c r="AV1018" s="107"/>
      <c r="AW1018" s="107"/>
      <c r="AX1018" s="107"/>
      <c r="AY1018" s="107"/>
      <c r="AZ1018" s="107"/>
      <c r="BA1018" s="107"/>
      <c r="BB1018" s="107"/>
      <c r="BC1018" s="107"/>
      <c r="BD1018" s="107"/>
      <c r="BE1018" s="107"/>
      <c r="BF1018" s="107"/>
      <c r="BG1018" s="107"/>
      <c r="BH1018" s="107"/>
      <c r="BI1018" s="107"/>
      <c r="BJ1018" s="107"/>
    </row>
    <row r="1019" spans="1:62" ht="36" x14ac:dyDescent="0.25">
      <c r="A1019" s="169"/>
      <c r="B1019" s="169"/>
      <c r="C1019" s="169"/>
      <c r="D1019" s="169"/>
      <c r="E1019" s="169"/>
      <c r="F1019" s="169"/>
      <c r="G1019" s="169"/>
      <c r="H1019" s="169"/>
      <c r="I1019" s="169"/>
      <c r="J1019" s="169"/>
      <c r="K1019" s="169"/>
      <c r="L1019" s="169"/>
      <c r="M1019" s="169"/>
      <c r="N1019" s="169"/>
      <c r="O1019" s="169"/>
      <c r="P1019" s="169"/>
      <c r="Q1019" s="169"/>
      <c r="R1019" s="169"/>
      <c r="S1019" s="169"/>
      <c r="T1019" s="169"/>
      <c r="U1019" s="169"/>
      <c r="V1019" s="169"/>
      <c r="W1019" s="169"/>
      <c r="X1019" s="169"/>
      <c r="Y1019" s="169"/>
      <c r="Z1019" s="169"/>
      <c r="AA1019" s="169"/>
      <c r="AB1019" s="169"/>
      <c r="AC1019" s="169"/>
      <c r="AD1019" s="169"/>
      <c r="AE1019" s="169"/>
      <c r="AF1019" s="169"/>
      <c r="AG1019" s="169"/>
      <c r="AH1019" s="169"/>
      <c r="AI1019" s="169"/>
      <c r="AJ1019" s="169"/>
      <c r="AK1019" s="169"/>
      <c r="AL1019" s="169"/>
      <c r="AM1019" s="169"/>
      <c r="AN1019" s="169"/>
      <c r="AO1019" s="169"/>
      <c r="AP1019" s="169"/>
      <c r="AQ1019" s="169"/>
      <c r="AR1019" s="169"/>
      <c r="AS1019" s="169"/>
      <c r="AT1019" s="169"/>
      <c r="AU1019" s="169"/>
      <c r="AV1019" s="169"/>
      <c r="AW1019" s="169"/>
      <c r="AX1019" s="169"/>
      <c r="AY1019" s="169"/>
      <c r="AZ1019" s="169"/>
      <c r="BA1019" s="169"/>
      <c r="BB1019" s="169"/>
      <c r="BC1019" s="169"/>
      <c r="BD1019" s="169"/>
      <c r="BE1019" s="169"/>
      <c r="BF1019" s="169"/>
      <c r="BG1019" s="169"/>
      <c r="BH1019" s="169"/>
      <c r="BI1019" s="169"/>
      <c r="BJ1019" s="169"/>
    </row>
    <row r="1020" spans="1:62" ht="36" x14ac:dyDescent="0.25">
      <c r="A1020" s="169"/>
      <c r="B1020" s="169"/>
      <c r="C1020" s="169"/>
      <c r="D1020" s="169"/>
      <c r="E1020" s="169"/>
      <c r="F1020" s="169"/>
      <c r="G1020" s="169"/>
      <c r="H1020" s="169"/>
      <c r="I1020" s="169"/>
      <c r="J1020" s="169"/>
      <c r="K1020" s="169"/>
      <c r="L1020" s="169"/>
      <c r="M1020" s="169"/>
      <c r="N1020" s="169"/>
      <c r="O1020" s="169"/>
      <c r="P1020" s="169"/>
      <c r="Q1020" s="169"/>
      <c r="R1020" s="169"/>
      <c r="S1020" s="169"/>
      <c r="T1020" s="169"/>
      <c r="U1020" s="169"/>
      <c r="V1020" s="169"/>
      <c r="W1020" s="169"/>
      <c r="X1020" s="169"/>
      <c r="Y1020" s="169"/>
      <c r="Z1020" s="169"/>
      <c r="AA1020" s="169"/>
      <c r="AB1020" s="169"/>
      <c r="AC1020" s="169"/>
      <c r="AD1020" s="169"/>
      <c r="AE1020" s="169"/>
      <c r="AF1020" s="169"/>
      <c r="AG1020" s="169"/>
      <c r="AH1020" s="169"/>
      <c r="AI1020" s="169"/>
      <c r="AJ1020" s="169"/>
      <c r="AK1020" s="169"/>
      <c r="AL1020" s="169"/>
      <c r="AM1020" s="169"/>
      <c r="AN1020" s="169"/>
      <c r="AO1020" s="169"/>
      <c r="AP1020" s="169"/>
      <c r="AQ1020" s="169"/>
      <c r="AR1020" s="169"/>
      <c r="AS1020" s="169"/>
      <c r="AT1020" s="169"/>
      <c r="AU1020" s="169"/>
      <c r="AV1020" s="169"/>
      <c r="AW1020" s="169"/>
      <c r="AX1020" s="169"/>
      <c r="AY1020" s="169"/>
      <c r="AZ1020" s="169"/>
      <c r="BA1020" s="169"/>
      <c r="BB1020" s="169"/>
      <c r="BC1020" s="169"/>
      <c r="BD1020" s="169"/>
      <c r="BE1020" s="169"/>
      <c r="BF1020" s="169"/>
      <c r="BG1020" s="169"/>
      <c r="BH1020" s="169"/>
      <c r="BI1020" s="169"/>
      <c r="BJ1020" s="169"/>
    </row>
    <row r="1021" spans="1:62" ht="36" x14ac:dyDescent="0.25">
      <c r="A1021" s="169"/>
      <c r="B1021" s="169"/>
      <c r="C1021" s="169"/>
      <c r="D1021" s="169"/>
      <c r="E1021" s="169"/>
      <c r="F1021" s="169"/>
      <c r="G1021" s="169"/>
      <c r="H1021" s="169"/>
      <c r="I1021" s="169"/>
      <c r="J1021" s="169"/>
      <c r="K1021" s="169"/>
      <c r="L1021" s="169"/>
      <c r="M1021" s="169"/>
      <c r="N1021" s="169"/>
      <c r="O1021" s="169"/>
      <c r="P1021" s="169"/>
      <c r="Q1021" s="169"/>
      <c r="R1021" s="169"/>
      <c r="S1021" s="169"/>
      <c r="T1021" s="169"/>
      <c r="U1021" s="169"/>
      <c r="V1021" s="169"/>
      <c r="W1021" s="169"/>
      <c r="X1021" s="169"/>
      <c r="Y1021" s="169"/>
      <c r="Z1021" s="169"/>
      <c r="AA1021" s="169"/>
      <c r="AB1021" s="169"/>
      <c r="AC1021" s="169"/>
      <c r="AD1021" s="169"/>
      <c r="AE1021" s="169"/>
      <c r="AF1021" s="169"/>
      <c r="AG1021" s="169"/>
      <c r="AH1021" s="169"/>
      <c r="AI1021" s="169"/>
      <c r="AJ1021" s="169"/>
      <c r="AK1021" s="169"/>
      <c r="AL1021" s="169"/>
      <c r="AM1021" s="169"/>
      <c r="AN1021" s="169"/>
      <c r="AO1021" s="169"/>
      <c r="AP1021" s="169"/>
      <c r="AQ1021" s="169"/>
      <c r="AR1021" s="169"/>
      <c r="AS1021" s="169"/>
      <c r="AT1021" s="169"/>
      <c r="AU1021" s="169"/>
      <c r="AV1021" s="169"/>
      <c r="AW1021" s="169"/>
      <c r="AX1021" s="169"/>
      <c r="AY1021" s="169"/>
      <c r="AZ1021" s="169"/>
      <c r="BA1021" s="169"/>
      <c r="BB1021" s="169"/>
      <c r="BC1021" s="169"/>
      <c r="BD1021" s="169"/>
      <c r="BE1021" s="169"/>
      <c r="BF1021" s="169"/>
      <c r="BG1021" s="169"/>
      <c r="BH1021" s="169"/>
      <c r="BI1021" s="169"/>
      <c r="BJ1021" s="169"/>
    </row>
    <row r="1022" spans="1:62" x14ac:dyDescent="0.25">
      <c r="F1022" s="194"/>
      <c r="G1022" s="194"/>
    </row>
    <row r="1024" spans="1:62" x14ac:dyDescent="0.25">
      <c r="A1024" s="199"/>
      <c r="B1024" s="136"/>
      <c r="C1024" s="199"/>
      <c r="D1024" s="199"/>
      <c r="E1024" s="199"/>
      <c r="F1024" s="199"/>
      <c r="G1024" s="199"/>
      <c r="H1024" s="199"/>
      <c r="I1024" s="136"/>
      <c r="J1024" s="199"/>
      <c r="K1024" s="199"/>
      <c r="L1024" s="199"/>
      <c r="M1024" s="199"/>
      <c r="N1024" s="136"/>
      <c r="O1024" s="199"/>
      <c r="P1024" s="199"/>
      <c r="Q1024" s="199"/>
      <c r="R1024" s="199"/>
      <c r="S1024" s="136"/>
      <c r="T1024" s="199"/>
      <c r="U1024" s="199"/>
      <c r="V1024" s="199"/>
      <c r="W1024" s="199"/>
      <c r="X1024" s="136"/>
      <c r="Y1024" s="199"/>
      <c r="Z1024" s="199"/>
      <c r="AA1024" s="199"/>
      <c r="AB1024" s="199"/>
      <c r="AC1024" s="136"/>
      <c r="AD1024" s="199"/>
      <c r="AE1024" s="199"/>
      <c r="AF1024" s="199"/>
      <c r="AG1024" s="199"/>
      <c r="AH1024" s="136"/>
      <c r="AI1024" s="199"/>
      <c r="AJ1024" s="199"/>
      <c r="AK1024" s="199"/>
      <c r="AL1024" s="199"/>
      <c r="AM1024" s="136"/>
      <c r="AN1024" s="199"/>
      <c r="AO1024" s="199"/>
      <c r="AP1024" s="199"/>
      <c r="AQ1024" s="199"/>
      <c r="AR1024" s="136"/>
      <c r="AS1024" s="199"/>
      <c r="AT1024" s="199"/>
      <c r="AU1024" s="199"/>
      <c r="AV1024" s="199"/>
      <c r="AW1024" s="136"/>
      <c r="AX1024" s="199"/>
      <c r="AY1024" s="199"/>
      <c r="AZ1024" s="199"/>
      <c r="BA1024" s="199"/>
      <c r="BB1024" s="136"/>
      <c r="BC1024" s="199"/>
      <c r="BD1024" s="199"/>
      <c r="BE1024" s="199"/>
      <c r="BF1024" s="199"/>
      <c r="BG1024" s="136"/>
      <c r="BH1024" s="199"/>
      <c r="BI1024" s="199"/>
      <c r="BJ1024" s="199"/>
    </row>
    <row r="1025" spans="1:62" x14ac:dyDescent="0.25">
      <c r="A1025" s="199"/>
      <c r="B1025" s="136"/>
      <c r="C1025" s="199"/>
      <c r="D1025" s="199"/>
      <c r="E1025" s="199"/>
      <c r="F1025" s="199"/>
      <c r="G1025" s="199"/>
      <c r="H1025" s="199"/>
      <c r="I1025" s="136"/>
      <c r="J1025" s="199"/>
      <c r="K1025" s="199"/>
      <c r="L1025" s="199"/>
      <c r="M1025" s="199"/>
      <c r="N1025" s="136"/>
      <c r="O1025" s="199"/>
      <c r="P1025" s="199"/>
      <c r="Q1025" s="199"/>
      <c r="R1025" s="199"/>
      <c r="S1025" s="136"/>
      <c r="T1025" s="199"/>
      <c r="U1025" s="199"/>
      <c r="V1025" s="199"/>
      <c r="W1025" s="199"/>
      <c r="X1025" s="136"/>
      <c r="Y1025" s="199"/>
      <c r="Z1025" s="199"/>
      <c r="AA1025" s="199"/>
      <c r="AB1025" s="199"/>
      <c r="AC1025" s="136"/>
      <c r="AD1025" s="199"/>
      <c r="AE1025" s="199"/>
      <c r="AF1025" s="199"/>
      <c r="AG1025" s="199"/>
      <c r="AH1025" s="136"/>
      <c r="AI1025" s="199"/>
      <c r="AJ1025" s="199"/>
      <c r="AK1025" s="199"/>
      <c r="AL1025" s="199"/>
      <c r="AM1025" s="136"/>
      <c r="AN1025" s="199"/>
      <c r="AO1025" s="199"/>
      <c r="AP1025" s="199"/>
      <c r="AQ1025" s="199"/>
      <c r="AR1025" s="136"/>
      <c r="AS1025" s="199"/>
      <c r="AT1025" s="199"/>
      <c r="AU1025" s="199"/>
      <c r="AV1025" s="199"/>
      <c r="AW1025" s="136"/>
      <c r="AX1025" s="199"/>
      <c r="AY1025" s="199"/>
      <c r="AZ1025" s="199"/>
      <c r="BA1025" s="199"/>
      <c r="BB1025" s="136"/>
      <c r="BC1025" s="199"/>
      <c r="BD1025" s="199"/>
      <c r="BE1025" s="199"/>
      <c r="BF1025" s="199"/>
      <c r="BG1025" s="136"/>
      <c r="BH1025" s="199"/>
      <c r="BI1025" s="199"/>
      <c r="BJ1025" s="199"/>
    </row>
    <row r="1026" spans="1:62" x14ac:dyDescent="0.25">
      <c r="A1026" s="199"/>
      <c r="B1026" s="136"/>
      <c r="C1026" s="199"/>
      <c r="D1026" s="199"/>
      <c r="E1026" s="199"/>
      <c r="F1026" s="199"/>
      <c r="G1026" s="199"/>
      <c r="H1026" s="199"/>
      <c r="I1026" s="136"/>
      <c r="J1026" s="199"/>
      <c r="K1026" s="199"/>
      <c r="L1026" s="199"/>
      <c r="M1026" s="199"/>
      <c r="N1026" s="136"/>
      <c r="O1026" s="199"/>
      <c r="P1026" s="199"/>
      <c r="Q1026" s="199"/>
      <c r="R1026" s="199"/>
      <c r="S1026" s="136"/>
      <c r="T1026" s="199"/>
      <c r="U1026" s="199"/>
      <c r="V1026" s="199"/>
      <c r="W1026" s="199"/>
      <c r="X1026" s="136"/>
      <c r="Y1026" s="199"/>
      <c r="Z1026" s="199"/>
      <c r="AA1026" s="199"/>
      <c r="AB1026" s="199"/>
      <c r="AC1026" s="136"/>
      <c r="AD1026" s="199"/>
      <c r="AE1026" s="199"/>
      <c r="AF1026" s="199"/>
      <c r="AG1026" s="199"/>
      <c r="AH1026" s="136"/>
      <c r="AI1026" s="199"/>
      <c r="AJ1026" s="199"/>
      <c r="AK1026" s="199"/>
      <c r="AL1026" s="199"/>
      <c r="AM1026" s="136"/>
      <c r="AN1026" s="199"/>
      <c r="AO1026" s="199"/>
      <c r="AP1026" s="199"/>
      <c r="AQ1026" s="199"/>
      <c r="AR1026" s="136"/>
      <c r="AS1026" s="199"/>
      <c r="AT1026" s="199"/>
      <c r="AU1026" s="199"/>
      <c r="AV1026" s="199"/>
      <c r="AW1026" s="136"/>
      <c r="AX1026" s="199"/>
      <c r="AY1026" s="199"/>
      <c r="AZ1026" s="199"/>
      <c r="BA1026" s="199"/>
      <c r="BB1026" s="136"/>
      <c r="BC1026" s="199"/>
      <c r="BD1026" s="199"/>
      <c r="BE1026" s="199"/>
      <c r="BF1026" s="199"/>
      <c r="BG1026" s="136"/>
      <c r="BH1026" s="199"/>
      <c r="BI1026" s="199"/>
      <c r="BJ1026" s="199"/>
    </row>
    <row r="1027" spans="1:62" x14ac:dyDescent="0.25">
      <c r="A1027" s="199"/>
      <c r="B1027" s="136"/>
      <c r="C1027" s="199"/>
      <c r="D1027" s="199"/>
      <c r="E1027" s="199"/>
      <c r="F1027" s="199"/>
      <c r="G1027" s="199"/>
      <c r="H1027" s="199"/>
      <c r="I1027" s="136"/>
      <c r="J1027" s="199"/>
      <c r="K1027" s="199"/>
      <c r="L1027" s="199"/>
      <c r="M1027" s="199"/>
      <c r="N1027" s="136"/>
      <c r="O1027" s="199"/>
      <c r="P1027" s="199"/>
      <c r="Q1027" s="199"/>
      <c r="R1027" s="199"/>
      <c r="S1027" s="136"/>
      <c r="T1027" s="199"/>
      <c r="U1027" s="199"/>
      <c r="V1027" s="199"/>
      <c r="W1027" s="199"/>
      <c r="X1027" s="136"/>
      <c r="Y1027" s="199"/>
      <c r="Z1027" s="199"/>
      <c r="AA1027" s="199"/>
      <c r="AB1027" s="199"/>
      <c r="AC1027" s="136"/>
      <c r="AD1027" s="199"/>
      <c r="AE1027" s="199"/>
      <c r="AF1027" s="199"/>
      <c r="AG1027" s="199"/>
      <c r="AH1027" s="136"/>
      <c r="AI1027" s="199"/>
      <c r="AJ1027" s="199"/>
      <c r="AK1027" s="199"/>
      <c r="AL1027" s="199"/>
      <c r="AM1027" s="136"/>
      <c r="AN1027" s="199"/>
      <c r="AO1027" s="199"/>
      <c r="AP1027" s="199"/>
      <c r="AQ1027" s="199"/>
      <c r="AR1027" s="136"/>
      <c r="AS1027" s="199"/>
      <c r="AT1027" s="199"/>
      <c r="AU1027" s="199"/>
      <c r="AV1027" s="199"/>
      <c r="AW1027" s="136"/>
      <c r="AX1027" s="199"/>
      <c r="AY1027" s="199"/>
      <c r="AZ1027" s="199"/>
      <c r="BA1027" s="199"/>
      <c r="BB1027" s="136"/>
      <c r="BC1027" s="199"/>
      <c r="BD1027" s="199"/>
      <c r="BE1027" s="199"/>
      <c r="BF1027" s="199"/>
      <c r="BG1027" s="136"/>
      <c r="BH1027" s="199"/>
      <c r="BI1027" s="199"/>
      <c r="BJ1027" s="199"/>
    </row>
    <row r="1028" spans="1:62" x14ac:dyDescent="0.25">
      <c r="A1028" s="199"/>
      <c r="B1028" s="136"/>
      <c r="C1028" s="199"/>
      <c r="D1028" s="199"/>
      <c r="E1028" s="199"/>
      <c r="F1028" s="199"/>
      <c r="G1028" s="199"/>
      <c r="H1028" s="199"/>
      <c r="I1028" s="136"/>
      <c r="J1028" s="199"/>
      <c r="K1028" s="199"/>
      <c r="L1028" s="199"/>
      <c r="M1028" s="199"/>
      <c r="N1028" s="136"/>
      <c r="O1028" s="199"/>
      <c r="P1028" s="199"/>
      <c r="Q1028" s="199"/>
      <c r="R1028" s="199"/>
      <c r="S1028" s="136"/>
      <c r="T1028" s="199"/>
      <c r="U1028" s="199"/>
      <c r="V1028" s="199"/>
      <c r="W1028" s="199"/>
      <c r="X1028" s="136"/>
      <c r="Y1028" s="199"/>
      <c r="Z1028" s="199"/>
      <c r="AA1028" s="199"/>
      <c r="AB1028" s="199"/>
      <c r="AC1028" s="136"/>
      <c r="AD1028" s="199"/>
      <c r="AE1028" s="199"/>
      <c r="AF1028" s="199"/>
      <c r="AG1028" s="199"/>
      <c r="AH1028" s="136"/>
      <c r="AI1028" s="199"/>
      <c r="AJ1028" s="199"/>
      <c r="AK1028" s="199"/>
      <c r="AL1028" s="199"/>
      <c r="AM1028" s="136"/>
      <c r="AN1028" s="199"/>
      <c r="AO1028" s="199"/>
      <c r="AP1028" s="199"/>
      <c r="AQ1028" s="199"/>
      <c r="AR1028" s="136"/>
      <c r="AS1028" s="199"/>
      <c r="AT1028" s="199"/>
      <c r="AU1028" s="199"/>
      <c r="AV1028" s="199"/>
      <c r="AW1028" s="136"/>
      <c r="AX1028" s="199"/>
      <c r="AY1028" s="199"/>
      <c r="AZ1028" s="199"/>
      <c r="BA1028" s="199"/>
      <c r="BB1028" s="136"/>
      <c r="BC1028" s="199"/>
      <c r="BD1028" s="199"/>
      <c r="BE1028" s="199"/>
      <c r="BF1028" s="199"/>
      <c r="BG1028" s="136"/>
      <c r="BH1028" s="199"/>
      <c r="BI1028" s="199"/>
      <c r="BJ1028" s="199"/>
    </row>
    <row r="1029" spans="1:62" x14ac:dyDescent="0.25">
      <c r="A1029" s="199"/>
      <c r="B1029" s="136"/>
      <c r="C1029" s="199"/>
      <c r="D1029" s="199"/>
      <c r="E1029" s="199"/>
      <c r="F1029" s="199"/>
      <c r="G1029" s="199"/>
      <c r="H1029" s="199"/>
      <c r="I1029" s="136"/>
      <c r="J1029" s="199"/>
      <c r="K1029" s="199"/>
      <c r="L1029" s="199"/>
      <c r="M1029" s="199"/>
      <c r="N1029" s="136"/>
      <c r="O1029" s="199"/>
      <c r="P1029" s="199"/>
      <c r="Q1029" s="199"/>
      <c r="R1029" s="199"/>
      <c r="S1029" s="136"/>
      <c r="T1029" s="199"/>
      <c r="U1029" s="199"/>
      <c r="V1029" s="199"/>
      <c r="W1029" s="199"/>
      <c r="X1029" s="136"/>
      <c r="Y1029" s="199"/>
      <c r="Z1029" s="199"/>
      <c r="AA1029" s="199"/>
      <c r="AB1029" s="199"/>
      <c r="AC1029" s="136"/>
      <c r="AD1029" s="199"/>
      <c r="AE1029" s="199"/>
      <c r="AF1029" s="199"/>
      <c r="AG1029" s="199"/>
      <c r="AH1029" s="136"/>
      <c r="AI1029" s="199"/>
      <c r="AJ1029" s="199"/>
      <c r="AK1029" s="199"/>
      <c r="AL1029" s="199"/>
      <c r="AM1029" s="136"/>
      <c r="AN1029" s="199"/>
      <c r="AO1029" s="199"/>
      <c r="AP1029" s="199"/>
      <c r="AQ1029" s="199"/>
      <c r="AR1029" s="136"/>
      <c r="AS1029" s="199"/>
      <c r="AT1029" s="199"/>
      <c r="AU1029" s="199"/>
      <c r="AV1029" s="199"/>
      <c r="AW1029" s="136"/>
      <c r="AX1029" s="199"/>
      <c r="AY1029" s="199"/>
      <c r="AZ1029" s="199"/>
      <c r="BA1029" s="199"/>
      <c r="BB1029" s="136"/>
      <c r="BC1029" s="199"/>
      <c r="BD1029" s="199"/>
      <c r="BE1029" s="199"/>
      <c r="BF1029" s="199"/>
      <c r="BG1029" s="136"/>
      <c r="BH1029" s="199"/>
      <c r="BI1029" s="199"/>
      <c r="BJ1029" s="199"/>
    </row>
    <row r="1030" spans="1:62" x14ac:dyDescent="0.25">
      <c r="A1030" s="199"/>
      <c r="B1030" s="136"/>
      <c r="C1030" s="199"/>
      <c r="D1030" s="199"/>
      <c r="E1030" s="199"/>
      <c r="F1030" s="199"/>
      <c r="G1030" s="199"/>
      <c r="H1030" s="199"/>
      <c r="I1030" s="136"/>
      <c r="J1030" s="199"/>
      <c r="K1030" s="199"/>
      <c r="L1030" s="199"/>
      <c r="M1030" s="199"/>
      <c r="N1030" s="136"/>
      <c r="O1030" s="199"/>
      <c r="P1030" s="199"/>
      <c r="Q1030" s="199"/>
      <c r="R1030" s="199"/>
      <c r="S1030" s="136"/>
      <c r="T1030" s="199"/>
      <c r="U1030" s="199"/>
      <c r="V1030" s="199"/>
      <c r="W1030" s="199"/>
      <c r="X1030" s="136"/>
      <c r="Y1030" s="199"/>
      <c r="Z1030" s="199"/>
      <c r="AA1030" s="199"/>
      <c r="AB1030" s="199"/>
      <c r="AC1030" s="136"/>
      <c r="AD1030" s="199"/>
      <c r="AE1030" s="199"/>
      <c r="AF1030" s="199"/>
      <c r="AG1030" s="199"/>
      <c r="AH1030" s="136"/>
      <c r="AI1030" s="199"/>
      <c r="AJ1030" s="199"/>
      <c r="AK1030" s="199"/>
      <c r="AL1030" s="199"/>
      <c r="AM1030" s="136"/>
      <c r="AN1030" s="199"/>
      <c r="AO1030" s="199"/>
      <c r="AP1030" s="199"/>
      <c r="AQ1030" s="199"/>
      <c r="AR1030" s="136"/>
      <c r="AS1030" s="199"/>
      <c r="AT1030" s="199"/>
      <c r="AU1030" s="199"/>
      <c r="AV1030" s="199"/>
      <c r="AW1030" s="136"/>
      <c r="AX1030" s="199"/>
      <c r="AY1030" s="199"/>
      <c r="AZ1030" s="199"/>
      <c r="BA1030" s="199"/>
      <c r="BB1030" s="136"/>
      <c r="BC1030" s="199"/>
      <c r="BD1030" s="199"/>
      <c r="BE1030" s="199"/>
      <c r="BF1030" s="199"/>
      <c r="BG1030" s="136"/>
      <c r="BH1030" s="199"/>
      <c r="BI1030" s="199"/>
      <c r="BJ1030" s="199"/>
    </row>
    <row r="1031" spans="1:62" x14ac:dyDescent="0.25">
      <c r="A1031" s="199"/>
      <c r="B1031" s="136"/>
      <c r="C1031" s="199"/>
      <c r="D1031" s="199"/>
      <c r="E1031" s="199"/>
      <c r="F1031" s="199"/>
      <c r="G1031" s="199"/>
      <c r="H1031" s="199"/>
      <c r="I1031" s="136"/>
      <c r="J1031" s="199"/>
      <c r="K1031" s="199"/>
      <c r="L1031" s="199"/>
      <c r="M1031" s="199"/>
      <c r="N1031" s="136"/>
      <c r="O1031" s="199"/>
      <c r="P1031" s="199"/>
      <c r="Q1031" s="199"/>
      <c r="R1031" s="199"/>
      <c r="S1031" s="136"/>
      <c r="T1031" s="199"/>
      <c r="U1031" s="199"/>
      <c r="V1031" s="199"/>
      <c r="W1031" s="199"/>
      <c r="X1031" s="136"/>
      <c r="Y1031" s="199"/>
      <c r="Z1031" s="199"/>
      <c r="AA1031" s="199"/>
      <c r="AB1031" s="199"/>
      <c r="AC1031" s="136"/>
      <c r="AD1031" s="199"/>
      <c r="AE1031" s="199"/>
      <c r="AF1031" s="199"/>
      <c r="AG1031" s="199"/>
      <c r="AH1031" s="136"/>
      <c r="AI1031" s="199"/>
      <c r="AJ1031" s="199"/>
      <c r="AK1031" s="199"/>
      <c r="AL1031" s="199"/>
      <c r="AM1031" s="136"/>
      <c r="AN1031" s="199"/>
      <c r="AO1031" s="199"/>
      <c r="AP1031" s="199"/>
      <c r="AQ1031" s="199"/>
      <c r="AR1031" s="136"/>
      <c r="AS1031" s="199"/>
      <c r="AT1031" s="199"/>
      <c r="AU1031" s="199"/>
      <c r="AV1031" s="199"/>
      <c r="AW1031" s="136"/>
      <c r="AX1031" s="199"/>
      <c r="AY1031" s="199"/>
      <c r="AZ1031" s="199"/>
      <c r="BA1031" s="199"/>
      <c r="BB1031" s="136"/>
      <c r="BC1031" s="199"/>
      <c r="BD1031" s="199"/>
      <c r="BE1031" s="199"/>
      <c r="BF1031" s="199"/>
      <c r="BG1031" s="136"/>
      <c r="BH1031" s="199"/>
      <c r="BI1031" s="199"/>
      <c r="BJ1031" s="199"/>
    </row>
    <row r="1035" spans="1:62" ht="36" x14ac:dyDescent="0.25">
      <c r="A1035" s="169"/>
      <c r="B1035" s="107"/>
      <c r="C1035" s="107"/>
      <c r="D1035" s="107"/>
      <c r="E1035" s="107"/>
      <c r="F1035" s="107"/>
      <c r="G1035" s="107"/>
      <c r="H1035" s="107"/>
      <c r="I1035" s="107"/>
      <c r="J1035" s="107"/>
      <c r="K1035" s="107"/>
      <c r="L1035" s="107"/>
      <c r="M1035" s="107"/>
      <c r="N1035" s="107"/>
      <c r="O1035" s="107"/>
      <c r="P1035" s="107"/>
      <c r="Q1035" s="107"/>
      <c r="R1035" s="107"/>
      <c r="S1035" s="107"/>
      <c r="T1035" s="107"/>
      <c r="U1035" s="107"/>
      <c r="V1035" s="107"/>
      <c r="W1035" s="107"/>
      <c r="X1035" s="107"/>
      <c r="Y1035" s="107"/>
      <c r="Z1035" s="107"/>
      <c r="AA1035" s="107"/>
      <c r="AB1035" s="107"/>
      <c r="AC1035" s="107"/>
      <c r="AD1035" s="107"/>
      <c r="AE1035" s="107"/>
      <c r="AF1035" s="107"/>
      <c r="AG1035" s="107"/>
      <c r="AH1035" s="107"/>
      <c r="AI1035" s="107"/>
      <c r="AJ1035" s="107"/>
      <c r="AK1035" s="107"/>
      <c r="AL1035" s="107"/>
      <c r="AM1035" s="107"/>
      <c r="AN1035" s="107"/>
      <c r="AO1035" s="107"/>
      <c r="AP1035" s="107"/>
      <c r="AQ1035" s="107"/>
      <c r="AR1035" s="107"/>
      <c r="AS1035" s="107"/>
      <c r="AT1035" s="107"/>
      <c r="AU1035" s="107"/>
      <c r="AV1035" s="107"/>
      <c r="AW1035" s="107"/>
      <c r="AX1035" s="107"/>
      <c r="AY1035" s="107"/>
      <c r="AZ1035" s="107"/>
      <c r="BA1035" s="107"/>
      <c r="BB1035" s="107"/>
      <c r="BC1035" s="107"/>
      <c r="BD1035" s="107"/>
      <c r="BE1035" s="107"/>
      <c r="BF1035" s="107"/>
      <c r="BG1035" s="107"/>
      <c r="BH1035" s="107"/>
      <c r="BI1035" s="107"/>
      <c r="BJ1035" s="107"/>
    </row>
    <row r="1036" spans="1:62" x14ac:dyDescent="0.25">
      <c r="A1036" s="107"/>
      <c r="B1036" s="107"/>
      <c r="C1036" s="107"/>
      <c r="D1036" s="107"/>
      <c r="E1036" s="107"/>
      <c r="F1036" s="107"/>
      <c r="G1036" s="107"/>
      <c r="H1036" s="107"/>
      <c r="I1036" s="107"/>
      <c r="J1036" s="107"/>
      <c r="K1036" s="107"/>
      <c r="L1036" s="107"/>
      <c r="M1036" s="107"/>
      <c r="N1036" s="107"/>
      <c r="O1036" s="107"/>
      <c r="P1036" s="107"/>
      <c r="Q1036" s="107"/>
      <c r="R1036" s="107"/>
      <c r="S1036" s="107"/>
      <c r="T1036" s="107"/>
      <c r="U1036" s="107"/>
      <c r="V1036" s="107"/>
      <c r="W1036" s="107"/>
      <c r="X1036" s="107"/>
      <c r="Y1036" s="107"/>
      <c r="Z1036" s="107"/>
      <c r="AA1036" s="107"/>
      <c r="AB1036" s="107"/>
      <c r="AC1036" s="107"/>
      <c r="AD1036" s="107"/>
      <c r="AE1036" s="107"/>
      <c r="AF1036" s="107"/>
      <c r="AG1036" s="107"/>
      <c r="AH1036" s="107"/>
      <c r="AI1036" s="107"/>
      <c r="AJ1036" s="107"/>
      <c r="AK1036" s="107"/>
      <c r="AL1036" s="107"/>
      <c r="AM1036" s="107"/>
      <c r="AN1036" s="107"/>
      <c r="AO1036" s="107"/>
      <c r="AP1036" s="107"/>
      <c r="AQ1036" s="107"/>
      <c r="AR1036" s="107"/>
      <c r="AS1036" s="107"/>
      <c r="AT1036" s="107"/>
      <c r="AU1036" s="107"/>
      <c r="AV1036" s="107"/>
      <c r="AW1036" s="107"/>
      <c r="AX1036" s="107"/>
      <c r="AY1036" s="107"/>
      <c r="AZ1036" s="107"/>
      <c r="BA1036" s="107"/>
      <c r="BB1036" s="107"/>
      <c r="BC1036" s="107"/>
      <c r="BD1036" s="107"/>
      <c r="BE1036" s="107"/>
      <c r="BF1036" s="107"/>
      <c r="BG1036" s="107"/>
      <c r="BH1036" s="107"/>
      <c r="BI1036" s="107"/>
      <c r="BJ1036" s="107"/>
    </row>
    <row r="1037" spans="1:62" x14ac:dyDescent="0.25">
      <c r="A1037" s="107"/>
      <c r="B1037" s="107"/>
      <c r="C1037" s="107"/>
      <c r="D1037" s="107"/>
      <c r="E1037" s="107"/>
      <c r="F1037" s="107"/>
      <c r="G1037" s="107"/>
      <c r="H1037" s="107"/>
      <c r="I1037" s="107"/>
      <c r="J1037" s="107"/>
      <c r="K1037" s="107"/>
      <c r="L1037" s="107"/>
      <c r="M1037" s="107"/>
      <c r="N1037" s="107"/>
      <c r="O1037" s="107"/>
      <c r="P1037" s="107"/>
      <c r="Q1037" s="107"/>
      <c r="R1037" s="107"/>
      <c r="S1037" s="107"/>
      <c r="T1037" s="107"/>
      <c r="U1037" s="107"/>
      <c r="V1037" s="107"/>
      <c r="W1037" s="107"/>
      <c r="X1037" s="107"/>
      <c r="Y1037" s="107"/>
      <c r="Z1037" s="107"/>
      <c r="AA1037" s="107"/>
      <c r="AB1037" s="107"/>
      <c r="AC1037" s="107"/>
      <c r="AD1037" s="107"/>
      <c r="AE1037" s="107"/>
      <c r="AF1037" s="107"/>
      <c r="AG1037" s="107"/>
      <c r="AH1037" s="107"/>
      <c r="AI1037" s="107"/>
      <c r="AJ1037" s="107"/>
      <c r="AK1037" s="107"/>
      <c r="AL1037" s="107"/>
      <c r="AM1037" s="107"/>
      <c r="AN1037" s="107"/>
      <c r="AO1037" s="107"/>
      <c r="AP1037" s="107"/>
      <c r="AQ1037" s="107"/>
      <c r="AR1037" s="107"/>
      <c r="AS1037" s="107"/>
      <c r="AT1037" s="107"/>
      <c r="AU1037" s="107"/>
      <c r="AV1037" s="107"/>
      <c r="AW1037" s="107"/>
      <c r="AX1037" s="107"/>
      <c r="AY1037" s="107"/>
      <c r="AZ1037" s="107"/>
      <c r="BA1037" s="107"/>
      <c r="BB1037" s="107"/>
      <c r="BC1037" s="107"/>
      <c r="BD1037" s="107"/>
      <c r="BE1037" s="107"/>
      <c r="BF1037" s="107"/>
      <c r="BG1037" s="107"/>
      <c r="BH1037" s="107"/>
      <c r="BI1037" s="107"/>
      <c r="BJ1037" s="107"/>
    </row>
    <row r="1038" spans="1:62" ht="36" x14ac:dyDescent="0.25">
      <c r="A1038" s="169"/>
      <c r="B1038" s="169"/>
      <c r="C1038" s="169"/>
      <c r="D1038" s="169"/>
      <c r="E1038" s="169"/>
      <c r="F1038" s="169"/>
      <c r="G1038" s="169"/>
      <c r="H1038" s="169"/>
      <c r="I1038" s="169"/>
      <c r="J1038" s="169"/>
      <c r="K1038" s="169"/>
      <c r="L1038" s="169"/>
      <c r="M1038" s="169"/>
      <c r="N1038" s="169"/>
      <c r="O1038" s="169"/>
      <c r="P1038" s="169"/>
      <c r="Q1038" s="169"/>
      <c r="R1038" s="169"/>
      <c r="S1038" s="169"/>
      <c r="T1038" s="169"/>
      <c r="U1038" s="169"/>
      <c r="V1038" s="169"/>
      <c r="W1038" s="169"/>
      <c r="X1038" s="169"/>
      <c r="Y1038" s="169"/>
      <c r="Z1038" s="169"/>
      <c r="AA1038" s="169"/>
      <c r="AB1038" s="169"/>
      <c r="AC1038" s="169"/>
      <c r="AD1038" s="169"/>
      <c r="AE1038" s="169"/>
      <c r="AF1038" s="169"/>
      <c r="AG1038" s="169"/>
      <c r="AH1038" s="169"/>
      <c r="AI1038" s="169"/>
      <c r="AJ1038" s="169"/>
      <c r="AK1038" s="169"/>
      <c r="AL1038" s="169"/>
      <c r="AM1038" s="169"/>
      <c r="AN1038" s="169"/>
      <c r="AO1038" s="169"/>
      <c r="AP1038" s="169"/>
      <c r="AQ1038" s="169"/>
      <c r="AR1038" s="169"/>
      <c r="AS1038" s="169"/>
      <c r="AT1038" s="169"/>
      <c r="AU1038" s="169"/>
      <c r="AV1038" s="169"/>
      <c r="AW1038" s="169"/>
      <c r="AX1038" s="169"/>
      <c r="AY1038" s="169"/>
      <c r="AZ1038" s="169"/>
      <c r="BA1038" s="169"/>
      <c r="BB1038" s="169"/>
      <c r="BC1038" s="169"/>
      <c r="BD1038" s="169"/>
      <c r="BE1038" s="169"/>
      <c r="BF1038" s="169"/>
      <c r="BG1038" s="169"/>
      <c r="BH1038" s="169"/>
      <c r="BI1038" s="169"/>
      <c r="BJ1038" s="169"/>
    </row>
    <row r="1039" spans="1:62" ht="36" x14ac:dyDescent="0.25">
      <c r="A1039" s="169"/>
      <c r="B1039" s="169"/>
      <c r="C1039" s="169"/>
      <c r="D1039" s="169"/>
      <c r="E1039" s="169"/>
      <c r="F1039" s="169"/>
      <c r="G1039" s="169"/>
      <c r="H1039" s="169"/>
      <c r="I1039" s="169"/>
      <c r="J1039" s="169"/>
      <c r="K1039" s="169"/>
      <c r="L1039" s="169"/>
      <c r="M1039" s="169"/>
      <c r="N1039" s="169"/>
      <c r="O1039" s="169"/>
      <c r="P1039" s="169"/>
      <c r="Q1039" s="169"/>
      <c r="R1039" s="169"/>
      <c r="S1039" s="169"/>
      <c r="T1039" s="169"/>
      <c r="U1039" s="169"/>
      <c r="V1039" s="169"/>
      <c r="W1039" s="169"/>
      <c r="X1039" s="169"/>
      <c r="Y1039" s="169"/>
      <c r="Z1039" s="169"/>
      <c r="AA1039" s="169"/>
      <c r="AB1039" s="169"/>
      <c r="AC1039" s="169"/>
      <c r="AD1039" s="169"/>
      <c r="AE1039" s="169"/>
      <c r="AF1039" s="169"/>
      <c r="AG1039" s="169"/>
      <c r="AH1039" s="169"/>
      <c r="AI1039" s="169"/>
      <c r="AJ1039" s="169"/>
      <c r="AK1039" s="169"/>
      <c r="AL1039" s="169"/>
      <c r="AM1039" s="169"/>
      <c r="AN1039" s="169"/>
      <c r="AO1039" s="169"/>
      <c r="AP1039" s="169"/>
      <c r="AQ1039" s="169"/>
      <c r="AR1039" s="169"/>
      <c r="AS1039" s="169"/>
      <c r="AT1039" s="169"/>
      <c r="AU1039" s="169"/>
      <c r="AV1039" s="169"/>
      <c r="AW1039" s="169"/>
      <c r="AX1039" s="169"/>
      <c r="AY1039" s="169"/>
      <c r="AZ1039" s="169"/>
      <c r="BA1039" s="169"/>
      <c r="BB1039" s="169"/>
      <c r="BC1039" s="169"/>
      <c r="BD1039" s="169"/>
      <c r="BE1039" s="169"/>
      <c r="BF1039" s="169"/>
      <c r="BG1039" s="169"/>
      <c r="BH1039" s="169"/>
      <c r="BI1039" s="169"/>
      <c r="BJ1039" s="169"/>
    </row>
    <row r="1040" spans="1:62" ht="36" x14ac:dyDescent="0.25">
      <c r="A1040" s="169"/>
      <c r="B1040" s="169"/>
      <c r="C1040" s="169"/>
      <c r="D1040" s="169"/>
      <c r="E1040" s="169"/>
      <c r="F1040" s="169"/>
      <c r="G1040" s="169"/>
      <c r="H1040" s="169"/>
      <c r="I1040" s="169"/>
      <c r="J1040" s="169"/>
      <c r="K1040" s="169"/>
      <c r="L1040" s="169"/>
      <c r="M1040" s="169"/>
      <c r="N1040" s="169"/>
      <c r="O1040" s="169"/>
      <c r="P1040" s="169"/>
      <c r="Q1040" s="169"/>
      <c r="R1040" s="169"/>
      <c r="S1040" s="169"/>
      <c r="T1040" s="169"/>
      <c r="U1040" s="169"/>
      <c r="V1040" s="169"/>
      <c r="W1040" s="169"/>
      <c r="X1040" s="169"/>
      <c r="Y1040" s="169"/>
      <c r="Z1040" s="169"/>
      <c r="AA1040" s="169"/>
      <c r="AB1040" s="169"/>
      <c r="AC1040" s="169"/>
      <c r="AD1040" s="169"/>
      <c r="AE1040" s="169"/>
      <c r="AF1040" s="169"/>
      <c r="AG1040" s="169"/>
      <c r="AH1040" s="169"/>
      <c r="AI1040" s="169"/>
      <c r="AJ1040" s="169"/>
      <c r="AK1040" s="169"/>
      <c r="AL1040" s="169"/>
      <c r="AM1040" s="169"/>
      <c r="AN1040" s="169"/>
      <c r="AO1040" s="169"/>
      <c r="AP1040" s="169"/>
      <c r="AQ1040" s="169"/>
      <c r="AR1040" s="169"/>
      <c r="AS1040" s="169"/>
      <c r="AT1040" s="169"/>
      <c r="AU1040" s="169"/>
      <c r="AV1040" s="169"/>
      <c r="AW1040" s="169"/>
      <c r="AX1040" s="169"/>
      <c r="AY1040" s="169"/>
      <c r="AZ1040" s="169"/>
      <c r="BA1040" s="169"/>
      <c r="BB1040" s="169"/>
      <c r="BC1040" s="169"/>
      <c r="BD1040" s="169"/>
      <c r="BE1040" s="169"/>
      <c r="BF1040" s="169"/>
      <c r="BG1040" s="169"/>
      <c r="BH1040" s="169"/>
      <c r="BI1040" s="169"/>
      <c r="BJ1040" s="169"/>
    </row>
    <row r="1041" spans="1:62" x14ac:dyDescent="0.25">
      <c r="F1041" s="194"/>
      <c r="G1041" s="194"/>
    </row>
    <row r="1043" spans="1:62" x14ac:dyDescent="0.25">
      <c r="A1043" s="199"/>
      <c r="B1043" s="136"/>
      <c r="C1043" s="199"/>
      <c r="D1043" s="199"/>
      <c r="E1043" s="199"/>
      <c r="F1043" s="199"/>
      <c r="G1043" s="199"/>
      <c r="H1043" s="199"/>
      <c r="I1043" s="136"/>
      <c r="J1043" s="199"/>
      <c r="K1043" s="199"/>
      <c r="L1043" s="199"/>
      <c r="M1043" s="199"/>
      <c r="N1043" s="136"/>
      <c r="O1043" s="199"/>
      <c r="P1043" s="199"/>
      <c r="Q1043" s="199"/>
      <c r="R1043" s="199"/>
      <c r="S1043" s="136"/>
      <c r="T1043" s="199"/>
      <c r="U1043" s="199"/>
      <c r="V1043" s="199"/>
      <c r="W1043" s="199"/>
      <c r="X1043" s="136"/>
      <c r="Y1043" s="199"/>
      <c r="Z1043" s="199"/>
      <c r="AA1043" s="199"/>
      <c r="AB1043" s="199"/>
      <c r="AC1043" s="136"/>
      <c r="AD1043" s="199"/>
      <c r="AE1043" s="199"/>
      <c r="AF1043" s="199"/>
      <c r="AG1043" s="199"/>
      <c r="AH1043" s="136"/>
      <c r="AI1043" s="199"/>
      <c r="AJ1043" s="199"/>
      <c r="AK1043" s="199"/>
      <c r="AL1043" s="199"/>
      <c r="AM1043" s="136"/>
      <c r="AN1043" s="199"/>
      <c r="AO1043" s="199"/>
      <c r="AP1043" s="199"/>
      <c r="AQ1043" s="199"/>
      <c r="AR1043" s="136"/>
      <c r="AS1043" s="199"/>
      <c r="AT1043" s="199"/>
      <c r="AU1043" s="199"/>
      <c r="AV1043" s="199"/>
      <c r="AW1043" s="136"/>
      <c r="AX1043" s="199"/>
      <c r="AY1043" s="199"/>
      <c r="AZ1043" s="199"/>
      <c r="BA1043" s="199"/>
      <c r="BB1043" s="136"/>
      <c r="BC1043" s="199"/>
      <c r="BD1043" s="199"/>
      <c r="BE1043" s="199"/>
      <c r="BF1043" s="199"/>
      <c r="BG1043" s="136"/>
      <c r="BH1043" s="199"/>
      <c r="BI1043" s="199"/>
      <c r="BJ1043" s="199"/>
    </row>
    <row r="1044" spans="1:62" x14ac:dyDescent="0.25">
      <c r="A1044" s="199"/>
      <c r="B1044" s="136"/>
      <c r="C1044" s="199"/>
      <c r="D1044" s="199"/>
      <c r="E1044" s="199"/>
      <c r="F1044" s="199"/>
      <c r="G1044" s="199"/>
      <c r="H1044" s="199"/>
      <c r="I1044" s="136"/>
      <c r="J1044" s="199"/>
      <c r="K1044" s="199"/>
      <c r="L1044" s="199"/>
      <c r="M1044" s="199"/>
      <c r="N1044" s="136"/>
      <c r="O1044" s="199"/>
      <c r="P1044" s="199"/>
      <c r="Q1044" s="199"/>
      <c r="R1044" s="199"/>
      <c r="S1044" s="136"/>
      <c r="T1044" s="199"/>
      <c r="U1044" s="199"/>
      <c r="V1044" s="199"/>
      <c r="W1044" s="199"/>
      <c r="X1044" s="136"/>
      <c r="Y1044" s="199"/>
      <c r="Z1044" s="199"/>
      <c r="AA1044" s="199"/>
      <c r="AB1044" s="199"/>
      <c r="AC1044" s="136"/>
      <c r="AD1044" s="199"/>
      <c r="AE1044" s="199"/>
      <c r="AF1044" s="199"/>
      <c r="AG1044" s="199"/>
      <c r="AH1044" s="136"/>
      <c r="AI1044" s="199"/>
      <c r="AJ1044" s="199"/>
      <c r="AK1044" s="199"/>
      <c r="AL1044" s="199"/>
      <c r="AM1044" s="136"/>
      <c r="AN1044" s="199"/>
      <c r="AO1044" s="199"/>
      <c r="AP1044" s="199"/>
      <c r="AQ1044" s="199"/>
      <c r="AR1044" s="136"/>
      <c r="AS1044" s="199"/>
      <c r="AT1044" s="199"/>
      <c r="AU1044" s="199"/>
      <c r="AV1044" s="199"/>
      <c r="AW1044" s="136"/>
      <c r="AX1044" s="199"/>
      <c r="AY1044" s="199"/>
      <c r="AZ1044" s="199"/>
      <c r="BA1044" s="199"/>
      <c r="BB1044" s="136"/>
      <c r="BC1044" s="199"/>
      <c r="BD1044" s="199"/>
      <c r="BE1044" s="199"/>
      <c r="BF1044" s="199"/>
      <c r="BG1044" s="136"/>
      <c r="BH1044" s="199"/>
      <c r="BI1044" s="199"/>
      <c r="BJ1044" s="199"/>
    </row>
    <row r="1045" spans="1:62" x14ac:dyDescent="0.25">
      <c r="A1045" s="199"/>
      <c r="B1045" s="136"/>
      <c r="C1045" s="199"/>
      <c r="D1045" s="199"/>
      <c r="E1045" s="199"/>
      <c r="F1045" s="199"/>
      <c r="G1045" s="199"/>
      <c r="H1045" s="199"/>
      <c r="I1045" s="136"/>
      <c r="J1045" s="199"/>
      <c r="K1045" s="199"/>
      <c r="L1045" s="199"/>
      <c r="M1045" s="199"/>
      <c r="N1045" s="136"/>
      <c r="O1045" s="199"/>
      <c r="P1045" s="199"/>
      <c r="Q1045" s="199"/>
      <c r="R1045" s="199"/>
      <c r="S1045" s="136"/>
      <c r="T1045" s="199"/>
      <c r="U1045" s="199"/>
      <c r="V1045" s="199"/>
      <c r="W1045" s="199"/>
      <c r="X1045" s="136"/>
      <c r="Y1045" s="199"/>
      <c r="Z1045" s="199"/>
      <c r="AA1045" s="199"/>
      <c r="AB1045" s="199"/>
      <c r="AC1045" s="136"/>
      <c r="AD1045" s="199"/>
      <c r="AE1045" s="199"/>
      <c r="AF1045" s="199"/>
      <c r="AG1045" s="199"/>
      <c r="AH1045" s="136"/>
      <c r="AI1045" s="199"/>
      <c r="AJ1045" s="199"/>
      <c r="AK1045" s="199"/>
      <c r="AL1045" s="199"/>
      <c r="AM1045" s="136"/>
      <c r="AN1045" s="199"/>
      <c r="AO1045" s="199"/>
      <c r="AP1045" s="199"/>
      <c r="AQ1045" s="199"/>
      <c r="AR1045" s="136"/>
      <c r="AS1045" s="199"/>
      <c r="AT1045" s="199"/>
      <c r="AU1045" s="199"/>
      <c r="AV1045" s="199"/>
      <c r="AW1045" s="136"/>
      <c r="AX1045" s="199"/>
      <c r="AY1045" s="199"/>
      <c r="AZ1045" s="199"/>
      <c r="BA1045" s="199"/>
      <c r="BB1045" s="136"/>
      <c r="BC1045" s="199"/>
      <c r="BD1045" s="199"/>
      <c r="BE1045" s="199"/>
      <c r="BF1045" s="199"/>
      <c r="BG1045" s="136"/>
      <c r="BH1045" s="199"/>
      <c r="BI1045" s="199"/>
      <c r="BJ1045" s="199"/>
    </row>
    <row r="1046" spans="1:62" x14ac:dyDescent="0.25">
      <c r="A1046" s="199"/>
      <c r="B1046" s="136"/>
      <c r="C1046" s="199"/>
      <c r="D1046" s="199"/>
      <c r="E1046" s="199"/>
      <c r="F1046" s="199"/>
      <c r="G1046" s="199"/>
      <c r="H1046" s="199"/>
      <c r="I1046" s="136"/>
      <c r="J1046" s="199"/>
      <c r="K1046" s="199"/>
      <c r="L1046" s="199"/>
      <c r="M1046" s="199"/>
      <c r="N1046" s="136"/>
      <c r="O1046" s="199"/>
      <c r="P1046" s="199"/>
      <c r="Q1046" s="199"/>
      <c r="R1046" s="199"/>
      <c r="S1046" s="136"/>
      <c r="T1046" s="199"/>
      <c r="U1046" s="199"/>
      <c r="V1046" s="199"/>
      <c r="W1046" s="199"/>
      <c r="X1046" s="136"/>
      <c r="Y1046" s="199"/>
      <c r="Z1046" s="199"/>
      <c r="AA1046" s="199"/>
      <c r="AB1046" s="199"/>
      <c r="AC1046" s="136"/>
      <c r="AD1046" s="199"/>
      <c r="AE1046" s="199"/>
      <c r="AF1046" s="199"/>
      <c r="AG1046" s="199"/>
      <c r="AH1046" s="136"/>
      <c r="AI1046" s="199"/>
      <c r="AJ1046" s="199"/>
      <c r="AK1046" s="199"/>
      <c r="AL1046" s="199"/>
      <c r="AM1046" s="136"/>
      <c r="AN1046" s="199"/>
      <c r="AO1046" s="199"/>
      <c r="AP1046" s="199"/>
      <c r="AQ1046" s="199"/>
      <c r="AR1046" s="136"/>
      <c r="AS1046" s="199"/>
      <c r="AT1046" s="199"/>
      <c r="AU1046" s="199"/>
      <c r="AV1046" s="199"/>
      <c r="AW1046" s="136"/>
      <c r="AX1046" s="199"/>
      <c r="AY1046" s="199"/>
      <c r="AZ1046" s="199"/>
      <c r="BA1046" s="199"/>
      <c r="BB1046" s="136"/>
      <c r="BC1046" s="199"/>
      <c r="BD1046" s="199"/>
      <c r="BE1046" s="199"/>
      <c r="BF1046" s="199"/>
      <c r="BG1046" s="136"/>
      <c r="BH1046" s="199"/>
      <c r="BI1046" s="199"/>
      <c r="BJ1046" s="199"/>
    </row>
    <row r="1047" spans="1:62" x14ac:dyDescent="0.25">
      <c r="A1047" s="199"/>
      <c r="B1047" s="136"/>
      <c r="C1047" s="199"/>
      <c r="D1047" s="199"/>
      <c r="E1047" s="199"/>
      <c r="F1047" s="199"/>
      <c r="G1047" s="199"/>
      <c r="H1047" s="199"/>
      <c r="I1047" s="136"/>
      <c r="J1047" s="199"/>
      <c r="K1047" s="199"/>
      <c r="L1047" s="199"/>
      <c r="M1047" s="199"/>
      <c r="N1047" s="136"/>
      <c r="O1047" s="199"/>
      <c r="P1047" s="199"/>
      <c r="Q1047" s="199"/>
      <c r="R1047" s="199"/>
      <c r="S1047" s="136"/>
      <c r="T1047" s="199"/>
      <c r="U1047" s="199"/>
      <c r="V1047" s="199"/>
      <c r="W1047" s="199"/>
      <c r="X1047" s="136"/>
      <c r="Y1047" s="199"/>
      <c r="Z1047" s="199"/>
      <c r="AA1047" s="199"/>
      <c r="AB1047" s="199"/>
      <c r="AC1047" s="136"/>
      <c r="AD1047" s="199"/>
      <c r="AE1047" s="199"/>
      <c r="AF1047" s="199"/>
      <c r="AG1047" s="199"/>
      <c r="AH1047" s="136"/>
      <c r="AI1047" s="199"/>
      <c r="AJ1047" s="199"/>
      <c r="AK1047" s="199"/>
      <c r="AL1047" s="199"/>
      <c r="AM1047" s="136"/>
      <c r="AN1047" s="199"/>
      <c r="AO1047" s="199"/>
      <c r="AP1047" s="199"/>
      <c r="AQ1047" s="199"/>
      <c r="AR1047" s="136"/>
      <c r="AS1047" s="199"/>
      <c r="AT1047" s="199"/>
      <c r="AU1047" s="199"/>
      <c r="AV1047" s="199"/>
      <c r="AW1047" s="136"/>
      <c r="AX1047" s="199"/>
      <c r="AY1047" s="199"/>
      <c r="AZ1047" s="199"/>
      <c r="BA1047" s="199"/>
      <c r="BB1047" s="136"/>
      <c r="BC1047" s="199"/>
      <c r="BD1047" s="199"/>
      <c r="BE1047" s="199"/>
      <c r="BF1047" s="199"/>
      <c r="BG1047" s="136"/>
      <c r="BH1047" s="199"/>
      <c r="BI1047" s="199"/>
      <c r="BJ1047" s="199"/>
    </row>
    <row r="1048" spans="1:62" x14ac:dyDescent="0.25">
      <c r="A1048" s="199"/>
      <c r="B1048" s="136"/>
      <c r="C1048" s="199"/>
      <c r="D1048" s="199"/>
      <c r="E1048" s="199"/>
      <c r="F1048" s="199"/>
      <c r="G1048" s="199"/>
      <c r="H1048" s="199"/>
      <c r="I1048" s="136"/>
      <c r="J1048" s="199"/>
      <c r="K1048" s="199"/>
      <c r="L1048" s="199"/>
      <c r="M1048" s="199"/>
      <c r="N1048" s="136"/>
      <c r="O1048" s="199"/>
      <c r="P1048" s="199"/>
      <c r="Q1048" s="199"/>
      <c r="R1048" s="199"/>
      <c r="S1048" s="136"/>
      <c r="T1048" s="199"/>
      <c r="U1048" s="199"/>
      <c r="V1048" s="199"/>
      <c r="W1048" s="199"/>
      <c r="X1048" s="136"/>
      <c r="Y1048" s="199"/>
      <c r="Z1048" s="199"/>
      <c r="AA1048" s="199"/>
      <c r="AB1048" s="199"/>
      <c r="AC1048" s="136"/>
      <c r="AD1048" s="199"/>
      <c r="AE1048" s="199"/>
      <c r="AF1048" s="199"/>
      <c r="AG1048" s="199"/>
      <c r="AH1048" s="136"/>
      <c r="AI1048" s="199"/>
      <c r="AJ1048" s="199"/>
      <c r="AK1048" s="199"/>
      <c r="AL1048" s="199"/>
      <c r="AM1048" s="136"/>
      <c r="AN1048" s="199"/>
      <c r="AO1048" s="199"/>
      <c r="AP1048" s="199"/>
      <c r="AQ1048" s="199"/>
      <c r="AR1048" s="136"/>
      <c r="AS1048" s="199"/>
      <c r="AT1048" s="199"/>
      <c r="AU1048" s="199"/>
      <c r="AV1048" s="199"/>
      <c r="AW1048" s="136"/>
      <c r="AX1048" s="199"/>
      <c r="AY1048" s="199"/>
      <c r="AZ1048" s="199"/>
      <c r="BA1048" s="199"/>
      <c r="BB1048" s="136"/>
      <c r="BC1048" s="199"/>
      <c r="BD1048" s="199"/>
      <c r="BE1048" s="199"/>
      <c r="BF1048" s="199"/>
      <c r="BG1048" s="136"/>
      <c r="BH1048" s="199"/>
      <c r="BI1048" s="199"/>
      <c r="BJ1048" s="199"/>
    </row>
    <row r="1049" spans="1:62" x14ac:dyDescent="0.25">
      <c r="A1049" s="199"/>
      <c r="B1049" s="136"/>
      <c r="C1049" s="199"/>
      <c r="D1049" s="199"/>
      <c r="E1049" s="199"/>
      <c r="F1049" s="199"/>
      <c r="G1049" s="199"/>
      <c r="H1049" s="199"/>
      <c r="I1049" s="136"/>
      <c r="J1049" s="199"/>
      <c r="K1049" s="199"/>
      <c r="L1049" s="199"/>
      <c r="M1049" s="199"/>
      <c r="N1049" s="136"/>
      <c r="O1049" s="199"/>
      <c r="P1049" s="199"/>
      <c r="Q1049" s="199"/>
      <c r="R1049" s="199"/>
      <c r="S1049" s="136"/>
      <c r="T1049" s="199"/>
      <c r="U1049" s="199"/>
      <c r="V1049" s="199"/>
      <c r="W1049" s="199"/>
      <c r="X1049" s="136"/>
      <c r="Y1049" s="199"/>
      <c r="Z1049" s="199"/>
      <c r="AA1049" s="199"/>
      <c r="AB1049" s="199"/>
      <c r="AC1049" s="136"/>
      <c r="AD1049" s="199"/>
      <c r="AE1049" s="199"/>
      <c r="AF1049" s="199"/>
      <c r="AG1049" s="199"/>
      <c r="AH1049" s="136"/>
      <c r="AI1049" s="199"/>
      <c r="AJ1049" s="199"/>
      <c r="AK1049" s="199"/>
      <c r="AL1049" s="199"/>
      <c r="AM1049" s="136"/>
      <c r="AN1049" s="199"/>
      <c r="AO1049" s="199"/>
      <c r="AP1049" s="199"/>
      <c r="AQ1049" s="199"/>
      <c r="AR1049" s="136"/>
      <c r="AS1049" s="199"/>
      <c r="AT1049" s="199"/>
      <c r="AU1049" s="199"/>
      <c r="AV1049" s="199"/>
      <c r="AW1049" s="136"/>
      <c r="AX1049" s="199"/>
      <c r="AY1049" s="199"/>
      <c r="AZ1049" s="199"/>
      <c r="BA1049" s="199"/>
      <c r="BB1049" s="136"/>
      <c r="BC1049" s="199"/>
      <c r="BD1049" s="199"/>
      <c r="BE1049" s="199"/>
      <c r="BF1049" s="199"/>
      <c r="BG1049" s="136"/>
      <c r="BH1049" s="199"/>
      <c r="BI1049" s="199"/>
      <c r="BJ1049" s="199"/>
    </row>
    <row r="1050" spans="1:62" x14ac:dyDescent="0.25">
      <c r="A1050" s="199"/>
      <c r="B1050" s="136"/>
      <c r="C1050" s="199"/>
      <c r="D1050" s="199"/>
      <c r="E1050" s="199"/>
      <c r="F1050" s="199"/>
      <c r="G1050" s="199"/>
      <c r="H1050" s="199"/>
      <c r="I1050" s="136"/>
      <c r="J1050" s="199"/>
      <c r="K1050" s="199"/>
      <c r="L1050" s="199"/>
      <c r="M1050" s="199"/>
      <c r="N1050" s="136"/>
      <c r="O1050" s="199"/>
      <c r="P1050" s="199"/>
      <c r="Q1050" s="199"/>
      <c r="R1050" s="199"/>
      <c r="S1050" s="136"/>
      <c r="T1050" s="199"/>
      <c r="U1050" s="199"/>
      <c r="V1050" s="199"/>
      <c r="W1050" s="199"/>
      <c r="X1050" s="136"/>
      <c r="Y1050" s="199"/>
      <c r="Z1050" s="199"/>
      <c r="AA1050" s="199"/>
      <c r="AB1050" s="199"/>
      <c r="AC1050" s="136"/>
      <c r="AD1050" s="199"/>
      <c r="AE1050" s="199"/>
      <c r="AF1050" s="199"/>
      <c r="AG1050" s="199"/>
      <c r="AH1050" s="136"/>
      <c r="AI1050" s="199"/>
      <c r="AJ1050" s="199"/>
      <c r="AK1050" s="199"/>
      <c r="AL1050" s="199"/>
      <c r="AM1050" s="136"/>
      <c r="AN1050" s="199"/>
      <c r="AO1050" s="199"/>
      <c r="AP1050" s="199"/>
      <c r="AQ1050" s="199"/>
      <c r="AR1050" s="136"/>
      <c r="AS1050" s="199"/>
      <c r="AT1050" s="199"/>
      <c r="AU1050" s="199"/>
      <c r="AV1050" s="199"/>
      <c r="AW1050" s="136"/>
      <c r="AX1050" s="199"/>
      <c r="AY1050" s="199"/>
      <c r="AZ1050" s="199"/>
      <c r="BA1050" s="199"/>
      <c r="BB1050" s="136"/>
      <c r="BC1050" s="199"/>
      <c r="BD1050" s="199"/>
      <c r="BE1050" s="199"/>
      <c r="BF1050" s="199"/>
      <c r="BG1050" s="136"/>
      <c r="BH1050" s="199"/>
      <c r="BI1050" s="199"/>
      <c r="BJ1050" s="199"/>
    </row>
    <row r="1054" spans="1:62" ht="36" x14ac:dyDescent="0.25">
      <c r="A1054" s="169"/>
      <c r="B1054" s="107"/>
      <c r="C1054" s="107"/>
      <c r="D1054" s="107"/>
      <c r="E1054" s="107"/>
      <c r="F1054" s="107"/>
      <c r="G1054" s="107"/>
      <c r="H1054" s="107"/>
      <c r="I1054" s="107"/>
      <c r="J1054" s="107"/>
      <c r="K1054" s="107"/>
      <c r="L1054" s="107"/>
      <c r="M1054" s="107"/>
      <c r="N1054" s="107"/>
      <c r="O1054" s="107"/>
      <c r="P1054" s="107"/>
      <c r="Q1054" s="107"/>
      <c r="R1054" s="107"/>
      <c r="S1054" s="107"/>
      <c r="T1054" s="107"/>
      <c r="U1054" s="107"/>
      <c r="V1054" s="107"/>
      <c r="W1054" s="107"/>
      <c r="X1054" s="107"/>
      <c r="Y1054" s="107"/>
      <c r="Z1054" s="107"/>
      <c r="AA1054" s="107"/>
      <c r="AB1054" s="107"/>
      <c r="AC1054" s="107"/>
      <c r="AD1054" s="107"/>
      <c r="AE1054" s="107"/>
      <c r="AF1054" s="107"/>
      <c r="AG1054" s="107"/>
      <c r="AH1054" s="107"/>
      <c r="AI1054" s="107"/>
      <c r="AJ1054" s="107"/>
      <c r="AK1054" s="107"/>
      <c r="AL1054" s="107"/>
      <c r="AM1054" s="107"/>
      <c r="AN1054" s="107"/>
      <c r="AO1054" s="107"/>
      <c r="AP1054" s="107"/>
      <c r="AQ1054" s="107"/>
      <c r="AR1054" s="107"/>
      <c r="AS1054" s="107"/>
      <c r="AT1054" s="107"/>
      <c r="AU1054" s="107"/>
      <c r="AV1054" s="107"/>
      <c r="AW1054" s="107"/>
      <c r="AX1054" s="107"/>
      <c r="AY1054" s="107"/>
      <c r="AZ1054" s="107"/>
      <c r="BA1054" s="107"/>
      <c r="BB1054" s="107"/>
      <c r="BC1054" s="107"/>
      <c r="BD1054" s="107"/>
      <c r="BE1054" s="107"/>
      <c r="BF1054" s="107"/>
      <c r="BG1054" s="107"/>
      <c r="BH1054" s="107"/>
      <c r="BI1054" s="107"/>
      <c r="BJ1054" s="107"/>
    </row>
    <row r="1055" spans="1:62" x14ac:dyDescent="0.25">
      <c r="A1055" s="107"/>
      <c r="B1055" s="107"/>
      <c r="C1055" s="107"/>
      <c r="D1055" s="107"/>
      <c r="E1055" s="107"/>
      <c r="F1055" s="107"/>
      <c r="G1055" s="107"/>
      <c r="H1055" s="107"/>
      <c r="I1055" s="107"/>
      <c r="J1055" s="107"/>
      <c r="K1055" s="107"/>
      <c r="L1055" s="107"/>
      <c r="M1055" s="107"/>
      <c r="N1055" s="107"/>
      <c r="O1055" s="107"/>
      <c r="P1055" s="107"/>
      <c r="Q1055" s="107"/>
      <c r="R1055" s="107"/>
      <c r="S1055" s="107"/>
      <c r="T1055" s="107"/>
      <c r="U1055" s="107"/>
      <c r="V1055" s="107"/>
      <c r="W1055" s="107"/>
      <c r="X1055" s="107"/>
      <c r="Y1055" s="107"/>
      <c r="Z1055" s="107"/>
      <c r="AA1055" s="107"/>
      <c r="AB1055" s="107"/>
      <c r="AC1055" s="107"/>
      <c r="AD1055" s="107"/>
      <c r="AE1055" s="107"/>
      <c r="AF1055" s="107"/>
      <c r="AG1055" s="107"/>
      <c r="AH1055" s="107"/>
      <c r="AI1055" s="107"/>
      <c r="AJ1055" s="107"/>
      <c r="AK1055" s="107"/>
      <c r="AL1055" s="107"/>
      <c r="AM1055" s="107"/>
      <c r="AN1055" s="107"/>
      <c r="AO1055" s="107"/>
      <c r="AP1055" s="107"/>
      <c r="AQ1055" s="107"/>
      <c r="AR1055" s="107"/>
      <c r="AS1055" s="107"/>
      <c r="AT1055" s="107"/>
      <c r="AU1055" s="107"/>
      <c r="AV1055" s="107"/>
      <c r="AW1055" s="107"/>
      <c r="AX1055" s="107"/>
      <c r="AY1055" s="107"/>
      <c r="AZ1055" s="107"/>
      <c r="BA1055" s="107"/>
      <c r="BB1055" s="107"/>
      <c r="BC1055" s="107"/>
      <c r="BD1055" s="107"/>
      <c r="BE1055" s="107"/>
      <c r="BF1055" s="107"/>
      <c r="BG1055" s="107"/>
      <c r="BH1055" s="107"/>
      <c r="BI1055" s="107"/>
      <c r="BJ1055" s="107"/>
    </row>
    <row r="1056" spans="1:62" x14ac:dyDescent="0.25">
      <c r="A1056" s="107"/>
      <c r="B1056" s="107"/>
      <c r="C1056" s="107"/>
      <c r="D1056" s="107"/>
      <c r="E1056" s="107"/>
      <c r="F1056" s="107"/>
      <c r="G1056" s="107"/>
      <c r="H1056" s="107"/>
      <c r="I1056" s="107"/>
      <c r="J1056" s="107"/>
      <c r="K1056" s="107"/>
      <c r="L1056" s="107"/>
      <c r="M1056" s="107"/>
      <c r="N1056" s="107"/>
      <c r="O1056" s="107"/>
      <c r="P1056" s="107"/>
      <c r="Q1056" s="107"/>
      <c r="R1056" s="107"/>
      <c r="S1056" s="107"/>
      <c r="T1056" s="107"/>
      <c r="U1056" s="107"/>
      <c r="V1056" s="107"/>
      <c r="W1056" s="107"/>
      <c r="X1056" s="107"/>
      <c r="Y1056" s="107"/>
      <c r="Z1056" s="107"/>
      <c r="AA1056" s="107"/>
      <c r="AB1056" s="107"/>
      <c r="AC1056" s="107"/>
      <c r="AD1056" s="107"/>
      <c r="AE1056" s="107"/>
      <c r="AF1056" s="107"/>
      <c r="AG1056" s="107"/>
      <c r="AH1056" s="107"/>
      <c r="AI1056" s="107"/>
      <c r="AJ1056" s="107"/>
      <c r="AK1056" s="107"/>
      <c r="AL1056" s="107"/>
      <c r="AM1056" s="107"/>
      <c r="AN1056" s="107"/>
      <c r="AO1056" s="107"/>
      <c r="AP1056" s="107"/>
      <c r="AQ1056" s="107"/>
      <c r="AR1056" s="107"/>
      <c r="AS1056" s="107"/>
      <c r="AT1056" s="107"/>
      <c r="AU1056" s="107"/>
      <c r="AV1056" s="107"/>
      <c r="AW1056" s="107"/>
      <c r="AX1056" s="107"/>
      <c r="AY1056" s="107"/>
      <c r="AZ1056" s="107"/>
      <c r="BA1056" s="107"/>
      <c r="BB1056" s="107"/>
      <c r="BC1056" s="107"/>
      <c r="BD1056" s="107"/>
      <c r="BE1056" s="107"/>
      <c r="BF1056" s="107"/>
      <c r="BG1056" s="107"/>
      <c r="BH1056" s="107"/>
      <c r="BI1056" s="107"/>
      <c r="BJ1056" s="107"/>
    </row>
    <row r="1057" spans="1:62" ht="36" x14ac:dyDescent="0.25">
      <c r="A1057" s="169"/>
      <c r="B1057" s="169"/>
      <c r="C1057" s="169"/>
      <c r="D1057" s="169"/>
      <c r="E1057" s="169"/>
      <c r="F1057" s="169"/>
      <c r="G1057" s="169"/>
      <c r="H1057" s="169"/>
      <c r="I1057" s="169"/>
      <c r="J1057" s="169"/>
      <c r="K1057" s="169"/>
      <c r="L1057" s="169"/>
      <c r="M1057" s="169"/>
      <c r="N1057" s="169"/>
      <c r="O1057" s="169"/>
      <c r="P1057" s="169"/>
      <c r="Q1057" s="169"/>
      <c r="R1057" s="169"/>
      <c r="S1057" s="169"/>
      <c r="T1057" s="169"/>
      <c r="U1057" s="169"/>
      <c r="V1057" s="169"/>
      <c r="W1057" s="169"/>
      <c r="X1057" s="169"/>
      <c r="Y1057" s="169"/>
      <c r="Z1057" s="169"/>
      <c r="AA1057" s="169"/>
      <c r="AB1057" s="169"/>
      <c r="AC1057" s="169"/>
      <c r="AD1057" s="169"/>
      <c r="AE1057" s="169"/>
      <c r="AF1057" s="169"/>
      <c r="AG1057" s="169"/>
      <c r="AH1057" s="169"/>
      <c r="AI1057" s="169"/>
      <c r="AJ1057" s="169"/>
      <c r="AK1057" s="169"/>
      <c r="AL1057" s="169"/>
      <c r="AM1057" s="169"/>
      <c r="AN1057" s="169"/>
      <c r="AO1057" s="169"/>
      <c r="AP1057" s="169"/>
      <c r="AQ1057" s="169"/>
      <c r="AR1057" s="169"/>
      <c r="AS1057" s="169"/>
      <c r="AT1057" s="169"/>
      <c r="AU1057" s="169"/>
      <c r="AV1057" s="169"/>
      <c r="AW1057" s="169"/>
      <c r="AX1057" s="169"/>
      <c r="AY1057" s="169"/>
      <c r="AZ1057" s="169"/>
      <c r="BA1057" s="169"/>
      <c r="BB1057" s="169"/>
      <c r="BC1057" s="169"/>
      <c r="BD1057" s="169"/>
      <c r="BE1057" s="169"/>
      <c r="BF1057" s="169"/>
      <c r="BG1057" s="169"/>
      <c r="BH1057" s="169"/>
      <c r="BI1057" s="169"/>
      <c r="BJ1057" s="169"/>
    </row>
    <row r="1058" spans="1:62" ht="36" x14ac:dyDescent="0.25">
      <c r="A1058" s="169"/>
      <c r="B1058" s="169"/>
      <c r="C1058" s="169"/>
      <c r="D1058" s="169"/>
      <c r="E1058" s="169"/>
      <c r="F1058" s="169"/>
      <c r="G1058" s="169"/>
      <c r="H1058" s="169"/>
      <c r="I1058" s="169"/>
      <c r="J1058" s="169"/>
      <c r="K1058" s="169"/>
      <c r="L1058" s="169"/>
      <c r="M1058" s="169"/>
      <c r="N1058" s="169"/>
      <c r="O1058" s="169"/>
      <c r="P1058" s="169"/>
      <c r="Q1058" s="169"/>
      <c r="R1058" s="169"/>
      <c r="S1058" s="169"/>
      <c r="T1058" s="169"/>
      <c r="U1058" s="169"/>
      <c r="V1058" s="169"/>
      <c r="W1058" s="169"/>
      <c r="X1058" s="169"/>
      <c r="Y1058" s="169"/>
      <c r="Z1058" s="169"/>
      <c r="AA1058" s="169"/>
      <c r="AB1058" s="169"/>
      <c r="AC1058" s="169"/>
      <c r="AD1058" s="169"/>
      <c r="AE1058" s="169"/>
      <c r="AF1058" s="169"/>
      <c r="AG1058" s="169"/>
      <c r="AH1058" s="169"/>
      <c r="AI1058" s="169"/>
      <c r="AJ1058" s="169"/>
      <c r="AK1058" s="169"/>
      <c r="AL1058" s="169"/>
      <c r="AM1058" s="169"/>
      <c r="AN1058" s="169"/>
      <c r="AO1058" s="169"/>
      <c r="AP1058" s="169"/>
      <c r="AQ1058" s="169"/>
      <c r="AR1058" s="169"/>
      <c r="AS1058" s="169"/>
      <c r="AT1058" s="169"/>
      <c r="AU1058" s="169"/>
      <c r="AV1058" s="169"/>
      <c r="AW1058" s="169"/>
      <c r="AX1058" s="169"/>
      <c r="AY1058" s="169"/>
      <c r="AZ1058" s="169"/>
      <c r="BA1058" s="169"/>
      <c r="BB1058" s="169"/>
      <c r="BC1058" s="169"/>
      <c r="BD1058" s="169"/>
      <c r="BE1058" s="169"/>
      <c r="BF1058" s="169"/>
      <c r="BG1058" s="169"/>
      <c r="BH1058" s="169"/>
      <c r="BI1058" s="169"/>
      <c r="BJ1058" s="169"/>
    </row>
    <row r="1059" spans="1:62" ht="36" x14ac:dyDescent="0.25">
      <c r="A1059" s="169"/>
      <c r="B1059" s="169"/>
      <c r="C1059" s="169"/>
      <c r="D1059" s="169"/>
      <c r="E1059" s="169"/>
      <c r="F1059" s="169"/>
      <c r="G1059" s="169"/>
      <c r="H1059" s="169"/>
      <c r="I1059" s="169"/>
      <c r="J1059" s="169"/>
      <c r="K1059" s="169"/>
      <c r="L1059" s="169"/>
      <c r="M1059" s="169"/>
      <c r="N1059" s="169"/>
      <c r="O1059" s="169"/>
      <c r="P1059" s="169"/>
      <c r="Q1059" s="169"/>
      <c r="R1059" s="169"/>
      <c r="S1059" s="169"/>
      <c r="T1059" s="169"/>
      <c r="U1059" s="169"/>
      <c r="V1059" s="169"/>
      <c r="W1059" s="169"/>
      <c r="X1059" s="169"/>
      <c r="Y1059" s="169"/>
      <c r="Z1059" s="169"/>
      <c r="AA1059" s="169"/>
      <c r="AB1059" s="169"/>
      <c r="AC1059" s="169"/>
      <c r="AD1059" s="169"/>
      <c r="AE1059" s="169"/>
      <c r="AF1059" s="169"/>
      <c r="AG1059" s="169"/>
      <c r="AH1059" s="169"/>
      <c r="AI1059" s="169"/>
      <c r="AJ1059" s="169"/>
      <c r="AK1059" s="169"/>
      <c r="AL1059" s="169"/>
      <c r="AM1059" s="169"/>
      <c r="AN1059" s="169"/>
      <c r="AO1059" s="169"/>
      <c r="AP1059" s="169"/>
      <c r="AQ1059" s="169"/>
      <c r="AR1059" s="169"/>
      <c r="AS1059" s="169"/>
      <c r="AT1059" s="169"/>
      <c r="AU1059" s="169"/>
      <c r="AV1059" s="169"/>
      <c r="AW1059" s="169"/>
      <c r="AX1059" s="169"/>
      <c r="AY1059" s="169"/>
      <c r="AZ1059" s="169"/>
      <c r="BA1059" s="169"/>
      <c r="BB1059" s="169"/>
      <c r="BC1059" s="169"/>
      <c r="BD1059" s="169"/>
      <c r="BE1059" s="169"/>
      <c r="BF1059" s="169"/>
      <c r="BG1059" s="169"/>
      <c r="BH1059" s="169"/>
      <c r="BI1059" s="169"/>
      <c r="BJ1059" s="169"/>
    </row>
    <row r="1060" spans="1:62" x14ac:dyDescent="0.25">
      <c r="F1060" s="194"/>
      <c r="G1060" s="194"/>
    </row>
    <row r="1062" spans="1:62" x14ac:dyDescent="0.25">
      <c r="A1062" s="199"/>
      <c r="B1062" s="136"/>
      <c r="C1062" s="199"/>
      <c r="D1062" s="199"/>
      <c r="E1062" s="199"/>
      <c r="F1062" s="199"/>
      <c r="G1062" s="199"/>
      <c r="H1062" s="199"/>
      <c r="I1062" s="136"/>
      <c r="J1062" s="199"/>
      <c r="K1062" s="199"/>
      <c r="L1062" s="199"/>
      <c r="M1062" s="199"/>
      <c r="N1062" s="136"/>
      <c r="O1062" s="199"/>
      <c r="P1062" s="199"/>
      <c r="Q1062" s="199"/>
      <c r="R1062" s="199"/>
      <c r="S1062" s="136"/>
      <c r="T1062" s="199"/>
      <c r="U1062" s="199"/>
      <c r="V1062" s="199"/>
      <c r="W1062" s="199"/>
      <c r="X1062" s="136"/>
      <c r="Y1062" s="199"/>
      <c r="Z1062" s="199"/>
      <c r="AA1062" s="199"/>
      <c r="AB1062" s="199"/>
      <c r="AC1062" s="136"/>
      <c r="AD1062" s="199"/>
      <c r="AE1062" s="199"/>
      <c r="AF1062" s="199"/>
      <c r="AG1062" s="199"/>
      <c r="AH1062" s="136"/>
      <c r="AI1062" s="199"/>
      <c r="AJ1062" s="199"/>
      <c r="AK1062" s="199"/>
      <c r="AL1062" s="199"/>
      <c r="AM1062" s="136"/>
      <c r="AN1062" s="199"/>
      <c r="AO1062" s="199"/>
      <c r="AP1062" s="199"/>
      <c r="AQ1062" s="199"/>
      <c r="AR1062" s="136"/>
      <c r="AS1062" s="199"/>
      <c r="AT1062" s="199"/>
      <c r="AU1062" s="199"/>
      <c r="AV1062" s="199"/>
      <c r="AW1062" s="136"/>
      <c r="AX1062" s="199"/>
      <c r="AY1062" s="199"/>
      <c r="AZ1062" s="199"/>
      <c r="BA1062" s="199"/>
      <c r="BB1062" s="136"/>
      <c r="BC1062" s="199"/>
      <c r="BD1062" s="199"/>
      <c r="BE1062" s="199"/>
      <c r="BF1062" s="199"/>
      <c r="BG1062" s="136"/>
      <c r="BH1062" s="199"/>
      <c r="BI1062" s="199"/>
      <c r="BJ1062" s="199"/>
    </row>
    <row r="1063" spans="1:62" x14ac:dyDescent="0.25">
      <c r="A1063" s="199"/>
      <c r="B1063" s="136"/>
      <c r="C1063" s="199"/>
      <c r="D1063" s="199"/>
      <c r="E1063" s="199"/>
      <c r="F1063" s="199"/>
      <c r="G1063" s="199"/>
      <c r="H1063" s="199"/>
      <c r="I1063" s="136"/>
      <c r="J1063" s="199"/>
      <c r="K1063" s="199"/>
      <c r="L1063" s="199"/>
      <c r="M1063" s="199"/>
      <c r="N1063" s="136"/>
      <c r="O1063" s="199"/>
      <c r="P1063" s="199"/>
      <c r="Q1063" s="199"/>
      <c r="R1063" s="199"/>
      <c r="S1063" s="136"/>
      <c r="T1063" s="199"/>
      <c r="U1063" s="199"/>
      <c r="V1063" s="199"/>
      <c r="W1063" s="199"/>
      <c r="X1063" s="136"/>
      <c r="Y1063" s="199"/>
      <c r="Z1063" s="199"/>
      <c r="AA1063" s="199"/>
      <c r="AB1063" s="199"/>
      <c r="AC1063" s="136"/>
      <c r="AD1063" s="199"/>
      <c r="AE1063" s="199"/>
      <c r="AF1063" s="199"/>
      <c r="AG1063" s="199"/>
      <c r="AH1063" s="136"/>
      <c r="AI1063" s="199"/>
      <c r="AJ1063" s="199"/>
      <c r="AK1063" s="199"/>
      <c r="AL1063" s="199"/>
      <c r="AM1063" s="136"/>
      <c r="AN1063" s="199"/>
      <c r="AO1063" s="199"/>
      <c r="AP1063" s="199"/>
      <c r="AQ1063" s="199"/>
      <c r="AR1063" s="136"/>
      <c r="AS1063" s="199"/>
      <c r="AT1063" s="199"/>
      <c r="AU1063" s="199"/>
      <c r="AV1063" s="199"/>
      <c r="AW1063" s="136"/>
      <c r="AX1063" s="199"/>
      <c r="AY1063" s="199"/>
      <c r="AZ1063" s="199"/>
      <c r="BA1063" s="199"/>
      <c r="BB1063" s="136"/>
      <c r="BC1063" s="199"/>
      <c r="BD1063" s="199"/>
      <c r="BE1063" s="199"/>
      <c r="BF1063" s="199"/>
      <c r="BG1063" s="136"/>
      <c r="BH1063" s="199"/>
      <c r="BI1063" s="199"/>
      <c r="BJ1063" s="199"/>
    </row>
    <row r="1064" spans="1:62" x14ac:dyDescent="0.25">
      <c r="A1064" s="199"/>
      <c r="B1064" s="136"/>
      <c r="C1064" s="199"/>
      <c r="D1064" s="199"/>
      <c r="E1064" s="199"/>
      <c r="F1064" s="199"/>
      <c r="G1064" s="199"/>
      <c r="H1064" s="199"/>
      <c r="I1064" s="136"/>
      <c r="J1064" s="199"/>
      <c r="K1064" s="199"/>
      <c r="L1064" s="199"/>
      <c r="M1064" s="199"/>
      <c r="N1064" s="136"/>
      <c r="O1064" s="199"/>
      <c r="P1064" s="199"/>
      <c r="Q1064" s="199"/>
      <c r="R1064" s="199"/>
      <c r="S1064" s="136"/>
      <c r="T1064" s="199"/>
      <c r="U1064" s="199"/>
      <c r="V1064" s="199"/>
      <c r="W1064" s="199"/>
      <c r="X1064" s="136"/>
      <c r="Y1064" s="199"/>
      <c r="Z1064" s="199"/>
      <c r="AA1064" s="199"/>
      <c r="AB1064" s="199"/>
      <c r="AC1064" s="136"/>
      <c r="AD1064" s="199"/>
      <c r="AE1064" s="199"/>
      <c r="AF1064" s="199"/>
      <c r="AG1064" s="199"/>
      <c r="AH1064" s="136"/>
      <c r="AI1064" s="199"/>
      <c r="AJ1064" s="199"/>
      <c r="AK1064" s="199"/>
      <c r="AL1064" s="199"/>
      <c r="AM1064" s="136"/>
      <c r="AN1064" s="199"/>
      <c r="AO1064" s="199"/>
      <c r="AP1064" s="199"/>
      <c r="AQ1064" s="199"/>
      <c r="AR1064" s="136"/>
      <c r="AS1064" s="199"/>
      <c r="AT1064" s="199"/>
      <c r="AU1064" s="199"/>
      <c r="AV1064" s="199"/>
      <c r="AW1064" s="136"/>
      <c r="AX1064" s="199"/>
      <c r="AY1064" s="199"/>
      <c r="AZ1064" s="199"/>
      <c r="BA1064" s="199"/>
      <c r="BB1064" s="136"/>
      <c r="BC1064" s="199"/>
      <c r="BD1064" s="199"/>
      <c r="BE1064" s="199"/>
      <c r="BF1064" s="199"/>
      <c r="BG1064" s="136"/>
      <c r="BH1064" s="199"/>
      <c r="BI1064" s="199"/>
      <c r="BJ1064" s="199"/>
    </row>
    <row r="1065" spans="1:62" x14ac:dyDescent="0.25">
      <c r="A1065" s="199"/>
      <c r="B1065" s="136"/>
      <c r="C1065" s="199"/>
      <c r="D1065" s="199"/>
      <c r="E1065" s="199"/>
      <c r="F1065" s="199"/>
      <c r="G1065" s="199"/>
      <c r="H1065" s="199"/>
      <c r="I1065" s="136"/>
      <c r="J1065" s="199"/>
      <c r="K1065" s="199"/>
      <c r="L1065" s="199"/>
      <c r="M1065" s="199"/>
      <c r="N1065" s="136"/>
      <c r="O1065" s="199"/>
      <c r="P1065" s="199"/>
      <c r="Q1065" s="199"/>
      <c r="R1065" s="199"/>
      <c r="S1065" s="136"/>
      <c r="T1065" s="199"/>
      <c r="U1065" s="199"/>
      <c r="V1065" s="199"/>
      <c r="W1065" s="199"/>
      <c r="X1065" s="136"/>
      <c r="Y1065" s="199"/>
      <c r="Z1065" s="199"/>
      <c r="AA1065" s="199"/>
      <c r="AB1065" s="199"/>
      <c r="AC1065" s="136"/>
      <c r="AD1065" s="199"/>
      <c r="AE1065" s="199"/>
      <c r="AF1065" s="199"/>
      <c r="AG1065" s="199"/>
      <c r="AH1065" s="136"/>
      <c r="AI1065" s="199"/>
      <c r="AJ1065" s="199"/>
      <c r="AK1065" s="199"/>
      <c r="AL1065" s="199"/>
      <c r="AM1065" s="136"/>
      <c r="AN1065" s="199"/>
      <c r="AO1065" s="199"/>
      <c r="AP1065" s="199"/>
      <c r="AQ1065" s="199"/>
      <c r="AR1065" s="136"/>
      <c r="AS1065" s="199"/>
      <c r="AT1065" s="199"/>
      <c r="AU1065" s="199"/>
      <c r="AV1065" s="199"/>
      <c r="AW1065" s="136"/>
      <c r="AX1065" s="199"/>
      <c r="AY1065" s="199"/>
      <c r="AZ1065" s="199"/>
      <c r="BA1065" s="199"/>
      <c r="BB1065" s="136"/>
      <c r="BC1065" s="199"/>
      <c r="BD1065" s="199"/>
      <c r="BE1065" s="199"/>
      <c r="BF1065" s="199"/>
      <c r="BG1065" s="136"/>
      <c r="BH1065" s="199"/>
      <c r="BI1065" s="199"/>
      <c r="BJ1065" s="199"/>
    </row>
    <row r="1066" spans="1:62" x14ac:dyDescent="0.25">
      <c r="A1066" s="199"/>
      <c r="B1066" s="136"/>
      <c r="C1066" s="199"/>
      <c r="D1066" s="199"/>
      <c r="E1066" s="199"/>
      <c r="F1066" s="199"/>
      <c r="G1066" s="199"/>
      <c r="H1066" s="199"/>
      <c r="I1066" s="136"/>
      <c r="J1066" s="199"/>
      <c r="K1066" s="199"/>
      <c r="L1066" s="199"/>
      <c r="M1066" s="199"/>
      <c r="N1066" s="136"/>
      <c r="O1066" s="199"/>
      <c r="P1066" s="199"/>
      <c r="Q1066" s="199"/>
      <c r="R1066" s="199"/>
      <c r="S1066" s="136"/>
      <c r="T1066" s="199"/>
      <c r="U1066" s="199"/>
      <c r="V1066" s="199"/>
      <c r="W1066" s="199"/>
      <c r="X1066" s="136"/>
      <c r="Y1066" s="199"/>
      <c r="Z1066" s="199"/>
      <c r="AA1066" s="199"/>
      <c r="AB1066" s="199"/>
      <c r="AC1066" s="136"/>
      <c r="AD1066" s="199"/>
      <c r="AE1066" s="199"/>
      <c r="AF1066" s="199"/>
      <c r="AG1066" s="199"/>
      <c r="AH1066" s="136"/>
      <c r="AI1066" s="199"/>
      <c r="AJ1066" s="199"/>
      <c r="AK1066" s="199"/>
      <c r="AL1066" s="199"/>
      <c r="AM1066" s="136"/>
      <c r="AN1066" s="199"/>
      <c r="AO1066" s="199"/>
      <c r="AP1066" s="199"/>
      <c r="AQ1066" s="199"/>
      <c r="AR1066" s="136"/>
      <c r="AS1066" s="199"/>
      <c r="AT1066" s="199"/>
      <c r="AU1066" s="199"/>
      <c r="AV1066" s="199"/>
      <c r="AW1066" s="136"/>
      <c r="AX1066" s="199"/>
      <c r="AY1066" s="199"/>
      <c r="AZ1066" s="199"/>
      <c r="BA1066" s="199"/>
      <c r="BB1066" s="136"/>
      <c r="BC1066" s="199"/>
      <c r="BD1066" s="199"/>
      <c r="BE1066" s="199"/>
      <c r="BF1066" s="199"/>
      <c r="BG1066" s="136"/>
      <c r="BH1066" s="199"/>
      <c r="BI1066" s="199"/>
      <c r="BJ1066" s="199"/>
    </row>
    <row r="1067" spans="1:62" x14ac:dyDescent="0.25">
      <c r="A1067" s="199"/>
      <c r="B1067" s="136"/>
      <c r="C1067" s="199"/>
      <c r="D1067" s="199"/>
      <c r="E1067" s="199"/>
      <c r="F1067" s="199"/>
      <c r="G1067" s="199"/>
      <c r="H1067" s="199"/>
      <c r="I1067" s="136"/>
      <c r="J1067" s="199"/>
      <c r="K1067" s="199"/>
      <c r="L1067" s="199"/>
      <c r="M1067" s="199"/>
      <c r="N1067" s="136"/>
      <c r="O1067" s="199"/>
      <c r="P1067" s="199"/>
      <c r="Q1067" s="199"/>
      <c r="R1067" s="199"/>
      <c r="S1067" s="136"/>
      <c r="T1067" s="199"/>
      <c r="U1067" s="199"/>
      <c r="V1067" s="199"/>
      <c r="W1067" s="199"/>
      <c r="X1067" s="136"/>
      <c r="Y1067" s="199"/>
      <c r="Z1067" s="199"/>
      <c r="AA1067" s="199"/>
      <c r="AB1067" s="199"/>
      <c r="AC1067" s="136"/>
      <c r="AD1067" s="199"/>
      <c r="AE1067" s="199"/>
      <c r="AF1067" s="199"/>
      <c r="AG1067" s="199"/>
      <c r="AH1067" s="136"/>
      <c r="AI1067" s="199"/>
      <c r="AJ1067" s="199"/>
      <c r="AK1067" s="199"/>
      <c r="AL1067" s="199"/>
      <c r="AM1067" s="136"/>
      <c r="AN1067" s="199"/>
      <c r="AO1067" s="199"/>
      <c r="AP1067" s="199"/>
      <c r="AQ1067" s="199"/>
      <c r="AR1067" s="136"/>
      <c r="AS1067" s="199"/>
      <c r="AT1067" s="199"/>
      <c r="AU1067" s="199"/>
      <c r="AV1067" s="199"/>
      <c r="AW1067" s="136"/>
      <c r="AX1067" s="199"/>
      <c r="AY1067" s="199"/>
      <c r="AZ1067" s="199"/>
      <c r="BA1067" s="199"/>
      <c r="BB1067" s="136"/>
      <c r="BC1067" s="199"/>
      <c r="BD1067" s="199"/>
      <c r="BE1067" s="199"/>
      <c r="BF1067" s="199"/>
      <c r="BG1067" s="136"/>
      <c r="BH1067" s="199"/>
      <c r="BI1067" s="199"/>
      <c r="BJ1067" s="199"/>
    </row>
    <row r="1068" spans="1:62" x14ac:dyDescent="0.25">
      <c r="A1068" s="199"/>
      <c r="B1068" s="136"/>
      <c r="C1068" s="199"/>
      <c r="D1068" s="199"/>
      <c r="E1068" s="199"/>
      <c r="F1068" s="199"/>
      <c r="G1068" s="199"/>
      <c r="H1068" s="199"/>
      <c r="I1068" s="136"/>
      <c r="J1068" s="199"/>
      <c r="K1068" s="199"/>
      <c r="L1068" s="199"/>
      <c r="M1068" s="199"/>
      <c r="N1068" s="136"/>
      <c r="O1068" s="199"/>
      <c r="P1068" s="199"/>
      <c r="Q1068" s="199"/>
      <c r="R1068" s="199"/>
      <c r="S1068" s="136"/>
      <c r="T1068" s="199"/>
      <c r="U1068" s="199"/>
      <c r="V1068" s="199"/>
      <c r="W1068" s="199"/>
      <c r="X1068" s="136"/>
      <c r="Y1068" s="199"/>
      <c r="Z1068" s="199"/>
      <c r="AA1068" s="199"/>
      <c r="AB1068" s="199"/>
      <c r="AC1068" s="136"/>
      <c r="AD1068" s="199"/>
      <c r="AE1068" s="199"/>
      <c r="AF1068" s="199"/>
      <c r="AG1068" s="199"/>
      <c r="AH1068" s="136"/>
      <c r="AI1068" s="199"/>
      <c r="AJ1068" s="199"/>
      <c r="AK1068" s="199"/>
      <c r="AL1068" s="199"/>
      <c r="AM1068" s="136"/>
      <c r="AN1068" s="199"/>
      <c r="AO1068" s="199"/>
      <c r="AP1068" s="199"/>
      <c r="AQ1068" s="199"/>
      <c r="AR1068" s="136"/>
      <c r="AS1068" s="199"/>
      <c r="AT1068" s="199"/>
      <c r="AU1068" s="199"/>
      <c r="AV1068" s="199"/>
      <c r="AW1068" s="136"/>
      <c r="AX1068" s="199"/>
      <c r="AY1068" s="199"/>
      <c r="AZ1068" s="199"/>
      <c r="BA1068" s="199"/>
      <c r="BB1068" s="136"/>
      <c r="BC1068" s="199"/>
      <c r="BD1068" s="199"/>
      <c r="BE1068" s="199"/>
      <c r="BF1068" s="199"/>
      <c r="BG1068" s="136"/>
      <c r="BH1068" s="199"/>
      <c r="BI1068" s="199"/>
      <c r="BJ1068" s="199"/>
    </row>
    <row r="1069" spans="1:62" x14ac:dyDescent="0.25">
      <c r="A1069" s="199"/>
      <c r="B1069" s="136"/>
      <c r="C1069" s="199"/>
      <c r="D1069" s="199"/>
      <c r="E1069" s="199"/>
      <c r="F1069" s="199"/>
      <c r="G1069" s="199"/>
      <c r="H1069" s="199"/>
      <c r="I1069" s="136"/>
      <c r="J1069" s="199"/>
      <c r="K1069" s="199"/>
      <c r="L1069" s="199"/>
      <c r="M1069" s="199"/>
      <c r="N1069" s="136"/>
      <c r="O1069" s="199"/>
      <c r="P1069" s="199"/>
      <c r="Q1069" s="199"/>
      <c r="R1069" s="199"/>
      <c r="S1069" s="136"/>
      <c r="T1069" s="199"/>
      <c r="U1069" s="199"/>
      <c r="V1069" s="199"/>
      <c r="W1069" s="199"/>
      <c r="X1069" s="136"/>
      <c r="Y1069" s="199"/>
      <c r="Z1069" s="199"/>
      <c r="AA1069" s="199"/>
      <c r="AB1069" s="199"/>
      <c r="AC1069" s="136"/>
      <c r="AD1069" s="199"/>
      <c r="AE1069" s="199"/>
      <c r="AF1069" s="199"/>
      <c r="AG1069" s="199"/>
      <c r="AH1069" s="136"/>
      <c r="AI1069" s="199"/>
      <c r="AJ1069" s="199"/>
      <c r="AK1069" s="199"/>
      <c r="AL1069" s="199"/>
      <c r="AM1069" s="136"/>
      <c r="AN1069" s="199"/>
      <c r="AO1069" s="199"/>
      <c r="AP1069" s="199"/>
      <c r="AQ1069" s="199"/>
      <c r="AR1069" s="136"/>
      <c r="AS1069" s="199"/>
      <c r="AT1069" s="199"/>
      <c r="AU1069" s="199"/>
      <c r="AV1069" s="199"/>
      <c r="AW1069" s="136"/>
      <c r="AX1069" s="199"/>
      <c r="AY1069" s="199"/>
      <c r="AZ1069" s="199"/>
      <c r="BA1069" s="199"/>
      <c r="BB1069" s="136"/>
      <c r="BC1069" s="199"/>
      <c r="BD1069" s="199"/>
      <c r="BE1069" s="199"/>
      <c r="BF1069" s="199"/>
      <c r="BG1069" s="136"/>
      <c r="BH1069" s="199"/>
      <c r="BI1069" s="199"/>
      <c r="BJ1069" s="199"/>
    </row>
    <row r="1073" spans="1:62" ht="36" x14ac:dyDescent="0.25">
      <c r="A1073" s="169"/>
      <c r="B1073" s="107"/>
      <c r="C1073" s="107"/>
      <c r="D1073" s="107"/>
      <c r="E1073" s="107"/>
      <c r="F1073" s="107"/>
      <c r="G1073" s="107"/>
      <c r="H1073" s="107"/>
      <c r="I1073" s="107"/>
      <c r="J1073" s="107"/>
      <c r="K1073" s="107"/>
      <c r="L1073" s="107"/>
      <c r="M1073" s="107"/>
      <c r="N1073" s="107"/>
      <c r="O1073" s="107"/>
      <c r="P1073" s="107"/>
      <c r="Q1073" s="107"/>
      <c r="R1073" s="107"/>
      <c r="S1073" s="107"/>
      <c r="T1073" s="107"/>
      <c r="U1073" s="107"/>
      <c r="V1073" s="107"/>
      <c r="W1073" s="107"/>
      <c r="X1073" s="107"/>
      <c r="Y1073" s="107"/>
      <c r="Z1073" s="107"/>
      <c r="AA1073" s="107"/>
      <c r="AB1073" s="107"/>
      <c r="AC1073" s="107"/>
      <c r="AD1073" s="107"/>
      <c r="AE1073" s="107"/>
      <c r="AF1073" s="107"/>
      <c r="AG1073" s="107"/>
      <c r="AH1073" s="107"/>
      <c r="AI1073" s="107"/>
      <c r="AJ1073" s="107"/>
      <c r="AK1073" s="107"/>
      <c r="AL1073" s="107"/>
      <c r="AM1073" s="107"/>
      <c r="AN1073" s="107"/>
      <c r="AO1073" s="107"/>
      <c r="AP1073" s="107"/>
      <c r="AQ1073" s="107"/>
      <c r="AR1073" s="107"/>
      <c r="AS1073" s="107"/>
      <c r="AT1073" s="107"/>
      <c r="AU1073" s="107"/>
      <c r="AV1073" s="107"/>
      <c r="AW1073" s="107"/>
      <c r="AX1073" s="107"/>
      <c r="AY1073" s="107"/>
      <c r="AZ1073" s="107"/>
      <c r="BA1073" s="107"/>
      <c r="BB1073" s="107"/>
      <c r="BC1073" s="107"/>
      <c r="BD1073" s="107"/>
      <c r="BE1073" s="107"/>
      <c r="BF1073" s="107"/>
      <c r="BG1073" s="107"/>
      <c r="BH1073" s="107"/>
      <c r="BI1073" s="107"/>
      <c r="BJ1073" s="107"/>
    </row>
    <row r="1074" spans="1:62" x14ac:dyDescent="0.25">
      <c r="A1074" s="107"/>
      <c r="B1074" s="107"/>
      <c r="C1074" s="107"/>
      <c r="D1074" s="107"/>
      <c r="E1074" s="107"/>
      <c r="F1074" s="107"/>
      <c r="G1074" s="107"/>
      <c r="H1074" s="107"/>
      <c r="I1074" s="107"/>
      <c r="J1074" s="107"/>
      <c r="K1074" s="107"/>
      <c r="L1074" s="107"/>
      <c r="M1074" s="107"/>
      <c r="N1074" s="107"/>
      <c r="O1074" s="107"/>
      <c r="P1074" s="107"/>
      <c r="Q1074" s="107"/>
      <c r="R1074" s="107"/>
      <c r="S1074" s="107"/>
      <c r="T1074" s="107"/>
      <c r="U1074" s="107"/>
      <c r="V1074" s="107"/>
      <c r="W1074" s="107"/>
      <c r="X1074" s="107"/>
      <c r="Y1074" s="107"/>
      <c r="Z1074" s="107"/>
      <c r="AA1074" s="107"/>
      <c r="AB1074" s="107"/>
      <c r="AC1074" s="107"/>
      <c r="AD1074" s="107"/>
      <c r="AE1074" s="107"/>
      <c r="AF1074" s="107"/>
      <c r="AG1074" s="107"/>
      <c r="AH1074" s="107"/>
      <c r="AI1074" s="107"/>
      <c r="AJ1074" s="107"/>
      <c r="AK1074" s="107"/>
      <c r="AL1074" s="107"/>
      <c r="AM1074" s="107"/>
      <c r="AN1074" s="107"/>
      <c r="AO1074" s="107"/>
      <c r="AP1074" s="107"/>
      <c r="AQ1074" s="107"/>
      <c r="AR1074" s="107"/>
      <c r="AS1074" s="107"/>
      <c r="AT1074" s="107"/>
      <c r="AU1074" s="107"/>
      <c r="AV1074" s="107"/>
      <c r="AW1074" s="107"/>
      <c r="AX1074" s="107"/>
      <c r="AY1074" s="107"/>
      <c r="AZ1074" s="107"/>
      <c r="BA1074" s="107"/>
      <c r="BB1074" s="107"/>
      <c r="BC1074" s="107"/>
      <c r="BD1074" s="107"/>
      <c r="BE1074" s="107"/>
      <c r="BF1074" s="107"/>
      <c r="BG1074" s="107"/>
      <c r="BH1074" s="107"/>
      <c r="BI1074" s="107"/>
      <c r="BJ1074" s="107"/>
    </row>
    <row r="1075" spans="1:62" x14ac:dyDescent="0.25">
      <c r="A1075" s="107"/>
      <c r="B1075" s="107"/>
      <c r="C1075" s="107"/>
      <c r="D1075" s="107"/>
      <c r="E1075" s="107"/>
      <c r="F1075" s="107"/>
      <c r="G1075" s="107"/>
      <c r="H1075" s="107"/>
      <c r="I1075" s="107"/>
      <c r="J1075" s="107"/>
      <c r="K1075" s="107"/>
      <c r="L1075" s="107"/>
      <c r="M1075" s="107"/>
      <c r="N1075" s="107"/>
      <c r="O1075" s="107"/>
      <c r="P1075" s="107"/>
      <c r="Q1075" s="107"/>
      <c r="R1075" s="107"/>
      <c r="S1075" s="107"/>
      <c r="T1075" s="107"/>
      <c r="U1075" s="107"/>
      <c r="V1075" s="107"/>
      <c r="W1075" s="107"/>
      <c r="X1075" s="107"/>
      <c r="Y1075" s="107"/>
      <c r="Z1075" s="107"/>
      <c r="AA1075" s="107"/>
      <c r="AB1075" s="107"/>
      <c r="AC1075" s="107"/>
      <c r="AD1075" s="107"/>
      <c r="AE1075" s="107"/>
      <c r="AF1075" s="107"/>
      <c r="AG1075" s="107"/>
      <c r="AH1075" s="107"/>
      <c r="AI1075" s="107"/>
      <c r="AJ1075" s="107"/>
      <c r="AK1075" s="107"/>
      <c r="AL1075" s="107"/>
      <c r="AM1075" s="107"/>
      <c r="AN1075" s="107"/>
      <c r="AO1075" s="107"/>
      <c r="AP1075" s="107"/>
      <c r="AQ1075" s="107"/>
      <c r="AR1075" s="107"/>
      <c r="AS1075" s="107"/>
      <c r="AT1075" s="107"/>
      <c r="AU1075" s="107"/>
      <c r="AV1075" s="107"/>
      <c r="AW1075" s="107"/>
      <c r="AX1075" s="107"/>
      <c r="AY1075" s="107"/>
      <c r="AZ1075" s="107"/>
      <c r="BA1075" s="107"/>
      <c r="BB1075" s="107"/>
      <c r="BC1075" s="107"/>
      <c r="BD1075" s="107"/>
      <c r="BE1075" s="107"/>
      <c r="BF1075" s="107"/>
      <c r="BG1075" s="107"/>
      <c r="BH1075" s="107"/>
      <c r="BI1075" s="107"/>
      <c r="BJ1075" s="107"/>
    </row>
    <row r="1076" spans="1:62" ht="36" x14ac:dyDescent="0.25">
      <c r="A1076" s="169"/>
      <c r="B1076" s="169"/>
      <c r="C1076" s="169"/>
      <c r="D1076" s="169"/>
      <c r="E1076" s="169"/>
      <c r="F1076" s="169"/>
      <c r="G1076" s="169"/>
      <c r="H1076" s="169"/>
      <c r="I1076" s="169"/>
      <c r="J1076" s="169"/>
      <c r="K1076" s="169"/>
      <c r="L1076" s="169"/>
      <c r="M1076" s="169"/>
      <c r="N1076" s="169"/>
      <c r="O1076" s="169"/>
      <c r="P1076" s="169"/>
      <c r="Q1076" s="169"/>
      <c r="R1076" s="169"/>
      <c r="S1076" s="169"/>
      <c r="T1076" s="169"/>
      <c r="U1076" s="169"/>
      <c r="V1076" s="169"/>
      <c r="W1076" s="169"/>
      <c r="X1076" s="169"/>
      <c r="Y1076" s="169"/>
      <c r="Z1076" s="169"/>
      <c r="AA1076" s="169"/>
      <c r="AB1076" s="169"/>
      <c r="AC1076" s="169"/>
      <c r="AD1076" s="169"/>
      <c r="AE1076" s="169"/>
      <c r="AF1076" s="169"/>
      <c r="AG1076" s="169"/>
      <c r="AH1076" s="169"/>
      <c r="AI1076" s="169"/>
      <c r="AJ1076" s="169"/>
      <c r="AK1076" s="169"/>
      <c r="AL1076" s="169"/>
      <c r="AM1076" s="169"/>
      <c r="AN1076" s="169"/>
      <c r="AO1076" s="169"/>
      <c r="AP1076" s="169"/>
      <c r="AQ1076" s="169"/>
      <c r="AR1076" s="169"/>
      <c r="AS1076" s="169"/>
      <c r="AT1076" s="169"/>
      <c r="AU1076" s="169"/>
      <c r="AV1076" s="169"/>
      <c r="AW1076" s="169"/>
      <c r="AX1076" s="169"/>
      <c r="AY1076" s="169"/>
      <c r="AZ1076" s="169"/>
      <c r="BA1076" s="169"/>
      <c r="BB1076" s="169"/>
      <c r="BC1076" s="169"/>
      <c r="BD1076" s="169"/>
      <c r="BE1076" s="169"/>
      <c r="BF1076" s="169"/>
      <c r="BG1076" s="169"/>
      <c r="BH1076" s="169"/>
      <c r="BI1076" s="169"/>
      <c r="BJ1076" s="169"/>
    </row>
    <row r="1077" spans="1:62" ht="36" x14ac:dyDescent="0.25">
      <c r="A1077" s="169"/>
      <c r="B1077" s="169"/>
      <c r="C1077" s="169"/>
      <c r="D1077" s="169"/>
      <c r="E1077" s="169"/>
      <c r="F1077" s="169"/>
      <c r="G1077" s="169"/>
      <c r="H1077" s="169"/>
      <c r="I1077" s="169"/>
      <c r="J1077" s="169"/>
      <c r="K1077" s="169"/>
      <c r="L1077" s="169"/>
      <c r="M1077" s="169"/>
      <c r="N1077" s="169"/>
      <c r="O1077" s="169"/>
      <c r="P1077" s="169"/>
      <c r="Q1077" s="169"/>
      <c r="R1077" s="169"/>
      <c r="S1077" s="169"/>
      <c r="T1077" s="169"/>
      <c r="U1077" s="169"/>
      <c r="V1077" s="169"/>
      <c r="W1077" s="169"/>
      <c r="X1077" s="169"/>
      <c r="Y1077" s="169"/>
      <c r="Z1077" s="169"/>
      <c r="AA1077" s="169"/>
      <c r="AB1077" s="169"/>
      <c r="AC1077" s="169"/>
      <c r="AD1077" s="169"/>
      <c r="AE1077" s="169"/>
      <c r="AF1077" s="169"/>
      <c r="AG1077" s="169"/>
      <c r="AH1077" s="169"/>
      <c r="AI1077" s="169"/>
      <c r="AJ1077" s="169"/>
      <c r="AK1077" s="169"/>
      <c r="AL1077" s="169"/>
      <c r="AM1077" s="169"/>
      <c r="AN1077" s="169"/>
      <c r="AO1077" s="169"/>
      <c r="AP1077" s="169"/>
      <c r="AQ1077" s="169"/>
      <c r="AR1077" s="169"/>
      <c r="AS1077" s="169"/>
      <c r="AT1077" s="169"/>
      <c r="AU1077" s="169"/>
      <c r="AV1077" s="169"/>
      <c r="AW1077" s="169"/>
      <c r="AX1077" s="169"/>
      <c r="AY1077" s="169"/>
      <c r="AZ1077" s="169"/>
      <c r="BA1077" s="169"/>
      <c r="BB1077" s="169"/>
      <c r="BC1077" s="169"/>
      <c r="BD1077" s="169"/>
      <c r="BE1077" s="169"/>
      <c r="BF1077" s="169"/>
      <c r="BG1077" s="169"/>
      <c r="BH1077" s="169"/>
      <c r="BI1077" s="169"/>
      <c r="BJ1077" s="169"/>
    </row>
    <row r="1078" spans="1:62" ht="36" x14ac:dyDescent="0.25">
      <c r="A1078" s="169"/>
      <c r="B1078" s="169"/>
      <c r="C1078" s="169"/>
      <c r="D1078" s="169"/>
      <c r="E1078" s="169"/>
      <c r="F1078" s="169"/>
      <c r="G1078" s="169"/>
      <c r="H1078" s="169"/>
      <c r="I1078" s="169"/>
      <c r="J1078" s="169"/>
      <c r="K1078" s="169"/>
      <c r="L1078" s="169"/>
      <c r="M1078" s="169"/>
      <c r="N1078" s="169"/>
      <c r="O1078" s="169"/>
      <c r="P1078" s="169"/>
      <c r="Q1078" s="169"/>
      <c r="R1078" s="169"/>
      <c r="S1078" s="169"/>
      <c r="T1078" s="169"/>
      <c r="U1078" s="169"/>
      <c r="V1078" s="169"/>
      <c r="W1078" s="169"/>
      <c r="X1078" s="169"/>
      <c r="Y1078" s="169"/>
      <c r="Z1078" s="169"/>
      <c r="AA1078" s="169"/>
      <c r="AB1078" s="169"/>
      <c r="AC1078" s="169"/>
      <c r="AD1078" s="169"/>
      <c r="AE1078" s="169"/>
      <c r="AF1078" s="169"/>
      <c r="AG1078" s="169"/>
      <c r="AH1078" s="169"/>
      <c r="AI1078" s="169"/>
      <c r="AJ1078" s="169"/>
      <c r="AK1078" s="169"/>
      <c r="AL1078" s="169"/>
      <c r="AM1078" s="169"/>
      <c r="AN1078" s="169"/>
      <c r="AO1078" s="169"/>
      <c r="AP1078" s="169"/>
      <c r="AQ1078" s="169"/>
      <c r="AR1078" s="169"/>
      <c r="AS1078" s="169"/>
      <c r="AT1078" s="169"/>
      <c r="AU1078" s="169"/>
      <c r="AV1078" s="169"/>
      <c r="AW1078" s="169"/>
      <c r="AX1078" s="169"/>
      <c r="AY1078" s="169"/>
      <c r="AZ1078" s="169"/>
      <c r="BA1078" s="169"/>
      <c r="BB1078" s="169"/>
      <c r="BC1078" s="169"/>
      <c r="BD1078" s="169"/>
      <c r="BE1078" s="169"/>
      <c r="BF1078" s="169"/>
      <c r="BG1078" s="169"/>
      <c r="BH1078" s="169"/>
      <c r="BI1078" s="169"/>
      <c r="BJ1078" s="169"/>
    </row>
  </sheetData>
  <mergeCells count="122">
    <mergeCell ref="AC8:AI9"/>
    <mergeCell ref="AJ8:AP9"/>
    <mergeCell ref="AQ8:AW9"/>
    <mergeCell ref="AX8:BD9"/>
    <mergeCell ref="BE8:BK9"/>
    <mergeCell ref="BL8:BR9"/>
    <mergeCell ref="BS8:BY9"/>
    <mergeCell ref="BZ8:CF9"/>
    <mergeCell ref="BS55:BY57"/>
    <mergeCell ref="BZ55:CF57"/>
    <mergeCell ref="AJ25:AP27"/>
    <mergeCell ref="AQ25:AW27"/>
    <mergeCell ref="AX25:BD27"/>
    <mergeCell ref="BE25:BK27"/>
    <mergeCell ref="BL25:BR27"/>
    <mergeCell ref="BL55:BR57"/>
    <mergeCell ref="A63:CF67"/>
    <mergeCell ref="BS68:BY69"/>
    <mergeCell ref="BZ68:CF69"/>
    <mergeCell ref="A33:CF37"/>
    <mergeCell ref="A53:CF54"/>
    <mergeCell ref="A4:CF7"/>
    <mergeCell ref="A8:G9"/>
    <mergeCell ref="H8:N9"/>
    <mergeCell ref="O8:U9"/>
    <mergeCell ref="V8:AB9"/>
    <mergeCell ref="BS25:BY27"/>
    <mergeCell ref="BZ25:CF27"/>
    <mergeCell ref="A23:CF24"/>
    <mergeCell ref="O68:U69"/>
    <mergeCell ref="V68:AB69"/>
    <mergeCell ref="V38:AB39"/>
    <mergeCell ref="A38:G39"/>
    <mergeCell ref="H38:N39"/>
    <mergeCell ref="O38:U39"/>
    <mergeCell ref="A25:G27"/>
    <mergeCell ref="H25:N27"/>
    <mergeCell ref="O25:U27"/>
    <mergeCell ref="V25:AB27"/>
    <mergeCell ref="AC25:AI27"/>
    <mergeCell ref="BL145:BR147"/>
    <mergeCell ref="A143:CF144"/>
    <mergeCell ref="BS145:BY147"/>
    <mergeCell ref="BZ145:CF147"/>
    <mergeCell ref="A128:G129"/>
    <mergeCell ref="H128:N129"/>
    <mergeCell ref="O128:U129"/>
    <mergeCell ref="V128:AB129"/>
    <mergeCell ref="AC128:AI129"/>
    <mergeCell ref="AJ128:AP129"/>
    <mergeCell ref="AQ128:AW129"/>
    <mergeCell ref="AX128:BD129"/>
    <mergeCell ref="BE128:BK129"/>
    <mergeCell ref="BL128:BR129"/>
    <mergeCell ref="A145:G147"/>
    <mergeCell ref="H145:N147"/>
    <mergeCell ref="O145:U147"/>
    <mergeCell ref="V145:AB147"/>
    <mergeCell ref="AC145:AI147"/>
    <mergeCell ref="AJ145:AP147"/>
    <mergeCell ref="AQ145:AW147"/>
    <mergeCell ref="AX145:BD147"/>
    <mergeCell ref="BE145:BK147"/>
    <mergeCell ref="A123:CF127"/>
    <mergeCell ref="BS128:BY129"/>
    <mergeCell ref="BZ128:CF129"/>
    <mergeCell ref="A115:G117"/>
    <mergeCell ref="H115:N117"/>
    <mergeCell ref="O115:U117"/>
    <mergeCell ref="V115:AB117"/>
    <mergeCell ref="AC115:AI117"/>
    <mergeCell ref="AJ115:AP117"/>
    <mergeCell ref="AQ115:AW117"/>
    <mergeCell ref="AX115:BD117"/>
    <mergeCell ref="BE115:BK117"/>
    <mergeCell ref="BL115:BR117"/>
    <mergeCell ref="A113:CF114"/>
    <mergeCell ref="BS115:BY117"/>
    <mergeCell ref="BZ115:CF117"/>
    <mergeCell ref="A98:G99"/>
    <mergeCell ref="H98:N99"/>
    <mergeCell ref="O98:U99"/>
    <mergeCell ref="V98:AB99"/>
    <mergeCell ref="AC98:AI99"/>
    <mergeCell ref="AJ98:AP99"/>
    <mergeCell ref="AQ98:AW99"/>
    <mergeCell ref="AX98:BD99"/>
    <mergeCell ref="BE98:BK99"/>
    <mergeCell ref="BL98:BR99"/>
    <mergeCell ref="A93:CF97"/>
    <mergeCell ref="BS98:BY99"/>
    <mergeCell ref="BZ98:CF99"/>
    <mergeCell ref="BL68:BR69"/>
    <mergeCell ref="A85:G87"/>
    <mergeCell ref="H85:N87"/>
    <mergeCell ref="O85:U87"/>
    <mergeCell ref="V85:AB87"/>
    <mergeCell ref="AC85:AI87"/>
    <mergeCell ref="AJ85:AP87"/>
    <mergeCell ref="AQ85:AW87"/>
    <mergeCell ref="AX85:BD87"/>
    <mergeCell ref="BE85:BK87"/>
    <mergeCell ref="BL85:BR87"/>
    <mergeCell ref="A83:CF84"/>
    <mergeCell ref="BS85:BY87"/>
    <mergeCell ref="BZ85:CF87"/>
    <mergeCell ref="AC68:AI69"/>
    <mergeCell ref="AJ68:AP69"/>
    <mergeCell ref="AQ68:AW69"/>
    <mergeCell ref="AX68:BD69"/>
    <mergeCell ref="BE68:BK69"/>
    <mergeCell ref="A68:G69"/>
    <mergeCell ref="H68:N69"/>
    <mergeCell ref="A55:G57"/>
    <mergeCell ref="H55:N57"/>
    <mergeCell ref="O55:U57"/>
    <mergeCell ref="V55:AB57"/>
    <mergeCell ref="AC55:AI57"/>
    <mergeCell ref="AJ55:AP57"/>
    <mergeCell ref="AQ55:AW57"/>
    <mergeCell ref="AX55:BD57"/>
    <mergeCell ref="BE55:BK57"/>
  </mergeCells>
  <phoneticPr fontId="16" type="noConversion"/>
  <conditionalFormatting sqref="CG11:CG22">
    <cfRule type="expression" dxfId="0" priority="1">
      <formula>AND(CG11&lt;&gt;82, CG11&lt;&gt;67, CG11&lt;&gt;56, CG11&lt;&gt;"")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57D92-3685-4540-94D7-0750B55FE98E}">
  <sheetPr codeName="Feuil9"/>
  <dimension ref="D6:AC27"/>
  <sheetViews>
    <sheetView topLeftCell="A4" workbookViewId="0">
      <selection activeCell="C5" sqref="C5:AB21"/>
    </sheetView>
  </sheetViews>
  <sheetFormatPr baseColWidth="10" defaultColWidth="11.42578125" defaultRowHeight="15" x14ac:dyDescent="0.25"/>
  <sheetData>
    <row r="6" spans="4:29" ht="15.75" thickBot="1" x14ac:dyDescent="0.3"/>
    <row r="7" spans="4:29" ht="16.5" thickBot="1" x14ac:dyDescent="0.3">
      <c r="D7" s="70" t="s">
        <v>183</v>
      </c>
      <c r="E7" s="254" t="s">
        <v>184</v>
      </c>
      <c r="F7" s="255"/>
      <c r="G7" s="254" t="s">
        <v>185</v>
      </c>
      <c r="H7" s="255"/>
      <c r="I7" s="254" t="s">
        <v>186</v>
      </c>
      <c r="J7" s="255"/>
      <c r="K7" s="254" t="s">
        <v>187</v>
      </c>
      <c r="L7" s="255"/>
      <c r="M7" s="254" t="s">
        <v>188</v>
      </c>
      <c r="N7" s="255"/>
      <c r="O7" s="254" t="s">
        <v>189</v>
      </c>
      <c r="P7" s="255"/>
      <c r="Q7" s="254" t="s">
        <v>190</v>
      </c>
      <c r="R7" s="255"/>
      <c r="S7" s="254" t="s">
        <v>191</v>
      </c>
      <c r="T7" s="255"/>
      <c r="U7" s="254" t="s">
        <v>192</v>
      </c>
      <c r="V7" s="255"/>
      <c r="W7" s="254" t="s">
        <v>193</v>
      </c>
      <c r="X7" s="255"/>
      <c r="Y7" s="254" t="s">
        <v>194</v>
      </c>
      <c r="Z7" s="255"/>
      <c r="AA7" s="254" t="s">
        <v>195</v>
      </c>
      <c r="AB7" s="255"/>
      <c r="AC7" s="71" t="s">
        <v>36</v>
      </c>
    </row>
    <row r="8" spans="4:29" x14ac:dyDescent="0.25">
      <c r="D8" s="72"/>
      <c r="E8" s="76">
        <v>15</v>
      </c>
      <c r="F8" s="75"/>
      <c r="G8" s="76">
        <v>1</v>
      </c>
      <c r="H8" s="75"/>
      <c r="I8" s="76">
        <v>12</v>
      </c>
      <c r="J8" s="75"/>
      <c r="K8" s="76">
        <v>10</v>
      </c>
      <c r="L8" s="75"/>
      <c r="M8" s="76">
        <v>9</v>
      </c>
      <c r="N8" s="75"/>
      <c r="O8" s="76">
        <v>8</v>
      </c>
      <c r="P8" s="75"/>
      <c r="Q8" s="76">
        <v>7</v>
      </c>
      <c r="R8" s="75"/>
      <c r="S8" s="76">
        <v>6</v>
      </c>
      <c r="T8" s="75"/>
      <c r="U8" s="76">
        <v>5</v>
      </c>
      <c r="V8" s="75"/>
      <c r="W8" s="76">
        <v>4</v>
      </c>
      <c r="X8" s="75"/>
      <c r="Y8" s="76">
        <v>3</v>
      </c>
      <c r="Z8" s="75"/>
      <c r="AA8" s="76">
        <v>2</v>
      </c>
      <c r="AB8" s="75"/>
      <c r="AC8" s="73"/>
    </row>
    <row r="9" spans="4:29" x14ac:dyDescent="0.25">
      <c r="D9" s="72"/>
      <c r="E9" s="77">
        <v>21</v>
      </c>
      <c r="F9" s="3"/>
      <c r="G9" s="77">
        <v>11</v>
      </c>
      <c r="H9" s="3"/>
      <c r="I9" s="77">
        <v>14</v>
      </c>
      <c r="J9" s="3"/>
      <c r="K9" s="77">
        <v>11</v>
      </c>
      <c r="L9" s="3"/>
      <c r="M9" s="77">
        <v>12</v>
      </c>
      <c r="N9" s="3"/>
      <c r="O9" s="77">
        <v>12</v>
      </c>
      <c r="P9" s="3"/>
      <c r="Q9" s="77">
        <v>22</v>
      </c>
      <c r="R9" s="3"/>
      <c r="S9" s="77">
        <v>15</v>
      </c>
      <c r="T9" s="3"/>
      <c r="U9" s="77">
        <v>13</v>
      </c>
      <c r="V9" s="3"/>
      <c r="W9" s="77">
        <v>16</v>
      </c>
      <c r="X9" s="3"/>
      <c r="Y9" s="77">
        <v>10</v>
      </c>
      <c r="Z9" s="3"/>
      <c r="AA9" s="77">
        <v>7</v>
      </c>
      <c r="AB9" s="3"/>
      <c r="AC9" s="73"/>
    </row>
    <row r="10" spans="4:29" x14ac:dyDescent="0.25">
      <c r="D10" s="72"/>
      <c r="E10" s="77">
        <v>36</v>
      </c>
      <c r="F10" s="3"/>
      <c r="G10" s="77">
        <v>21</v>
      </c>
      <c r="H10" s="3"/>
      <c r="I10" s="77">
        <v>23</v>
      </c>
      <c r="J10" s="3"/>
      <c r="K10" s="77">
        <v>15</v>
      </c>
      <c r="L10" s="3"/>
      <c r="M10" s="77">
        <v>19</v>
      </c>
      <c r="N10" s="3"/>
      <c r="O10" s="77">
        <v>24</v>
      </c>
      <c r="P10" s="3"/>
      <c r="Q10" s="77">
        <v>25</v>
      </c>
      <c r="R10" s="3"/>
      <c r="S10" s="77">
        <v>16</v>
      </c>
      <c r="T10" s="3"/>
      <c r="U10" s="77">
        <v>19</v>
      </c>
      <c r="V10" s="3"/>
      <c r="W10" s="77">
        <v>21</v>
      </c>
      <c r="X10" s="3"/>
      <c r="Y10" s="77">
        <v>18</v>
      </c>
      <c r="Z10" s="3"/>
      <c r="AA10" s="77">
        <v>9</v>
      </c>
      <c r="AB10" s="3"/>
      <c r="AC10" s="73"/>
    </row>
    <row r="11" spans="4:29" x14ac:dyDescent="0.25">
      <c r="D11" s="72"/>
      <c r="E11" s="77">
        <v>40</v>
      </c>
      <c r="F11" s="3"/>
      <c r="G11" s="77">
        <v>24</v>
      </c>
      <c r="H11" s="3"/>
      <c r="I11" s="77">
        <v>25</v>
      </c>
      <c r="J11" s="3"/>
      <c r="K11" s="77">
        <v>20</v>
      </c>
      <c r="L11" s="3"/>
      <c r="M11" s="77">
        <v>20</v>
      </c>
      <c r="N11" s="3"/>
      <c r="O11" s="77">
        <v>34</v>
      </c>
      <c r="P11" s="3"/>
      <c r="Q11" s="77">
        <v>31</v>
      </c>
      <c r="R11" s="3"/>
      <c r="S11" s="77">
        <v>23</v>
      </c>
      <c r="T11" s="3"/>
      <c r="U11" s="77">
        <v>27</v>
      </c>
      <c r="V11" s="3"/>
      <c r="W11" s="77">
        <v>33</v>
      </c>
      <c r="X11" s="3"/>
      <c r="Y11" s="77">
        <v>27</v>
      </c>
      <c r="Z11" s="3"/>
      <c r="AA11" s="77">
        <v>24</v>
      </c>
      <c r="AB11" s="3"/>
      <c r="AC11" s="73"/>
    </row>
    <row r="12" spans="4:29" x14ac:dyDescent="0.25">
      <c r="D12" s="72"/>
      <c r="E12" s="77">
        <v>55</v>
      </c>
      <c r="F12" s="3"/>
      <c r="G12" s="77">
        <v>36</v>
      </c>
      <c r="H12" s="3"/>
      <c r="I12" s="77">
        <v>32</v>
      </c>
      <c r="J12" s="3"/>
      <c r="K12" s="77">
        <v>24</v>
      </c>
      <c r="L12" s="3"/>
      <c r="M12" s="77">
        <v>30</v>
      </c>
      <c r="N12" s="3"/>
      <c r="O12" s="77">
        <v>37</v>
      </c>
      <c r="P12" s="3"/>
      <c r="Q12" s="77">
        <v>36</v>
      </c>
      <c r="R12" s="3"/>
      <c r="S12" s="77">
        <v>24</v>
      </c>
      <c r="T12" s="3"/>
      <c r="U12" s="77">
        <v>36</v>
      </c>
      <c r="V12" s="3"/>
      <c r="W12" s="77">
        <v>35</v>
      </c>
      <c r="X12" s="3"/>
      <c r="Y12" s="77">
        <v>33</v>
      </c>
      <c r="Z12" s="3"/>
      <c r="AA12" s="77">
        <v>32</v>
      </c>
      <c r="AB12" s="3"/>
      <c r="AC12" s="73"/>
    </row>
    <row r="13" spans="4:29" x14ac:dyDescent="0.25">
      <c r="D13" s="72"/>
      <c r="E13" s="79">
        <v>64</v>
      </c>
      <c r="F13" s="8"/>
      <c r="G13" s="79">
        <v>41</v>
      </c>
      <c r="H13" s="8"/>
      <c r="I13" s="79">
        <v>40</v>
      </c>
      <c r="J13" s="8"/>
      <c r="K13" s="79">
        <v>30</v>
      </c>
      <c r="L13" s="8"/>
      <c r="M13" s="79">
        <v>31</v>
      </c>
      <c r="N13" s="8"/>
      <c r="O13" s="79" t="s">
        <v>29</v>
      </c>
      <c r="P13" s="8"/>
      <c r="Q13" s="79">
        <v>48</v>
      </c>
      <c r="R13" s="8"/>
      <c r="S13" s="79">
        <v>31</v>
      </c>
      <c r="T13" s="8"/>
      <c r="U13" s="79">
        <v>39</v>
      </c>
      <c r="V13" s="8"/>
      <c r="W13" s="79">
        <v>39</v>
      </c>
      <c r="X13" s="8"/>
      <c r="Y13" s="79">
        <v>43</v>
      </c>
      <c r="Z13" s="8"/>
      <c r="AA13" s="79">
        <v>34</v>
      </c>
      <c r="AB13" s="8"/>
      <c r="AC13" s="73" t="s">
        <v>123</v>
      </c>
    </row>
    <row r="14" spans="4:29" x14ac:dyDescent="0.25">
      <c r="D14" s="72"/>
      <c r="E14" s="77">
        <v>70</v>
      </c>
      <c r="F14" s="3"/>
      <c r="G14" s="77">
        <v>45</v>
      </c>
      <c r="H14" s="3"/>
      <c r="I14" s="77">
        <v>55</v>
      </c>
      <c r="J14" s="3"/>
      <c r="K14" s="77">
        <v>38</v>
      </c>
      <c r="L14" s="3"/>
      <c r="M14" s="77">
        <v>41</v>
      </c>
      <c r="N14" s="3"/>
      <c r="O14" s="77">
        <v>3</v>
      </c>
      <c r="P14" s="3"/>
      <c r="Q14" s="77">
        <v>53</v>
      </c>
      <c r="R14" s="3"/>
      <c r="S14" s="77">
        <v>33</v>
      </c>
      <c r="T14" s="3"/>
      <c r="U14" s="77">
        <v>46</v>
      </c>
      <c r="V14" s="3"/>
      <c r="W14" s="77">
        <v>51</v>
      </c>
      <c r="X14" s="3"/>
      <c r="Y14" s="77">
        <v>44</v>
      </c>
      <c r="Z14" s="3"/>
      <c r="AA14" s="77">
        <v>43</v>
      </c>
      <c r="AB14" s="3"/>
      <c r="AC14" s="73"/>
    </row>
    <row r="15" spans="4:29" x14ac:dyDescent="0.25">
      <c r="D15" s="72"/>
      <c r="E15" s="77">
        <v>71</v>
      </c>
      <c r="F15" s="3"/>
      <c r="G15" s="77">
        <v>52</v>
      </c>
      <c r="H15" s="3"/>
      <c r="I15" s="77">
        <v>65</v>
      </c>
      <c r="J15" s="3"/>
      <c r="K15" s="77">
        <v>44</v>
      </c>
      <c r="L15" s="3"/>
      <c r="M15" s="77">
        <v>50</v>
      </c>
      <c r="N15" s="3"/>
      <c r="O15" s="77">
        <v>11</v>
      </c>
      <c r="P15" s="3"/>
      <c r="Q15" s="77">
        <v>57</v>
      </c>
      <c r="R15" s="3"/>
      <c r="S15" s="77">
        <v>48</v>
      </c>
      <c r="T15" s="3"/>
      <c r="U15" s="77">
        <v>58</v>
      </c>
      <c r="V15" s="3"/>
      <c r="W15" s="77">
        <v>53</v>
      </c>
      <c r="X15" s="3"/>
      <c r="Y15" s="77">
        <v>49</v>
      </c>
      <c r="Z15" s="3"/>
      <c r="AA15" s="77">
        <v>46</v>
      </c>
      <c r="AB15" s="3"/>
      <c r="AC15" s="73"/>
    </row>
    <row r="16" spans="4:29" x14ac:dyDescent="0.25">
      <c r="D16" s="72"/>
      <c r="E16" s="79">
        <v>72</v>
      </c>
      <c r="F16" s="8"/>
      <c r="G16" s="79">
        <v>64</v>
      </c>
      <c r="H16" s="8"/>
      <c r="I16" s="79">
        <v>72</v>
      </c>
      <c r="J16" s="8"/>
      <c r="K16" s="79">
        <v>54</v>
      </c>
      <c r="L16" s="8"/>
      <c r="M16" s="79" t="s">
        <v>29</v>
      </c>
      <c r="N16" s="8"/>
      <c r="O16" s="79">
        <v>17</v>
      </c>
      <c r="P16" s="8"/>
      <c r="Q16" s="79">
        <v>65</v>
      </c>
      <c r="R16" s="8"/>
      <c r="S16" s="79">
        <v>53</v>
      </c>
      <c r="T16" s="8"/>
      <c r="U16" s="79">
        <v>67</v>
      </c>
      <c r="V16" s="8"/>
      <c r="W16" s="79">
        <v>56</v>
      </c>
      <c r="X16" s="8"/>
      <c r="Y16" s="79">
        <v>51</v>
      </c>
      <c r="Z16" s="8"/>
      <c r="AA16" s="79">
        <v>50</v>
      </c>
      <c r="AB16" s="8"/>
      <c r="AC16" s="73" t="s">
        <v>123</v>
      </c>
    </row>
    <row r="17" spans="4:29" x14ac:dyDescent="0.25">
      <c r="D17" s="72"/>
      <c r="E17" s="79">
        <v>74</v>
      </c>
      <c r="F17" s="8"/>
      <c r="G17" s="79">
        <v>67</v>
      </c>
      <c r="H17" s="8"/>
      <c r="I17" s="79">
        <v>76</v>
      </c>
      <c r="J17" s="8"/>
      <c r="K17" s="79">
        <v>60</v>
      </c>
      <c r="L17" s="8"/>
      <c r="M17" s="79" t="s">
        <v>29</v>
      </c>
      <c r="N17" s="8"/>
      <c r="O17" s="79">
        <v>24</v>
      </c>
      <c r="P17" s="8"/>
      <c r="Q17" s="79">
        <v>70</v>
      </c>
      <c r="R17" s="8"/>
      <c r="S17" s="79">
        <v>65</v>
      </c>
      <c r="T17" s="8"/>
      <c r="U17" s="79">
        <v>68</v>
      </c>
      <c r="V17" s="8"/>
      <c r="W17" s="79">
        <v>64</v>
      </c>
      <c r="X17" s="8"/>
      <c r="Y17" s="79">
        <v>60</v>
      </c>
      <c r="Z17" s="8"/>
      <c r="AA17" s="79">
        <v>60</v>
      </c>
      <c r="AB17" s="8"/>
      <c r="AC17" s="73" t="s">
        <v>123</v>
      </c>
    </row>
    <row r="18" spans="4:29" x14ac:dyDescent="0.25">
      <c r="D18" s="72"/>
      <c r="E18" s="80">
        <v>80</v>
      </c>
      <c r="F18" s="17"/>
      <c r="G18" s="81">
        <v>74</v>
      </c>
      <c r="H18" s="17"/>
      <c r="I18" s="81">
        <v>85</v>
      </c>
      <c r="J18" s="17"/>
      <c r="K18" s="81">
        <v>62</v>
      </c>
      <c r="L18" s="17"/>
      <c r="M18" s="81" t="s">
        <v>29</v>
      </c>
      <c r="N18" s="17"/>
      <c r="O18" s="81">
        <v>27</v>
      </c>
      <c r="P18" s="17"/>
      <c r="Q18" s="81">
        <v>71</v>
      </c>
      <c r="R18" s="17"/>
      <c r="S18" s="81">
        <v>70</v>
      </c>
      <c r="T18" s="17"/>
      <c r="U18" s="81" t="s">
        <v>29</v>
      </c>
      <c r="V18" s="17"/>
      <c r="W18" s="81">
        <v>75</v>
      </c>
      <c r="X18" s="17"/>
      <c r="Y18" s="81">
        <v>64</v>
      </c>
      <c r="Z18" s="17"/>
      <c r="AA18" s="81">
        <v>68</v>
      </c>
      <c r="AB18" s="15"/>
      <c r="AC18" s="73" t="s">
        <v>124</v>
      </c>
    </row>
    <row r="19" spans="4:29" x14ac:dyDescent="0.25">
      <c r="D19" s="72"/>
      <c r="E19" s="80">
        <v>80</v>
      </c>
      <c r="F19" s="17"/>
      <c r="G19" s="81">
        <v>74</v>
      </c>
      <c r="H19" s="17"/>
      <c r="I19" s="81">
        <v>85</v>
      </c>
      <c r="J19" s="17"/>
      <c r="K19" s="81">
        <v>62</v>
      </c>
      <c r="L19" s="17"/>
      <c r="M19" s="81" t="s">
        <v>29</v>
      </c>
      <c r="N19" s="17"/>
      <c r="O19" s="81">
        <v>27</v>
      </c>
      <c r="P19" s="17"/>
      <c r="Q19" s="81">
        <v>71</v>
      </c>
      <c r="R19" s="17"/>
      <c r="S19" s="81">
        <v>70</v>
      </c>
      <c r="T19" s="17"/>
      <c r="U19" s="81" t="s">
        <v>29</v>
      </c>
      <c r="V19" s="17"/>
      <c r="W19" s="81">
        <v>75</v>
      </c>
      <c r="X19" s="17"/>
      <c r="Y19" s="81">
        <v>64</v>
      </c>
      <c r="Z19" s="17"/>
      <c r="AA19" s="81">
        <v>68</v>
      </c>
      <c r="AB19" s="15"/>
      <c r="AC19" s="73" t="s">
        <v>196</v>
      </c>
    </row>
    <row r="20" spans="4:29" x14ac:dyDescent="0.25">
      <c r="D20" s="69"/>
      <c r="E20" s="438">
        <f>E19</f>
        <v>80</v>
      </c>
      <c r="F20" s="439"/>
      <c r="G20" s="438">
        <f t="shared" ref="G20" si="0">G19</f>
        <v>74</v>
      </c>
      <c r="H20" s="439"/>
      <c r="I20" s="438">
        <f t="shared" ref="I20" si="1">I19</f>
        <v>85</v>
      </c>
      <c r="J20" s="439"/>
      <c r="K20" s="438">
        <f t="shared" ref="K20" si="2">K19</f>
        <v>62</v>
      </c>
      <c r="L20" s="439"/>
      <c r="M20" s="438">
        <f>M15</f>
        <v>50</v>
      </c>
      <c r="N20" s="439"/>
      <c r="O20" s="438">
        <f>O19+O12</f>
        <v>64</v>
      </c>
      <c r="P20" s="439"/>
      <c r="Q20" s="438">
        <f t="shared" ref="Q20" si="3">Q19</f>
        <v>71</v>
      </c>
      <c r="R20" s="439"/>
      <c r="S20" s="438">
        <f>S19</f>
        <v>70</v>
      </c>
      <c r="T20" s="439"/>
      <c r="U20" s="438">
        <f>U17</f>
        <v>68</v>
      </c>
      <c r="V20" s="439"/>
      <c r="W20" s="438">
        <f t="shared" ref="W20" si="4">W19</f>
        <v>75</v>
      </c>
      <c r="X20" s="439"/>
      <c r="Y20" s="438">
        <f t="shared" ref="Y20" si="5">Y19</f>
        <v>64</v>
      </c>
      <c r="Z20" s="439"/>
      <c r="AA20" s="438">
        <f>AA19</f>
        <v>68</v>
      </c>
      <c r="AB20" s="439"/>
      <c r="AC20" s="73"/>
    </row>
    <row r="21" spans="4:29" x14ac:dyDescent="0.25">
      <c r="D21" s="69">
        <f>E20+Q20+Y20+U20+G20+K20+M20+S20+O20+I20+W20+AA20</f>
        <v>831</v>
      </c>
      <c r="E21" s="436">
        <f>4+3</f>
        <v>7</v>
      </c>
      <c r="F21" s="437"/>
      <c r="G21" s="436">
        <f>3+1+2+1</f>
        <v>7</v>
      </c>
      <c r="H21" s="437"/>
      <c r="I21" s="436">
        <f>3+1+1+1</f>
        <v>6</v>
      </c>
      <c r="J21" s="437"/>
      <c r="K21" s="436">
        <f>6</f>
        <v>6</v>
      </c>
      <c r="L21" s="437"/>
      <c r="M21" s="436">
        <f>3+1</f>
        <v>4</v>
      </c>
      <c r="N21" s="437"/>
      <c r="O21" s="436">
        <f>4+1</f>
        <v>5</v>
      </c>
      <c r="P21" s="437"/>
      <c r="Q21" s="436">
        <f>4+2</f>
        <v>6</v>
      </c>
      <c r="R21" s="437"/>
      <c r="S21" s="436">
        <f>3+1+2+1</f>
        <v>7</v>
      </c>
      <c r="T21" s="437"/>
      <c r="U21" s="436">
        <f>3+1</f>
        <v>4</v>
      </c>
      <c r="V21" s="437"/>
      <c r="W21" s="436">
        <f>4+1+1+1</f>
        <v>7</v>
      </c>
      <c r="X21" s="437"/>
      <c r="Y21" s="436">
        <f>4+1</f>
        <v>5</v>
      </c>
      <c r="Z21" s="437"/>
      <c r="AA21" s="436">
        <f>2+1+2+1</f>
        <v>6</v>
      </c>
      <c r="AB21" s="437"/>
      <c r="AC21" s="73"/>
    </row>
    <row r="22" spans="4:29" x14ac:dyDescent="0.25">
      <c r="D22" s="69"/>
      <c r="E22" s="438">
        <f>E21+E20</f>
        <v>87</v>
      </c>
      <c r="F22" s="439"/>
      <c r="G22" s="438">
        <f t="shared" ref="G22" si="6">G21+G20</f>
        <v>81</v>
      </c>
      <c r="H22" s="439"/>
      <c r="I22" s="438">
        <f t="shared" ref="I22" si="7">I21+I20</f>
        <v>91</v>
      </c>
      <c r="J22" s="439"/>
      <c r="K22" s="438">
        <f t="shared" ref="K22" si="8">K21+K20</f>
        <v>68</v>
      </c>
      <c r="L22" s="439"/>
      <c r="M22" s="438">
        <f t="shared" ref="M22" si="9">M21+M20</f>
        <v>54</v>
      </c>
      <c r="N22" s="439"/>
      <c r="O22" s="438">
        <f t="shared" ref="O22" si="10">O21+O20</f>
        <v>69</v>
      </c>
      <c r="P22" s="439"/>
      <c r="Q22" s="438">
        <f t="shared" ref="Q22" si="11">Q21+Q20</f>
        <v>77</v>
      </c>
      <c r="R22" s="439"/>
      <c r="S22" s="438">
        <f t="shared" ref="S22" si="12">S21+S20</f>
        <v>77</v>
      </c>
      <c r="T22" s="439"/>
      <c r="U22" s="438">
        <f t="shared" ref="U22" si="13">U21+U20</f>
        <v>72</v>
      </c>
      <c r="V22" s="439"/>
      <c r="W22" s="438">
        <f t="shared" ref="W22" si="14">W21+W20</f>
        <v>82</v>
      </c>
      <c r="X22" s="439"/>
      <c r="Y22" s="438">
        <f t="shared" ref="Y22" si="15">Y21+Y20</f>
        <v>69</v>
      </c>
      <c r="Z22" s="439"/>
      <c r="AA22" s="438">
        <f t="shared" ref="AA22" si="16">AA21+AA20</f>
        <v>74</v>
      </c>
      <c r="AB22" s="439"/>
      <c r="AC22" s="73"/>
    </row>
    <row r="23" spans="4:29" ht="15.75" thickBot="1" x14ac:dyDescent="0.3">
      <c r="D23" s="33">
        <f>E22+G22+I22+K22+M22+O22+Q22+S22+U22+W22+Y22+AA22</f>
        <v>901</v>
      </c>
      <c r="E23" s="33"/>
      <c r="F23" s="36" t="s">
        <v>54</v>
      </c>
      <c r="G23" s="33"/>
      <c r="H23" s="36" t="s">
        <v>54</v>
      </c>
      <c r="I23" s="33"/>
      <c r="J23" s="36"/>
      <c r="K23" s="33"/>
      <c r="L23" s="36" t="s">
        <v>54</v>
      </c>
      <c r="M23" s="33"/>
      <c r="N23" s="36" t="s">
        <v>54</v>
      </c>
      <c r="O23" s="33"/>
      <c r="P23" s="36" t="s">
        <v>54</v>
      </c>
      <c r="Q23" s="33"/>
      <c r="R23" s="36" t="s">
        <v>54</v>
      </c>
      <c r="S23" s="33"/>
      <c r="T23" s="36" t="s">
        <v>54</v>
      </c>
      <c r="U23" s="33"/>
      <c r="V23" s="36" t="s">
        <v>54</v>
      </c>
      <c r="W23" s="33"/>
      <c r="X23" s="36" t="s">
        <v>54</v>
      </c>
      <c r="Y23" s="33"/>
      <c r="Z23" s="36"/>
      <c r="AA23" s="33"/>
      <c r="AB23" s="36" t="s">
        <v>54</v>
      </c>
      <c r="AC23" s="74"/>
    </row>
    <row r="24" spans="4:29" x14ac:dyDescent="0.25">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row>
    <row r="27" spans="4:29" x14ac:dyDescent="0.25">
      <c r="Y27" s="194"/>
    </row>
  </sheetData>
  <mergeCells count="60">
    <mergeCell ref="AA7:AB7"/>
    <mergeCell ref="E7:F7"/>
    <mergeCell ref="G7:H7"/>
    <mergeCell ref="I7:J7"/>
    <mergeCell ref="K7:L7"/>
    <mergeCell ref="M7:N7"/>
    <mergeCell ref="O7:P7"/>
    <mergeCell ref="Q7:R7"/>
    <mergeCell ref="S7:T7"/>
    <mergeCell ref="U7:V7"/>
    <mergeCell ref="W7:X7"/>
    <mergeCell ref="Y7:Z7"/>
    <mergeCell ref="AA20:AB20"/>
    <mergeCell ref="E20:F20"/>
    <mergeCell ref="G20:H20"/>
    <mergeCell ref="I20:J20"/>
    <mergeCell ref="K20:L20"/>
    <mergeCell ref="M20:N20"/>
    <mergeCell ref="O20:P20"/>
    <mergeCell ref="Q20:R20"/>
    <mergeCell ref="S20:T20"/>
    <mergeCell ref="U20:V20"/>
    <mergeCell ref="W20:X20"/>
    <mergeCell ref="Y20:Z20"/>
    <mergeCell ref="AA22:AB22"/>
    <mergeCell ref="E22:F22"/>
    <mergeCell ref="G22:H22"/>
    <mergeCell ref="I22:J22"/>
    <mergeCell ref="K22:L22"/>
    <mergeCell ref="M22:N22"/>
    <mergeCell ref="O22:P22"/>
    <mergeCell ref="Q22:R22"/>
    <mergeCell ref="S22:T22"/>
    <mergeCell ref="U22:V22"/>
    <mergeCell ref="W22:X22"/>
    <mergeCell ref="Y22:Z22"/>
    <mergeCell ref="AA24:AB24"/>
    <mergeCell ref="E24:F24"/>
    <mergeCell ref="G24:H24"/>
    <mergeCell ref="I24:J24"/>
    <mergeCell ref="K24:L24"/>
    <mergeCell ref="M24:N24"/>
    <mergeCell ref="O24:P24"/>
    <mergeCell ref="Q24:R24"/>
    <mergeCell ref="S24:T24"/>
    <mergeCell ref="U24:V24"/>
    <mergeCell ref="W24:X24"/>
    <mergeCell ref="Y24:Z24"/>
    <mergeCell ref="E21:F21"/>
    <mergeCell ref="AA21:AB21"/>
    <mergeCell ref="Y21:Z21"/>
    <mergeCell ref="W21:X21"/>
    <mergeCell ref="U21:V21"/>
    <mergeCell ref="S21:T21"/>
    <mergeCell ref="Q21:R21"/>
    <mergeCell ref="O21:P21"/>
    <mergeCell ref="M21:N21"/>
    <mergeCell ref="K21:L21"/>
    <mergeCell ref="I21:J21"/>
    <mergeCell ref="G21:H2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52054-332D-4E10-A5E1-385CFF2CC49B}">
  <sheetPr codeName="Feuil7"/>
  <dimension ref="C5:AC24"/>
  <sheetViews>
    <sheetView workbookViewId="0">
      <selection activeCell="L37" sqref="L37"/>
    </sheetView>
  </sheetViews>
  <sheetFormatPr baseColWidth="10" defaultColWidth="11.42578125" defaultRowHeight="15" x14ac:dyDescent="0.25"/>
  <sheetData>
    <row r="5" spans="3:29" ht="15.75" thickBot="1" x14ac:dyDescent="0.3"/>
    <row r="6" spans="3:29" ht="15.75" x14ac:dyDescent="0.25">
      <c r="C6" s="41" t="s">
        <v>183</v>
      </c>
      <c r="D6" s="54" t="s">
        <v>197</v>
      </c>
      <c r="E6" s="55"/>
      <c r="F6" s="56" t="s">
        <v>198</v>
      </c>
      <c r="G6" s="57"/>
      <c r="H6" s="58" t="s">
        <v>199</v>
      </c>
      <c r="I6" s="55"/>
      <c r="J6" s="56" t="s">
        <v>200</v>
      </c>
      <c r="K6" s="57"/>
      <c r="L6" s="58" t="s">
        <v>201</v>
      </c>
      <c r="M6" s="55"/>
      <c r="N6" s="56" t="s">
        <v>202</v>
      </c>
      <c r="O6" s="57"/>
      <c r="P6" s="58" t="s">
        <v>203</v>
      </c>
      <c r="Q6" s="55"/>
      <c r="R6" s="56" t="s">
        <v>204</v>
      </c>
      <c r="S6" s="57"/>
      <c r="T6" s="58" t="s">
        <v>205</v>
      </c>
      <c r="U6" s="55"/>
      <c r="V6" s="56" t="s">
        <v>206</v>
      </c>
      <c r="W6" s="57"/>
      <c r="X6" s="58" t="s">
        <v>207</v>
      </c>
      <c r="Y6" s="55"/>
      <c r="Z6" s="56" t="s">
        <v>208</v>
      </c>
      <c r="AA6" s="54"/>
      <c r="AB6" s="41" t="s">
        <v>36</v>
      </c>
    </row>
    <row r="7" spans="3:29" x14ac:dyDescent="0.25">
      <c r="C7" s="42"/>
      <c r="D7" s="194"/>
      <c r="E7" s="1"/>
      <c r="F7" s="2"/>
      <c r="G7" s="3"/>
      <c r="H7" s="193">
        <v>15</v>
      </c>
      <c r="I7" s="1" t="s">
        <v>209</v>
      </c>
      <c r="J7" s="2"/>
      <c r="K7" s="3"/>
      <c r="L7" s="193"/>
      <c r="M7" s="1"/>
      <c r="N7" s="2"/>
      <c r="O7" s="3"/>
      <c r="P7" s="193"/>
      <c r="Q7" s="1"/>
      <c r="R7" s="2">
        <v>3</v>
      </c>
      <c r="S7" s="3" t="s">
        <v>210</v>
      </c>
      <c r="T7" s="193"/>
      <c r="U7" s="1"/>
      <c r="V7" s="2"/>
      <c r="W7" s="3"/>
      <c r="X7" s="193"/>
      <c r="Y7" s="1"/>
      <c r="Z7" s="4">
        <v>2</v>
      </c>
      <c r="AA7" s="47" t="s">
        <v>211</v>
      </c>
      <c r="AB7" s="51"/>
    </row>
    <row r="8" spans="3:29" x14ac:dyDescent="0.25">
      <c r="C8" s="42" t="s">
        <v>60</v>
      </c>
      <c r="D8" s="194">
        <v>9</v>
      </c>
      <c r="E8" s="1"/>
      <c r="F8" s="2">
        <v>22</v>
      </c>
      <c r="G8" s="3"/>
      <c r="H8" s="193">
        <v>30</v>
      </c>
      <c r="I8" s="1" t="s">
        <v>209</v>
      </c>
      <c r="J8" s="2">
        <v>14</v>
      </c>
      <c r="K8" s="3"/>
      <c r="L8" s="193">
        <v>13</v>
      </c>
      <c r="M8" s="1"/>
      <c r="N8" s="2">
        <v>14</v>
      </c>
      <c r="O8" s="3"/>
      <c r="P8" s="193">
        <v>22</v>
      </c>
      <c r="Q8" s="1"/>
      <c r="R8" s="4">
        <v>5</v>
      </c>
      <c r="S8" s="3" t="s">
        <v>211</v>
      </c>
      <c r="T8" s="193">
        <v>9</v>
      </c>
      <c r="U8" s="1"/>
      <c r="V8" s="2">
        <v>14</v>
      </c>
      <c r="W8" s="3"/>
      <c r="X8" s="193">
        <v>9</v>
      </c>
      <c r="Y8" s="1"/>
      <c r="Z8" s="4">
        <v>1</v>
      </c>
      <c r="AA8" s="47" t="s">
        <v>212</v>
      </c>
      <c r="AB8" s="51"/>
    </row>
    <row r="9" spans="3:29" x14ac:dyDescent="0.25">
      <c r="C9" s="42" t="s">
        <v>95</v>
      </c>
      <c r="D9" s="37">
        <v>21</v>
      </c>
      <c r="E9" s="6" t="s">
        <v>213</v>
      </c>
      <c r="F9" s="7">
        <v>31</v>
      </c>
      <c r="G9" s="8" t="s">
        <v>214</v>
      </c>
      <c r="H9" s="5">
        <v>32</v>
      </c>
      <c r="I9" s="9" t="s">
        <v>211</v>
      </c>
      <c r="J9" s="7">
        <v>19</v>
      </c>
      <c r="K9" s="8" t="s">
        <v>215</v>
      </c>
      <c r="L9" s="5">
        <v>17</v>
      </c>
      <c r="M9" s="9" t="s">
        <v>216</v>
      </c>
      <c r="N9" s="7">
        <v>20</v>
      </c>
      <c r="O9" s="8" t="s">
        <v>217</v>
      </c>
      <c r="P9" s="5">
        <v>32</v>
      </c>
      <c r="Q9" s="10" t="s">
        <v>218</v>
      </c>
      <c r="R9" s="7">
        <v>1</v>
      </c>
      <c r="S9" s="8" t="s">
        <v>212</v>
      </c>
      <c r="T9" s="5">
        <v>16</v>
      </c>
      <c r="U9" s="9" t="s">
        <v>219</v>
      </c>
      <c r="V9" s="7">
        <v>22</v>
      </c>
      <c r="W9" s="8" t="s">
        <v>220</v>
      </c>
      <c r="X9" s="5">
        <v>12</v>
      </c>
      <c r="Y9" s="9" t="s">
        <v>210</v>
      </c>
      <c r="Z9" s="11" t="s">
        <v>29</v>
      </c>
      <c r="AA9" s="48" t="s">
        <v>29</v>
      </c>
      <c r="AB9" s="51" t="s">
        <v>123</v>
      </c>
    </row>
    <row r="10" spans="3:29" x14ac:dyDescent="0.25">
      <c r="C10" s="42" t="s">
        <v>165</v>
      </c>
      <c r="D10" s="37">
        <v>23</v>
      </c>
      <c r="E10" s="9" t="s">
        <v>211</v>
      </c>
      <c r="F10" s="7">
        <v>43</v>
      </c>
      <c r="G10" s="12" t="s">
        <v>213</v>
      </c>
      <c r="H10" s="5">
        <v>40</v>
      </c>
      <c r="I10" s="9" t="s">
        <v>220</v>
      </c>
      <c r="J10" s="7">
        <v>28</v>
      </c>
      <c r="K10" s="8" t="s">
        <v>214</v>
      </c>
      <c r="L10" s="5">
        <v>23</v>
      </c>
      <c r="M10" s="9" t="s">
        <v>217</v>
      </c>
      <c r="N10" s="7">
        <v>24</v>
      </c>
      <c r="O10" s="8" t="s">
        <v>216</v>
      </c>
      <c r="P10" s="5">
        <v>42</v>
      </c>
      <c r="Q10" s="10" t="s">
        <v>218</v>
      </c>
      <c r="R10" s="13">
        <v>7</v>
      </c>
      <c r="S10" s="8" t="s">
        <v>217</v>
      </c>
      <c r="T10" s="5">
        <v>17</v>
      </c>
      <c r="U10" s="9" t="s">
        <v>212</v>
      </c>
      <c r="V10" s="7">
        <v>27</v>
      </c>
      <c r="W10" s="8" t="s">
        <v>215</v>
      </c>
      <c r="X10" s="5">
        <v>15</v>
      </c>
      <c r="Y10" s="9" t="s">
        <v>210</v>
      </c>
      <c r="Z10" s="11" t="s">
        <v>29</v>
      </c>
      <c r="AA10" s="48" t="s">
        <v>29</v>
      </c>
      <c r="AB10" s="51" t="s">
        <v>123</v>
      </c>
    </row>
    <row r="11" spans="3:29" x14ac:dyDescent="0.25">
      <c r="C11" s="43" t="s">
        <v>91</v>
      </c>
      <c r="D11" s="38">
        <v>31</v>
      </c>
      <c r="E11" s="15" t="s">
        <v>220</v>
      </c>
      <c r="F11" s="16">
        <v>47</v>
      </c>
      <c r="G11" s="17" t="s">
        <v>216</v>
      </c>
      <c r="H11" s="14">
        <v>43</v>
      </c>
      <c r="I11" s="15" t="s">
        <v>210</v>
      </c>
      <c r="J11" s="16">
        <v>29</v>
      </c>
      <c r="K11" s="17" t="s">
        <v>212</v>
      </c>
      <c r="L11" s="14">
        <v>29</v>
      </c>
      <c r="M11" s="15" t="s">
        <v>217</v>
      </c>
      <c r="N11" s="16">
        <v>35</v>
      </c>
      <c r="O11" s="18" t="s">
        <v>221</v>
      </c>
      <c r="P11" s="14">
        <v>49</v>
      </c>
      <c r="Q11" s="15" t="s">
        <v>219</v>
      </c>
      <c r="R11" s="19" t="s">
        <v>29</v>
      </c>
      <c r="S11" s="17" t="s">
        <v>29</v>
      </c>
      <c r="T11" s="14">
        <v>26</v>
      </c>
      <c r="U11" s="20" t="s">
        <v>214</v>
      </c>
      <c r="V11" s="16">
        <v>29</v>
      </c>
      <c r="W11" s="17" t="s">
        <v>211</v>
      </c>
      <c r="X11" s="14">
        <v>20</v>
      </c>
      <c r="Y11" s="15" t="s">
        <v>215</v>
      </c>
      <c r="Z11" s="19" t="s">
        <v>29</v>
      </c>
      <c r="AA11" s="49" t="s">
        <v>29</v>
      </c>
      <c r="AB11" s="52" t="s">
        <v>124</v>
      </c>
      <c r="AC11" s="21"/>
    </row>
    <row r="12" spans="3:29" x14ac:dyDescent="0.25">
      <c r="C12" s="42" t="s">
        <v>118</v>
      </c>
      <c r="D12" s="37">
        <v>38</v>
      </c>
      <c r="E12" s="9" t="s">
        <v>219</v>
      </c>
      <c r="F12" s="7">
        <v>52</v>
      </c>
      <c r="G12" s="8" t="s">
        <v>215</v>
      </c>
      <c r="H12" s="5">
        <v>47</v>
      </c>
      <c r="I12" s="9" t="s">
        <v>216</v>
      </c>
      <c r="J12" s="7">
        <v>41</v>
      </c>
      <c r="K12" s="12" t="s">
        <v>213</v>
      </c>
      <c r="L12" s="5">
        <v>37</v>
      </c>
      <c r="M12" s="9" t="s">
        <v>220</v>
      </c>
      <c r="N12" s="7">
        <v>45</v>
      </c>
      <c r="O12" s="22" t="s">
        <v>218</v>
      </c>
      <c r="P12" s="5">
        <v>50</v>
      </c>
      <c r="Q12" s="9" t="s">
        <v>212</v>
      </c>
      <c r="R12" s="7">
        <v>2</v>
      </c>
      <c r="S12" s="8" t="s">
        <v>211</v>
      </c>
      <c r="T12" s="5">
        <v>35</v>
      </c>
      <c r="U12" s="9" t="s">
        <v>214</v>
      </c>
      <c r="V12" s="7">
        <v>32</v>
      </c>
      <c r="W12" s="8" t="s">
        <v>210</v>
      </c>
      <c r="X12" s="5">
        <v>26</v>
      </c>
      <c r="Y12" s="9" t="s">
        <v>217</v>
      </c>
      <c r="Z12" s="11" t="s">
        <v>29</v>
      </c>
      <c r="AA12" s="48" t="s">
        <v>29</v>
      </c>
      <c r="AB12" s="51" t="s">
        <v>123</v>
      </c>
    </row>
    <row r="13" spans="3:29" x14ac:dyDescent="0.25">
      <c r="C13" s="42" t="s">
        <v>222</v>
      </c>
      <c r="D13" s="194">
        <v>47</v>
      </c>
      <c r="E13" s="1" t="s">
        <v>214</v>
      </c>
      <c r="F13" s="2">
        <v>55</v>
      </c>
      <c r="G13" s="3" t="s">
        <v>210</v>
      </c>
      <c r="H13" s="193">
        <v>59</v>
      </c>
      <c r="I13" s="1" t="s">
        <v>213</v>
      </c>
      <c r="J13" s="2">
        <v>48</v>
      </c>
      <c r="K13" s="3" t="s">
        <v>219</v>
      </c>
      <c r="L13" s="193">
        <v>42</v>
      </c>
      <c r="M13" s="1" t="s">
        <v>215</v>
      </c>
      <c r="N13" s="2">
        <v>53</v>
      </c>
      <c r="O13" s="3" t="s">
        <v>220</v>
      </c>
      <c r="P13" s="193">
        <v>65</v>
      </c>
      <c r="Q13" s="1" t="s">
        <v>209</v>
      </c>
      <c r="R13" s="2">
        <v>6</v>
      </c>
      <c r="S13" s="3" t="s">
        <v>216</v>
      </c>
      <c r="T13" s="193">
        <v>45</v>
      </c>
      <c r="U13" s="1" t="s">
        <v>218</v>
      </c>
      <c r="V13" s="2">
        <v>34</v>
      </c>
      <c r="W13" s="3" t="s">
        <v>211</v>
      </c>
      <c r="X13" s="193">
        <v>32</v>
      </c>
      <c r="Y13" s="1" t="s">
        <v>217</v>
      </c>
      <c r="Z13" s="2">
        <v>1</v>
      </c>
      <c r="AA13" s="47" t="s">
        <v>212</v>
      </c>
      <c r="AB13" s="51"/>
    </row>
    <row r="14" spans="3:29" x14ac:dyDescent="0.25">
      <c r="C14" s="42" t="s">
        <v>161</v>
      </c>
      <c r="D14" s="194">
        <v>57</v>
      </c>
      <c r="E14" s="1" t="s">
        <v>218</v>
      </c>
      <c r="F14" s="2">
        <v>58</v>
      </c>
      <c r="G14" s="3" t="s">
        <v>210</v>
      </c>
      <c r="H14" s="193">
        <v>68</v>
      </c>
      <c r="I14" s="1" t="s">
        <v>214</v>
      </c>
      <c r="J14" s="2">
        <v>55</v>
      </c>
      <c r="K14" s="3" t="s">
        <v>219</v>
      </c>
      <c r="L14" s="193">
        <v>47</v>
      </c>
      <c r="M14" s="1" t="s">
        <v>215</v>
      </c>
      <c r="N14" s="2">
        <v>57</v>
      </c>
      <c r="O14" s="3" t="s">
        <v>216</v>
      </c>
      <c r="P14" s="193">
        <v>80</v>
      </c>
      <c r="Q14" s="1" t="s">
        <v>209</v>
      </c>
      <c r="R14" s="2">
        <v>12</v>
      </c>
      <c r="S14" s="3" t="s">
        <v>217</v>
      </c>
      <c r="T14" s="193">
        <v>57</v>
      </c>
      <c r="U14" s="1" t="s">
        <v>213</v>
      </c>
      <c r="V14" s="2">
        <v>35</v>
      </c>
      <c r="W14" s="3" t="s">
        <v>212</v>
      </c>
      <c r="X14" s="193">
        <v>34</v>
      </c>
      <c r="Y14" s="1" t="s">
        <v>211</v>
      </c>
      <c r="Z14" s="2">
        <v>8</v>
      </c>
      <c r="AA14" s="47" t="s">
        <v>219</v>
      </c>
      <c r="AB14" s="51"/>
    </row>
    <row r="15" spans="3:29" x14ac:dyDescent="0.25">
      <c r="C15" s="42" t="s">
        <v>168</v>
      </c>
      <c r="D15" s="194">
        <v>59</v>
      </c>
      <c r="E15" s="1" t="s">
        <v>211</v>
      </c>
      <c r="F15" s="2">
        <v>64</v>
      </c>
      <c r="G15" s="3" t="s">
        <v>217</v>
      </c>
      <c r="H15" s="193">
        <v>76</v>
      </c>
      <c r="I15" s="1" t="s">
        <v>220</v>
      </c>
      <c r="J15" s="2">
        <v>59</v>
      </c>
      <c r="K15" s="3" t="s">
        <v>211</v>
      </c>
      <c r="L15" s="193">
        <v>48</v>
      </c>
      <c r="M15" s="1" t="s">
        <v>212</v>
      </c>
      <c r="N15" s="2">
        <v>72</v>
      </c>
      <c r="O15" s="3" t="s">
        <v>209</v>
      </c>
      <c r="P15" s="193">
        <v>83</v>
      </c>
      <c r="Q15" s="1" t="s">
        <v>210</v>
      </c>
      <c r="R15" s="2">
        <v>17</v>
      </c>
      <c r="S15" s="3" t="s">
        <v>215</v>
      </c>
      <c r="T15" s="193">
        <v>69</v>
      </c>
      <c r="U15" s="1" t="s">
        <v>213</v>
      </c>
      <c r="V15" s="2">
        <v>44</v>
      </c>
      <c r="W15" s="3" t="s">
        <v>214</v>
      </c>
      <c r="X15" s="193">
        <v>41</v>
      </c>
      <c r="Y15" s="1" t="s">
        <v>219</v>
      </c>
      <c r="Z15" s="2">
        <v>18</v>
      </c>
      <c r="AA15" s="47" t="s">
        <v>218</v>
      </c>
      <c r="AB15" s="51"/>
    </row>
    <row r="16" spans="3:29" x14ac:dyDescent="0.25">
      <c r="C16" s="42" t="s">
        <v>118</v>
      </c>
      <c r="D16" s="194">
        <v>64</v>
      </c>
      <c r="E16" s="1" t="s">
        <v>215</v>
      </c>
      <c r="F16" s="2">
        <v>65</v>
      </c>
      <c r="G16" s="3" t="s">
        <v>212</v>
      </c>
      <c r="H16" s="193">
        <v>80</v>
      </c>
      <c r="I16" s="1" t="s">
        <v>216</v>
      </c>
      <c r="J16" s="2">
        <v>65</v>
      </c>
      <c r="K16" s="3" t="s">
        <v>217</v>
      </c>
      <c r="L16" s="193">
        <v>51</v>
      </c>
      <c r="M16" s="1" t="s">
        <v>210</v>
      </c>
      <c r="N16" s="2">
        <v>74</v>
      </c>
      <c r="O16" s="3" t="s">
        <v>211</v>
      </c>
      <c r="P16" s="193">
        <v>91</v>
      </c>
      <c r="Q16" s="1" t="s">
        <v>220</v>
      </c>
      <c r="R16" s="2">
        <v>27</v>
      </c>
      <c r="S16" s="3" t="s">
        <v>218</v>
      </c>
      <c r="T16" s="193">
        <v>84</v>
      </c>
      <c r="U16" s="1" t="s">
        <v>209</v>
      </c>
      <c r="V16" s="2">
        <v>53</v>
      </c>
      <c r="W16" s="3" t="s">
        <v>214</v>
      </c>
      <c r="X16" s="193">
        <v>48</v>
      </c>
      <c r="Y16" s="1" t="s">
        <v>219</v>
      </c>
      <c r="Z16" s="4">
        <v>30</v>
      </c>
      <c r="AA16" s="47" t="s">
        <v>213</v>
      </c>
      <c r="AB16" s="51"/>
    </row>
    <row r="17" spans="3:28" x14ac:dyDescent="0.25">
      <c r="C17" s="42" t="s">
        <v>108</v>
      </c>
      <c r="D17" s="37">
        <v>76</v>
      </c>
      <c r="E17" s="6" t="s">
        <v>213</v>
      </c>
      <c r="F17" s="7">
        <v>73</v>
      </c>
      <c r="G17" s="8" t="s">
        <v>220</v>
      </c>
      <c r="H17" s="5">
        <v>85</v>
      </c>
      <c r="I17" s="9" t="s">
        <v>215</v>
      </c>
      <c r="J17" s="7">
        <v>66</v>
      </c>
      <c r="K17" s="8" t="s">
        <v>212</v>
      </c>
      <c r="L17" s="5">
        <v>53</v>
      </c>
      <c r="M17" s="9" t="s">
        <v>211</v>
      </c>
      <c r="N17" s="7">
        <v>84</v>
      </c>
      <c r="O17" s="22" t="s">
        <v>218</v>
      </c>
      <c r="P17" s="5">
        <v>94</v>
      </c>
      <c r="Q17" s="9" t="s">
        <v>210</v>
      </c>
      <c r="R17" s="7">
        <v>33</v>
      </c>
      <c r="S17" s="8" t="s">
        <v>217</v>
      </c>
      <c r="T17" s="5">
        <v>93</v>
      </c>
      <c r="U17" s="9" t="s">
        <v>214</v>
      </c>
      <c r="V17" s="7">
        <v>60</v>
      </c>
      <c r="W17" s="8" t="s">
        <v>219</v>
      </c>
      <c r="X17" s="5">
        <v>52</v>
      </c>
      <c r="Y17" s="9" t="s">
        <v>216</v>
      </c>
      <c r="Z17" s="11" t="s">
        <v>29</v>
      </c>
      <c r="AA17" s="48" t="s">
        <v>29</v>
      </c>
      <c r="AB17" s="51" t="s">
        <v>123</v>
      </c>
    </row>
    <row r="18" spans="3:28" x14ac:dyDescent="0.25">
      <c r="C18" s="42" t="s">
        <v>171</v>
      </c>
      <c r="D18" s="39">
        <v>78</v>
      </c>
      <c r="E18" s="24" t="s">
        <v>211</v>
      </c>
      <c r="F18" s="25">
        <v>81</v>
      </c>
      <c r="G18" s="26" t="s">
        <v>220</v>
      </c>
      <c r="H18" s="23">
        <v>94</v>
      </c>
      <c r="I18" s="24" t="s">
        <v>214</v>
      </c>
      <c r="J18" s="25">
        <v>76</v>
      </c>
      <c r="K18" s="26" t="s">
        <v>218</v>
      </c>
      <c r="L18" s="23">
        <v>59</v>
      </c>
      <c r="M18" s="24" t="s">
        <v>217</v>
      </c>
      <c r="N18" s="25">
        <v>99</v>
      </c>
      <c r="O18" s="26" t="s">
        <v>209</v>
      </c>
      <c r="P18" s="23">
        <v>106</v>
      </c>
      <c r="Q18" s="24" t="s">
        <v>213</v>
      </c>
      <c r="R18" s="27">
        <v>40</v>
      </c>
      <c r="S18" s="26" t="s">
        <v>219</v>
      </c>
      <c r="T18" s="23">
        <v>96</v>
      </c>
      <c r="U18" s="24" t="s">
        <v>210</v>
      </c>
      <c r="V18" s="25">
        <v>61</v>
      </c>
      <c r="W18" s="26" t="s">
        <v>212</v>
      </c>
      <c r="X18" s="23">
        <v>56</v>
      </c>
      <c r="Y18" s="24" t="s">
        <v>216</v>
      </c>
      <c r="Z18" s="27">
        <v>5</v>
      </c>
      <c r="AA18" s="50" t="s">
        <v>215</v>
      </c>
      <c r="AB18" s="51"/>
    </row>
    <row r="19" spans="3:28" x14ac:dyDescent="0.25">
      <c r="C19" s="44"/>
      <c r="D19" s="59">
        <f>D18</f>
        <v>78</v>
      </c>
      <c r="E19" s="60"/>
      <c r="F19" s="61">
        <f>F18</f>
        <v>81</v>
      </c>
      <c r="G19" s="62"/>
      <c r="H19" s="63">
        <f>H18</f>
        <v>94</v>
      </c>
      <c r="I19" s="60"/>
      <c r="J19" s="61">
        <f>J18</f>
        <v>76</v>
      </c>
      <c r="K19" s="62"/>
      <c r="L19" s="63">
        <f>L18</f>
        <v>59</v>
      </c>
      <c r="M19" s="60"/>
      <c r="N19" s="61">
        <f>N18</f>
        <v>99</v>
      </c>
      <c r="O19" s="62"/>
      <c r="P19" s="63">
        <f>P18</f>
        <v>106</v>
      </c>
      <c r="Q19" s="60"/>
      <c r="R19" s="61">
        <f>R18+R10+R8</f>
        <v>52</v>
      </c>
      <c r="S19" s="62"/>
      <c r="T19" s="63">
        <f>T18</f>
        <v>96</v>
      </c>
      <c r="U19" s="60"/>
      <c r="V19" s="61">
        <f>V18</f>
        <v>61</v>
      </c>
      <c r="W19" s="62"/>
      <c r="X19" s="63">
        <f>X18</f>
        <v>56</v>
      </c>
      <c r="Y19" s="60"/>
      <c r="Z19" s="61">
        <f>Z18+Z16+Z8+Z7</f>
        <v>38</v>
      </c>
      <c r="AA19" s="59"/>
      <c r="AB19" s="51"/>
    </row>
    <row r="20" spans="3:28" x14ac:dyDescent="0.25">
      <c r="C20" s="45">
        <f>D19+P19+X19+T19+F19+J19+L19+R19+N19+H19+V19+Z19</f>
        <v>896</v>
      </c>
      <c r="D20" s="64">
        <f>3+1+2+1+3</f>
        <v>10</v>
      </c>
      <c r="E20" s="65"/>
      <c r="F20" s="66">
        <f>1+3+2+1+1</f>
        <v>8</v>
      </c>
      <c r="G20" s="67"/>
      <c r="H20" s="68">
        <f>1+1+2+1+1</f>
        <v>6</v>
      </c>
      <c r="I20" s="65"/>
      <c r="J20" s="66">
        <f>1+1+2+3+1</f>
        <v>8</v>
      </c>
      <c r="K20" s="67"/>
      <c r="L20" s="68">
        <f>1+1+2+1+1</f>
        <v>6</v>
      </c>
      <c r="M20" s="65"/>
      <c r="N20" s="66">
        <f>1+1+4+2+2</f>
        <v>10</v>
      </c>
      <c r="O20" s="67"/>
      <c r="P20" s="68">
        <f>2+2+2+1+1</f>
        <v>8</v>
      </c>
      <c r="Q20" s="65"/>
      <c r="R20" s="66">
        <f>1+1+1+1+1</f>
        <v>5</v>
      </c>
      <c r="S20" s="67"/>
      <c r="T20" s="68">
        <f>1+1+3+1+1</f>
        <v>7</v>
      </c>
      <c r="U20" s="65"/>
      <c r="V20" s="66">
        <f>1+1+2+1+1</f>
        <v>6</v>
      </c>
      <c r="W20" s="67"/>
      <c r="X20" s="68">
        <f>1+1+2+1+1</f>
        <v>6</v>
      </c>
      <c r="Y20" s="65"/>
      <c r="Z20" s="66">
        <f>1+1+1+1+1</f>
        <v>5</v>
      </c>
      <c r="AA20" s="64"/>
      <c r="AB20" s="51"/>
    </row>
    <row r="21" spans="3:28" x14ac:dyDescent="0.25">
      <c r="C21" s="44"/>
      <c r="D21" s="59">
        <f>D19+D20</f>
        <v>88</v>
      </c>
      <c r="E21" s="60"/>
      <c r="F21" s="63">
        <f>F19+F20</f>
        <v>89</v>
      </c>
      <c r="G21" s="60"/>
      <c r="H21" s="63">
        <f>H19+H20</f>
        <v>100</v>
      </c>
      <c r="I21" s="60"/>
      <c r="J21" s="63">
        <f>J19+J20</f>
        <v>84</v>
      </c>
      <c r="K21" s="60"/>
      <c r="L21" s="63">
        <f>L19+L20</f>
        <v>65</v>
      </c>
      <c r="M21" s="60"/>
      <c r="N21" s="63">
        <f>N19+N20</f>
        <v>109</v>
      </c>
      <c r="O21" s="60"/>
      <c r="P21" s="63">
        <f>P19+P20</f>
        <v>114</v>
      </c>
      <c r="Q21" s="60"/>
      <c r="R21" s="63">
        <f>R19+R20</f>
        <v>57</v>
      </c>
      <c r="S21" s="60"/>
      <c r="T21" s="63">
        <f>T19+T20</f>
        <v>103</v>
      </c>
      <c r="U21" s="60"/>
      <c r="V21" s="63">
        <f>V19+V20</f>
        <v>67</v>
      </c>
      <c r="W21" s="60"/>
      <c r="X21" s="63">
        <f>X19+X20</f>
        <v>62</v>
      </c>
      <c r="Y21" s="60"/>
      <c r="Z21" s="63">
        <f>Z19+Z20</f>
        <v>43</v>
      </c>
      <c r="AA21" s="59"/>
      <c r="AB21" s="51"/>
    </row>
    <row r="22" spans="3:28" x14ac:dyDescent="0.25">
      <c r="C22" s="45">
        <f>D21+F21+H21+J21+L21+N21+P21+R21+T21+V21+X21+Z21</f>
        <v>981</v>
      </c>
      <c r="D22" s="28"/>
      <c r="E22" s="30"/>
      <c r="F22" s="31"/>
      <c r="G22" s="32"/>
      <c r="H22" s="29"/>
      <c r="I22" s="30"/>
      <c r="J22" s="31"/>
      <c r="K22" s="32"/>
      <c r="L22" s="29"/>
      <c r="M22" s="30"/>
      <c r="N22" s="31"/>
      <c r="O22" s="32"/>
      <c r="P22" s="29"/>
      <c r="Q22" s="30"/>
      <c r="R22" s="31"/>
      <c r="S22" s="32"/>
      <c r="T22" s="29"/>
      <c r="U22" s="30"/>
      <c r="V22" s="31"/>
      <c r="W22" s="32"/>
      <c r="X22" s="29"/>
      <c r="Y22" s="30"/>
      <c r="Z22" s="31"/>
      <c r="AA22" s="28"/>
      <c r="AB22" s="51"/>
    </row>
    <row r="23" spans="3:28" x14ac:dyDescent="0.25">
      <c r="C23" s="44"/>
      <c r="D23" s="59">
        <f>D21+F21</f>
        <v>177</v>
      </c>
      <c r="E23" s="59"/>
      <c r="F23" s="59"/>
      <c r="G23" s="62"/>
      <c r="H23" s="63">
        <f>H21+J21</f>
        <v>184</v>
      </c>
      <c r="I23" s="59"/>
      <c r="J23" s="59"/>
      <c r="K23" s="62"/>
      <c r="L23" s="63">
        <f>L21+N21</f>
        <v>174</v>
      </c>
      <c r="M23" s="59"/>
      <c r="N23" s="59"/>
      <c r="O23" s="62"/>
      <c r="P23" s="63">
        <f>P21+R21</f>
        <v>171</v>
      </c>
      <c r="Q23" s="59"/>
      <c r="R23" s="59"/>
      <c r="S23" s="62"/>
      <c r="T23" s="63">
        <f>T21+V21</f>
        <v>170</v>
      </c>
      <c r="U23" s="59"/>
      <c r="V23" s="59"/>
      <c r="W23" s="62"/>
      <c r="X23" s="63">
        <f>X21+Z21</f>
        <v>105</v>
      </c>
      <c r="Y23" s="59"/>
      <c r="Z23" s="59"/>
      <c r="AA23" s="59"/>
      <c r="AB23" s="51"/>
    </row>
    <row r="24" spans="3:28" ht="15.75" thickBot="1" x14ac:dyDescent="0.3">
      <c r="C24" s="46">
        <f>D23+F23+H23+J23+L23+N23+P23+R23+T23+V23+X23+Z23</f>
        <v>981</v>
      </c>
      <c r="D24" s="40"/>
      <c r="E24" s="34"/>
      <c r="F24" s="35"/>
      <c r="G24" s="36"/>
      <c r="H24" s="33"/>
      <c r="I24" s="34"/>
      <c r="J24" s="35"/>
      <c r="K24" s="36"/>
      <c r="L24" s="33"/>
      <c r="M24" s="34"/>
      <c r="N24" s="35"/>
      <c r="O24" s="36"/>
      <c r="P24" s="33"/>
      <c r="Q24" s="34"/>
      <c r="R24" s="35"/>
      <c r="S24" s="36"/>
      <c r="T24" s="33"/>
      <c r="U24" s="34"/>
      <c r="V24" s="35"/>
      <c r="W24" s="36"/>
      <c r="X24" s="33"/>
      <c r="Y24" s="34"/>
      <c r="Z24" s="35"/>
      <c r="AA24" s="40"/>
      <c r="AB24" s="5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43607-1CD0-4375-8E45-099AC3C115E1}">
  <sheetPr>
    <tabColor rgb="FF002060"/>
  </sheetPr>
  <dimension ref="G10:M24"/>
  <sheetViews>
    <sheetView workbookViewId="0">
      <selection activeCell="O31" sqref="O31"/>
    </sheetView>
  </sheetViews>
  <sheetFormatPr baseColWidth="10" defaultColWidth="11.42578125" defaultRowHeight="15" x14ac:dyDescent="0.25"/>
  <sheetData>
    <row r="10" spans="7:13" ht="15.75" thickBot="1" x14ac:dyDescent="0.3"/>
    <row r="11" spans="7:13" ht="19.5" thickBot="1" x14ac:dyDescent="0.3">
      <c r="G11" s="128" t="s">
        <v>223</v>
      </c>
      <c r="H11" s="202" t="s">
        <v>224</v>
      </c>
      <c r="I11" s="128" t="s">
        <v>225</v>
      </c>
      <c r="J11" s="128" t="s">
        <v>226</v>
      </c>
      <c r="K11" s="128" t="s">
        <v>227</v>
      </c>
      <c r="L11" s="128" t="s">
        <v>228</v>
      </c>
      <c r="M11" s="129" t="s">
        <v>229</v>
      </c>
    </row>
    <row r="12" spans="7:13" ht="18.75" x14ac:dyDescent="0.3">
      <c r="G12" s="85" t="s">
        <v>53</v>
      </c>
      <c r="H12" s="87">
        <v>15</v>
      </c>
      <c r="I12" s="86">
        <v>12</v>
      </c>
      <c r="J12" s="87">
        <v>3</v>
      </c>
      <c r="K12" s="86">
        <v>11</v>
      </c>
      <c r="L12" s="87">
        <v>4</v>
      </c>
      <c r="M12" s="88" t="s">
        <v>54</v>
      </c>
    </row>
    <row r="13" spans="7:13" ht="18.75" x14ac:dyDescent="0.3">
      <c r="G13" s="85" t="s">
        <v>57</v>
      </c>
      <c r="H13" s="87">
        <v>12</v>
      </c>
      <c r="I13" s="86">
        <v>10</v>
      </c>
      <c r="J13" s="87">
        <v>2</v>
      </c>
      <c r="K13" s="86">
        <v>9</v>
      </c>
      <c r="L13" s="87">
        <v>3</v>
      </c>
      <c r="M13" s="88" t="s">
        <v>54</v>
      </c>
    </row>
    <row r="14" spans="7:13" ht="18.75" x14ac:dyDescent="0.3">
      <c r="G14" s="85" t="s">
        <v>64</v>
      </c>
      <c r="H14" s="87">
        <v>10</v>
      </c>
      <c r="I14" s="86">
        <v>9</v>
      </c>
      <c r="J14" s="87">
        <v>1</v>
      </c>
      <c r="K14" s="86">
        <v>8</v>
      </c>
      <c r="L14" s="87">
        <v>2</v>
      </c>
      <c r="M14" s="88" t="s">
        <v>54</v>
      </c>
    </row>
    <row r="15" spans="7:13" ht="18.75" x14ac:dyDescent="0.3">
      <c r="G15" s="85" t="s">
        <v>70</v>
      </c>
      <c r="H15" s="87">
        <v>9</v>
      </c>
      <c r="I15" s="86">
        <v>8</v>
      </c>
      <c r="J15" s="87">
        <v>1</v>
      </c>
      <c r="K15" s="86">
        <v>7</v>
      </c>
      <c r="L15" s="87">
        <v>2</v>
      </c>
      <c r="M15" s="88" t="s">
        <v>54</v>
      </c>
    </row>
    <row r="16" spans="7:13" ht="18.75" x14ac:dyDescent="0.3">
      <c r="G16" s="85" t="s">
        <v>76</v>
      </c>
      <c r="H16" s="87">
        <v>8</v>
      </c>
      <c r="I16" s="86">
        <v>7</v>
      </c>
      <c r="J16" s="87">
        <v>1</v>
      </c>
      <c r="K16" s="86">
        <v>6</v>
      </c>
      <c r="L16" s="87">
        <v>2</v>
      </c>
      <c r="M16" s="88" t="s">
        <v>54</v>
      </c>
    </row>
    <row r="17" spans="7:13" ht="18.75" x14ac:dyDescent="0.3">
      <c r="G17" s="85" t="s">
        <v>80</v>
      </c>
      <c r="H17" s="87">
        <v>7</v>
      </c>
      <c r="I17" s="86">
        <v>6</v>
      </c>
      <c r="J17" s="87">
        <v>1</v>
      </c>
      <c r="K17" s="86">
        <v>5</v>
      </c>
      <c r="L17" s="87">
        <v>2</v>
      </c>
      <c r="M17" s="88" t="s">
        <v>54</v>
      </c>
    </row>
    <row r="18" spans="7:13" ht="18.75" x14ac:dyDescent="0.3">
      <c r="G18" s="85" t="s">
        <v>85</v>
      </c>
      <c r="H18" s="87">
        <v>6</v>
      </c>
      <c r="I18" s="86">
        <v>5</v>
      </c>
      <c r="J18" s="87">
        <v>1</v>
      </c>
      <c r="K18" s="86">
        <v>4</v>
      </c>
      <c r="L18" s="87">
        <v>2</v>
      </c>
      <c r="M18" s="88" t="s">
        <v>54</v>
      </c>
    </row>
    <row r="19" spans="7:13" ht="18.75" x14ac:dyDescent="0.3">
      <c r="G19" s="85" t="s">
        <v>89</v>
      </c>
      <c r="H19" s="87">
        <v>5</v>
      </c>
      <c r="I19" s="86">
        <v>4</v>
      </c>
      <c r="J19" s="87">
        <v>1</v>
      </c>
      <c r="K19" s="86">
        <v>3</v>
      </c>
      <c r="L19" s="87">
        <v>2</v>
      </c>
      <c r="M19" s="88" t="s">
        <v>54</v>
      </c>
    </row>
    <row r="20" spans="7:13" ht="18.75" x14ac:dyDescent="0.3">
      <c r="G20" s="85" t="s">
        <v>93</v>
      </c>
      <c r="H20" s="87">
        <v>4</v>
      </c>
      <c r="I20" s="86">
        <v>3</v>
      </c>
      <c r="J20" s="87">
        <v>1</v>
      </c>
      <c r="K20" s="86">
        <v>2</v>
      </c>
      <c r="L20" s="87">
        <v>2</v>
      </c>
      <c r="M20" s="88" t="s">
        <v>54</v>
      </c>
    </row>
    <row r="21" spans="7:13" ht="19.5" thickBot="1" x14ac:dyDescent="0.35">
      <c r="G21" s="85" t="s">
        <v>97</v>
      </c>
      <c r="H21" s="87">
        <v>3</v>
      </c>
      <c r="I21" s="86">
        <v>2</v>
      </c>
      <c r="J21" s="87">
        <v>1</v>
      </c>
      <c r="K21" s="86">
        <v>1</v>
      </c>
      <c r="L21" s="87">
        <v>2</v>
      </c>
      <c r="M21" s="88" t="s">
        <v>54</v>
      </c>
    </row>
    <row r="22" spans="7:13" ht="19.5" thickBot="1" x14ac:dyDescent="0.35">
      <c r="G22" s="85" t="s">
        <v>102</v>
      </c>
      <c r="H22" s="87">
        <v>2</v>
      </c>
      <c r="I22" s="86">
        <v>1</v>
      </c>
      <c r="J22" s="89">
        <v>1</v>
      </c>
      <c r="K22" s="90" t="s">
        <v>54</v>
      </c>
      <c r="L22" s="91" t="s">
        <v>54</v>
      </c>
      <c r="M22" s="88" t="s">
        <v>54</v>
      </c>
    </row>
    <row r="23" spans="7:13" ht="19.5" thickBot="1" x14ac:dyDescent="0.35">
      <c r="G23" s="85" t="s">
        <v>106</v>
      </c>
      <c r="H23" s="87">
        <v>1</v>
      </c>
      <c r="I23" s="90" t="s">
        <v>54</v>
      </c>
      <c r="J23" s="91" t="s">
        <v>54</v>
      </c>
      <c r="K23" s="130" t="s">
        <v>54</v>
      </c>
      <c r="L23" s="131" t="s">
        <v>54</v>
      </c>
      <c r="M23" s="88" t="s">
        <v>54</v>
      </c>
    </row>
    <row r="24" spans="7:13" ht="19.5" thickBot="1" x14ac:dyDescent="0.35">
      <c r="G24" s="132" t="s">
        <v>29</v>
      </c>
      <c r="H24" s="133" t="s">
        <v>54</v>
      </c>
      <c r="I24" s="134">
        <v>0</v>
      </c>
      <c r="J24" s="135">
        <v>1</v>
      </c>
      <c r="K24" s="134">
        <v>0</v>
      </c>
      <c r="L24" s="135">
        <v>1</v>
      </c>
      <c r="M24" s="133" t="s">
        <v>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4</vt:i4>
      </vt:variant>
    </vt:vector>
  </HeadingPairs>
  <TitlesOfParts>
    <vt:vector size="12" baseType="lpstr">
      <vt:lpstr>Player Integration</vt:lpstr>
      <vt:lpstr>12p</vt:lpstr>
      <vt:lpstr>Export</vt:lpstr>
      <vt:lpstr>Map and Points 12p</vt:lpstr>
      <vt:lpstr>Metadata</vt:lpstr>
      <vt:lpstr>TAB 1</vt:lpstr>
      <vt:lpstr>Exemple</vt:lpstr>
      <vt:lpstr>Archives</vt:lpstr>
      <vt:lpstr>Table_10p</vt:lpstr>
      <vt:lpstr>Table_11p</vt:lpstr>
      <vt:lpstr>Table_12p</vt:lpstr>
      <vt:lpstr>Table_9p_or_less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Didier DEBUCK</dc:creator>
  <cp:keywords/>
  <dc:description/>
  <cp:lastModifiedBy>Didier DEBUCK</cp:lastModifiedBy>
  <cp:revision/>
  <dcterms:created xsi:type="dcterms:W3CDTF">2026-05-08T17:49:56Z</dcterms:created>
  <dcterms:modified xsi:type="dcterms:W3CDTF">2026-06-20T12:35:10Z</dcterms:modified>
  <cp:category/>
  <cp:contentStatus/>
</cp:coreProperties>
</file>